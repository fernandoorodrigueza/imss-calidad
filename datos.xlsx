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lud vs pib" sheetId="1" r:id="rId5"/>
    <sheet state="visible" name="imss calidad" sheetId="2" r:id="rId6"/>
    <sheet state="visible" name="especialistas" sheetId="3" r:id="rId7"/>
    <sheet state="visible" name="oncólogos" sheetId="4" r:id="rId8"/>
    <sheet state="visible" name="cáncer cérvicouterino" sheetId="5" r:id="rId9"/>
    <sheet state="visible" name="x clínica" sheetId="6" r:id="rId10"/>
    <sheet state="visible" name="inegi satisfacción" sheetId="7" r:id="rId11"/>
    <sheet state="visible" name="satisfacción x estado" sheetId="8" r:id="rId12"/>
    <sheet state="visible" name="clínicas perdidas" sheetId="9" r:id="rId13"/>
    <sheet state="visible" name="Hoja 17" sheetId="10" r:id="rId14"/>
    <sheet state="visible" name="pefs deflactados" sheetId="11" r:id="rId15"/>
    <sheet state="visible" name="solo imss 2027" sheetId="12" r:id="rId16"/>
    <sheet state="visible" name="imss anual" sheetId="13" r:id="rId17"/>
    <sheet state="visible" name="pda" sheetId="14" r:id="rId18"/>
    <sheet state="visible" name="imss recursos " sheetId="15" r:id="rId19"/>
    <sheet state="visible" name="consultas" sheetId="16" r:id="rId20"/>
    <sheet state="visible" name="salarios" sheetId="17" r:id="rId21"/>
    <sheet state="visible" name="déficit" sheetId="18" r:id="rId22"/>
    <sheet state="visible" name="imss recursos todo" sheetId="19" r:id="rId23"/>
    <sheet state="visible" name="salud vs pib cefp" sheetId="20" r:id="rId24"/>
    <sheet state="visible" name="Hoja 7" sheetId="21" r:id="rId25"/>
    <sheet state="visible" name="pefs sin deflactar" sheetId="22" r:id="rId26"/>
    <sheet state="visible" name="inflación" sheetId="23" r:id="rId27"/>
    <sheet state="visible" name="pib prom mensual" sheetId="24" r:id="rId28"/>
  </sheets>
  <definedNames>
    <definedName hidden="1" localSheetId="2" name="_xlnm._FilterDatabase">especialistas!$A$1:$AA$132</definedName>
    <definedName hidden="1" localSheetId="5" name="_xlnm._FilterDatabase">'x clínica'!$A$1:$Z$1297</definedName>
    <definedName hidden="1" localSheetId="7" name="_xlnm._FilterDatabase">'satisfacción x estado'!$A$38:$B$70</definedName>
    <definedName hidden="1" localSheetId="9" name="_xlnm._FilterDatabase">'Hoja 17'!$A$1:$YG$1344</definedName>
    <definedName hidden="1" localSheetId="22" name="_xlnm._FilterDatabase">'inflación'!$A$9:$C$690</definedName>
    <definedName hidden="1" localSheetId="23" name="_xlnm._FilterDatabase">'pib prom mensual'!$A$1:$C$262</definedName>
  </definedNames>
  <calcPr/>
</workbook>
</file>

<file path=xl/sharedStrings.xml><?xml version="1.0" encoding="utf-8"?>
<sst xmlns="http://schemas.openxmlformats.org/spreadsheetml/2006/main" count="11151" uniqueCount="3577">
  <si>
    <t>Especialistas</t>
  </si>
  <si>
    <t>Alergia e Inmunología (Laboratorio)</t>
  </si>
  <si>
    <t>tasa</t>
  </si>
  <si>
    <t>pda en clínica</t>
  </si>
  <si>
    <t>Oncología Médica</t>
  </si>
  <si>
    <t>Alergia e Inmunología Clínica Pediátrica</t>
  </si>
  <si>
    <t>INEGI. Sistema de Cuentas Nacionales de México. Cuenta Satélite del Sector Salud de México. 2024. Cifras preliminares. Año base 2018.</t>
  </si>
  <si>
    <t>Estado de conservación de los inmuebles, instalaciones y equipos por nivel de atención</t>
  </si>
  <si>
    <t>año</t>
  </si>
  <si>
    <t>% del PIB</t>
  </si>
  <si>
    <t>2022 vs 2023</t>
  </si>
  <si>
    <t>total pib nacional</t>
  </si>
  <si>
    <t>total salud</t>
  </si>
  <si>
    <t>bueno</t>
  </si>
  <si>
    <t xml:space="preserve">malo </t>
  </si>
  <si>
    <t>regular</t>
  </si>
  <si>
    <t>1er nivel</t>
  </si>
  <si>
    <t>Oncología Pediátrica</t>
  </si>
  <si>
    <t>equipo</t>
  </si>
  <si>
    <t>instalaciones</t>
  </si>
  <si>
    <t>inmueble</t>
  </si>
  <si>
    <t>Oncología Quirúrgica</t>
  </si>
  <si>
    <t>2o nivel</t>
  </si>
  <si>
    <t>3er nivel</t>
  </si>
  <si>
    <t>Angiología</t>
  </si>
  <si>
    <t>oms dice</t>
  </si>
  <si>
    <t>ocde promedio</t>
  </si>
  <si>
    <t>Fuente: Informe al Ejecutivo Federal y al Congreso de la Unión sobre la situación financiera y los riesgos del Instituto Mexicano del Seguro Social 2023-2024</t>
  </si>
  <si>
    <t>Audiología</t>
  </si>
  <si>
    <t>2023 P</t>
  </si>
  <si>
    <t>2024 P</t>
  </si>
  <si>
    <t>Calidad de la Atención Clínica</t>
  </si>
  <si>
    <t>Cardiología</t>
  </si>
  <si>
    <t>Cardiología Pediátrica</t>
  </si>
  <si>
    <t>Cirugía Cardiovascular Torácica</t>
  </si>
  <si>
    <t>Cirugía General</t>
  </si>
  <si>
    <t>Cirugía Maxilofacial</t>
  </si>
  <si>
    <t>Cirugía Pediátrica</t>
  </si>
  <si>
    <t>delegacion</t>
  </si>
  <si>
    <t>ano</t>
  </si>
  <si>
    <t>detecciones</t>
  </si>
  <si>
    <t>ID_DELEG_RP</t>
  </si>
  <si>
    <t>fecha</t>
  </si>
  <si>
    <t>Aguascalientes</t>
  </si>
  <si>
    <t>ID_SUBDEL_RP</t>
  </si>
  <si>
    <t>2015 (2)</t>
  </si>
  <si>
    <t>ID_UMF_RP</t>
  </si>
  <si>
    <t>NOMBRE_UMF_RP</t>
  </si>
  <si>
    <t>TOT_CASOS</t>
  </si>
  <si>
    <t>Baja California</t>
  </si>
  <si>
    <t>Cirugía Plástica y Reconstructiva</t>
  </si>
  <si>
    <t>Baja California Sur</t>
  </si>
  <si>
    <t>UMF 027</t>
  </si>
  <si>
    <t>UMF 27 Tijuana</t>
  </si>
  <si>
    <t>Campeche</t>
  </si>
  <si>
    <t>UMF 034</t>
  </si>
  <si>
    <t>UMF 34 Guadalajara</t>
  </si>
  <si>
    <t>Coahuila</t>
  </si>
  <si>
    <t>UMF 007</t>
  </si>
  <si>
    <t>UMF 7 Calz. Tlalpan</t>
  </si>
  <si>
    <t>Colima</t>
  </si>
  <si>
    <t>UMF 047</t>
  </si>
  <si>
    <t>UMF 47 León</t>
  </si>
  <si>
    <t>UMF 064</t>
  </si>
  <si>
    <t>UMF 64 Tequesquinahuac</t>
  </si>
  <si>
    <t>Tlanepantla de Baz</t>
  </si>
  <si>
    <t>UMF 093</t>
  </si>
  <si>
    <t>UMF 062</t>
  </si>
  <si>
    <t>UMF 031</t>
  </si>
  <si>
    <t>UMF 053</t>
  </si>
  <si>
    <t>UMF 220</t>
  </si>
  <si>
    <t>UMF 033</t>
  </si>
  <si>
    <t>UMF 019</t>
  </si>
  <si>
    <t>UMF 037</t>
  </si>
  <si>
    <t>UMF 068</t>
  </si>
  <si>
    <t>UMF 028</t>
  </si>
  <si>
    <t>UMF 018</t>
  </si>
  <si>
    <t>UMF 171</t>
  </si>
  <si>
    <t>UMF 048</t>
  </si>
  <si>
    <t>UMF 039</t>
  </si>
  <si>
    <t>UMF 052</t>
  </si>
  <si>
    <t>Chiapas</t>
  </si>
  <si>
    <t>UMF 041</t>
  </si>
  <si>
    <t>HGZMF 016</t>
  </si>
  <si>
    <t>Chihuahua</t>
  </si>
  <si>
    <t>UMF 080</t>
  </si>
  <si>
    <t>D.F. Norte</t>
  </si>
  <si>
    <t>HGZMF 001</t>
  </si>
  <si>
    <t>D.F. Sur</t>
  </si>
  <si>
    <t>UMF 057</t>
  </si>
  <si>
    <t>Durango</t>
  </si>
  <si>
    <t>UMF 055</t>
  </si>
  <si>
    <t>Guanajuato</t>
  </si>
  <si>
    <t>UMF 011</t>
  </si>
  <si>
    <t>Guerrero</t>
  </si>
  <si>
    <t>UMF 036</t>
  </si>
  <si>
    <t>Hidalgo</t>
  </si>
  <si>
    <t>UMF 077</t>
  </si>
  <si>
    <t>Jalisco</t>
  </si>
  <si>
    <t>UMF 013</t>
  </si>
  <si>
    <t>MÃ©xico Oriente</t>
  </si>
  <si>
    <t>UMF 001</t>
  </si>
  <si>
    <t>MÃ©xico Poniente</t>
  </si>
  <si>
    <t>MichoacÃ¡n</t>
  </si>
  <si>
    <t>UMF 023</t>
  </si>
  <si>
    <t>Morelos</t>
  </si>
  <si>
    <t>Nayarit</t>
  </si>
  <si>
    <t>HGZMF 006</t>
  </si>
  <si>
    <t>Nuevo LeÃ³n</t>
  </si>
  <si>
    <t>Oaxaca</t>
  </si>
  <si>
    <t>UMFU 061</t>
  </si>
  <si>
    <t>Dermatología</t>
  </si>
  <si>
    <t>UMF 002</t>
  </si>
  <si>
    <t>Puebla</t>
  </si>
  <si>
    <t>UMF 075</t>
  </si>
  <si>
    <t>QuerÃ©taro</t>
  </si>
  <si>
    <t>UMF 015</t>
  </si>
  <si>
    <t>Quintana Roo</t>
  </si>
  <si>
    <t>San Luis PotosÃ­</t>
  </si>
  <si>
    <t>HGZMF 002</t>
  </si>
  <si>
    <t>Sinaloa</t>
  </si>
  <si>
    <t>Sonora</t>
  </si>
  <si>
    <t>HGZMF 021</t>
  </si>
  <si>
    <t>Tabasco</t>
  </si>
  <si>
    <t>UMF 009</t>
  </si>
  <si>
    <t>Tamaulipas</t>
  </si>
  <si>
    <t>Tlaxcala</t>
  </si>
  <si>
    <t>UMF 032</t>
  </si>
  <si>
    <t>Veracruz Norte</t>
  </si>
  <si>
    <t>UMF 078</t>
  </si>
  <si>
    <t>Veracruz Sur</t>
  </si>
  <si>
    <t>YucatÃ¡n</t>
  </si>
  <si>
    <t>UMF 066</t>
  </si>
  <si>
    <t>Zacatecas</t>
  </si>
  <si>
    <t>UMF 049</t>
  </si>
  <si>
    <t>total</t>
  </si>
  <si>
    <t>UMF 035</t>
  </si>
  <si>
    <t>UMF 073</t>
  </si>
  <si>
    <t>UMF 092</t>
  </si>
  <si>
    <t>HGZMF 003</t>
  </si>
  <si>
    <t>UMF 010</t>
  </si>
  <si>
    <t>UMF 014</t>
  </si>
  <si>
    <t>UMF 222</t>
  </si>
  <si>
    <t>2016 (2)</t>
  </si>
  <si>
    <t>UMF 063</t>
  </si>
  <si>
    <t>UMF 061</t>
  </si>
  <si>
    <t>UMF 094</t>
  </si>
  <si>
    <t>UMF 082</t>
  </si>
  <si>
    <t>UMF 024</t>
  </si>
  <si>
    <t>UMF 021</t>
  </si>
  <si>
    <t>UMF 026</t>
  </si>
  <si>
    <t>UMF 059</t>
  </si>
  <si>
    <t>UMF 051</t>
  </si>
  <si>
    <t>HGRMF 001</t>
  </si>
  <si>
    <t>UMF 058</t>
  </si>
  <si>
    <t>UMF 003</t>
  </si>
  <si>
    <t>2017 (2)</t>
  </si>
  <si>
    <t>2018 (2)</t>
  </si>
  <si>
    <t>2019 (2)</t>
  </si>
  <si>
    <t>Año</t>
  </si>
  <si>
    <t>UMF 005</t>
  </si>
  <si>
    <t>Estimaciones puntuales</t>
  </si>
  <si>
    <t>Entidad federativa</t>
  </si>
  <si>
    <t>Servicios públicos básicos y bajo demanda</t>
  </si>
  <si>
    <t>UMF 043</t>
  </si>
  <si>
    <t>Nacional</t>
  </si>
  <si>
    <t>Salud en el Instituto Mexicano del Seguro Social (IMSS)</t>
  </si>
  <si>
    <t>UMF 091</t>
  </si>
  <si>
    <t>UMF 016</t>
  </si>
  <si>
    <t>2020 (2)</t>
  </si>
  <si>
    <t>Fuente: Encuesta Nacional de Calidad e Impacto Gubernamental (ENCIG) 2025</t>
  </si>
  <si>
    <t>UMF 045</t>
  </si>
  <si>
    <t>HPMF 010</t>
  </si>
  <si>
    <t>UMF 044</t>
  </si>
  <si>
    <t>HGOMF 007</t>
  </si>
  <si>
    <t>UMF 040</t>
  </si>
  <si>
    <t>UMF 020</t>
  </si>
  <si>
    <t>UMF 012</t>
  </si>
  <si>
    <t>HGSZMF 069</t>
  </si>
  <si>
    <t>UMF 079</t>
  </si>
  <si>
    <t>UMF 170</t>
  </si>
  <si>
    <t>UMF 030</t>
  </si>
  <si>
    <t>UMF 065</t>
  </si>
  <si>
    <t>UMF 070</t>
  </si>
  <si>
    <t>UMF 177</t>
  </si>
  <si>
    <t>UMF 006</t>
  </si>
  <si>
    <t>UMF 042</t>
  </si>
  <si>
    <t>2021 (2)</t>
  </si>
  <si>
    <t>UMF 160</t>
  </si>
  <si>
    <t>UMF 008</t>
  </si>
  <si>
    <t>UMF 046</t>
  </si>
  <si>
    <t>UMF 223</t>
  </si>
  <si>
    <t>UMF 195</t>
  </si>
  <si>
    <t>UMF 089</t>
  </si>
  <si>
    <t>HGOMF 060</t>
  </si>
  <si>
    <t>HGSMF 008</t>
  </si>
  <si>
    <t>UMF 05</t>
  </si>
  <si>
    <t>UMF 249</t>
  </si>
  <si>
    <t>UMF 193</t>
  </si>
  <si>
    <t>UMF 163</t>
  </si>
  <si>
    <t>HGZ 001</t>
  </si>
  <si>
    <t>UMF 022</t>
  </si>
  <si>
    <t>UMF 084</t>
  </si>
  <si>
    <t>UMF 083</t>
  </si>
  <si>
    <t>UMF 038</t>
  </si>
  <si>
    <t>UMF 250</t>
  </si>
  <si>
    <t>UMF 224</t>
  </si>
  <si>
    <t>UMFH 005</t>
  </si>
  <si>
    <t>UMF 050</t>
  </si>
  <si>
    <t>UMF 004</t>
  </si>
  <si>
    <t>UMF 081</t>
  </si>
  <si>
    <t>UMF 071</t>
  </si>
  <si>
    <t>HGZMF 019</t>
  </si>
  <si>
    <t>UMF 067</t>
  </si>
  <si>
    <t>UMF 182</t>
  </si>
  <si>
    <t>UMF 178</t>
  </si>
  <si>
    <t>UMF 187</t>
  </si>
  <si>
    <t>HGZMF 007</t>
  </si>
  <si>
    <t>UMF 017</t>
  </si>
  <si>
    <t>UMF 085</t>
  </si>
  <si>
    <t>UMF 198</t>
  </si>
  <si>
    <t>UMF 086</t>
  </si>
  <si>
    <t>HGZMF 009</t>
  </si>
  <si>
    <t>UMF 025</t>
  </si>
  <si>
    <t>HGZMF 032</t>
  </si>
  <si>
    <t>UMF 179</t>
  </si>
  <si>
    <t>UMF025</t>
  </si>
  <si>
    <t>UMF 168</t>
  </si>
  <si>
    <t>HGZMF 008</t>
  </si>
  <si>
    <t>UMF 248</t>
  </si>
  <si>
    <t>UMF 40</t>
  </si>
  <si>
    <t>HGZMF 023</t>
  </si>
  <si>
    <t>UMF 184</t>
  </si>
  <si>
    <t>UMF 181</t>
  </si>
  <si>
    <t>HGSZMF 003</t>
  </si>
  <si>
    <t>UMF 235</t>
  </si>
  <si>
    <t>UMF 140</t>
  </si>
  <si>
    <t>2022 (2)</t>
  </si>
  <si>
    <t>UMF 162</t>
  </si>
  <si>
    <t>UMF 56</t>
  </si>
  <si>
    <t>UMF 226</t>
  </si>
  <si>
    <t>UMF 054</t>
  </si>
  <si>
    <t>UMAA 055</t>
  </si>
  <si>
    <t>UMF 076</t>
  </si>
  <si>
    <t>HGZMF 004</t>
  </si>
  <si>
    <t>UMF 069</t>
  </si>
  <si>
    <t>UMF 164</t>
  </si>
  <si>
    <t>UMF 120</t>
  </si>
  <si>
    <t>UMF 180</t>
  </si>
  <si>
    <t>2023 (2)</t>
  </si>
  <si>
    <t>UMF 190</t>
  </si>
  <si>
    <t>HGSZMF 006</t>
  </si>
  <si>
    <t>HGZMF 026</t>
  </si>
  <si>
    <t>UMF 228</t>
  </si>
  <si>
    <t>UMF 060</t>
  </si>
  <si>
    <t>Endocrinología</t>
  </si>
  <si>
    <t>UMF 12</t>
  </si>
  <si>
    <t>UMF 39</t>
  </si>
  <si>
    <t>HGSMF 026</t>
  </si>
  <si>
    <t>UMF 088</t>
  </si>
  <si>
    <t>UMF 231</t>
  </si>
  <si>
    <t>UMF 056</t>
  </si>
  <si>
    <t>HGSZMF 008</t>
  </si>
  <si>
    <t>UMF 191</t>
  </si>
  <si>
    <t>HGSZMF 076</t>
  </si>
  <si>
    <t>UMF 73</t>
  </si>
  <si>
    <t>HGSZMF 004</t>
  </si>
  <si>
    <t>HGZMF 029</t>
  </si>
  <si>
    <t>UMF 161</t>
  </si>
  <si>
    <t>Endocrinología Pediátrica</t>
  </si>
  <si>
    <t>UMF 029</t>
  </si>
  <si>
    <t>HGSZMF 026</t>
  </si>
  <si>
    <t>HGSZMF 012</t>
  </si>
  <si>
    <t>UMF 087</t>
  </si>
  <si>
    <t>HGZMF 011</t>
  </si>
  <si>
    <t>UMF 189</t>
  </si>
  <si>
    <t>UMF 69</t>
  </si>
  <si>
    <t>HGZMF 005</t>
  </si>
  <si>
    <t>UMF 097</t>
  </si>
  <si>
    <t>UMF 096</t>
  </si>
  <si>
    <t>Gastroenterología</t>
  </si>
  <si>
    <t>HGZMF 028</t>
  </si>
  <si>
    <t>UMF 185</t>
  </si>
  <si>
    <t>Gastroenterología Pediátrica</t>
  </si>
  <si>
    <t>UMF 183</t>
  </si>
  <si>
    <t>HGPMF 031</t>
  </si>
  <si>
    <t>UMF 48</t>
  </si>
  <si>
    <t>UMF 242</t>
  </si>
  <si>
    <t>Genética</t>
  </si>
  <si>
    <t>HGSMF 030</t>
  </si>
  <si>
    <t>HGSMF 046</t>
  </si>
  <si>
    <t>HGZMF 020</t>
  </si>
  <si>
    <t>HGSZMF 002</t>
  </si>
  <si>
    <t>UMF 37</t>
  </si>
  <si>
    <t>HGZMF 012</t>
  </si>
  <si>
    <t>UMF 188</t>
  </si>
  <si>
    <t>Geriatría</t>
  </si>
  <si>
    <t>HGSMF 033</t>
  </si>
  <si>
    <t>HGSZMF 011</t>
  </si>
  <si>
    <t>HGZMF 036</t>
  </si>
  <si>
    <t>Ginecología Oncológica</t>
  </si>
  <si>
    <t>HGSZMF 020</t>
  </si>
  <si>
    <t>UMF 072</t>
  </si>
  <si>
    <t>HGSZMF 009</t>
  </si>
  <si>
    <t>HGZ 003</t>
  </si>
  <si>
    <t>HGZMF 024</t>
  </si>
  <si>
    <t>Ginecología y Obstetricia</t>
  </si>
  <si>
    <t>HGZMF 018</t>
  </si>
  <si>
    <t>UMF 167</t>
  </si>
  <si>
    <t>Hematología</t>
  </si>
  <si>
    <t>UMF 169</t>
  </si>
  <si>
    <t>Hematología Pediátrica</t>
  </si>
  <si>
    <t>HGSMF 009</t>
  </si>
  <si>
    <t>HGSZMF 017</t>
  </si>
  <si>
    <t>UMFH 018</t>
  </si>
  <si>
    <t>HGZMF 054</t>
  </si>
  <si>
    <t>Infectología</t>
  </si>
  <si>
    <t>HGSMF 019</t>
  </si>
  <si>
    <t>HGSZMF 013</t>
  </si>
  <si>
    <t>HGZMF 035</t>
  </si>
  <si>
    <t>HGSZMF 005</t>
  </si>
  <si>
    <t>|</t>
  </si>
  <si>
    <t>Infectología Pediátrica</t>
  </si>
  <si>
    <t>32|38|38|UMF</t>
  </si>
  <si>
    <t>038|1|1|1|E16|0|0|9998|2</t>
  </si>
  <si>
    <t>UMF 095</t>
  </si>
  <si>
    <t>038|1|1|1|E17|0|0|9998|2</t>
  </si>
  <si>
    <t>038|1|1|1|E18|0|0|9998|4</t>
  </si>
  <si>
    <t>HGSMF 007</t>
  </si>
  <si>
    <t>038|1|1|1|E20|0|0|9998|1</t>
  </si>
  <si>
    <t>UMF 186</t>
  </si>
  <si>
    <t>UMF 244</t>
  </si>
  <si>
    <t>038|1|1|1|E21|0|0|9998|1</t>
  </si>
  <si>
    <t>Médico del Enfermo Pediátrico en Estado Crítico</t>
  </si>
  <si>
    <t>UMF 074</t>
  </si>
  <si>
    <t>038|1|1|1|E22|0|0|9998|3</t>
  </si>
  <si>
    <t>038|1|1|1|E24|0|0|9998|2</t>
  </si>
  <si>
    <t>038|1|1|1|E25|0|0|9998|4</t>
  </si>
  <si>
    <t>UMFH 024</t>
  </si>
  <si>
    <t>038|1|1|1|E26|0|0|9998|2</t>
  </si>
  <si>
    <t>UMFH 022</t>
  </si>
  <si>
    <t>038|1|1|1|E27|0|0|9998|1</t>
  </si>
  <si>
    <t>038|1|1|1|E28|0|0|9998|3</t>
  </si>
  <si>
    <t>Medicina Física y Rehabilitación</t>
  </si>
  <si>
    <t>038|1|1|2|E18|0|0|9998|2</t>
  </si>
  <si>
    <t>UMFH 023</t>
  </si>
  <si>
    <t>038|1|1|2|E22|0|0|9998|1</t>
  </si>
  <si>
    <t>038|1|1|2|E23|0|0|9998|3</t>
  </si>
  <si>
    <t>HGSZMF 010</t>
  </si>
  <si>
    <t>038|1|1|2|E25|0|0|9998|2</t>
  </si>
  <si>
    <t>038|1|1|2|E26|0|0|9998|3</t>
  </si>
  <si>
    <t>038|1|1|2|E27|0|0|9998|3</t>
  </si>
  <si>
    <t>038|1|1|2|E28|0|0|9998|5</t>
  </si>
  <si>
    <t>Medicina Interna</t>
  </si>
  <si>
    <t>32|2|28|UMF 028|1|1|1|E13|0|0|9998|1</t>
  </si>
  <si>
    <t>UMFH 016</t>
  </si>
  <si>
    <t>32|2|28|UMF 028|1|1|1|E15|0|0|9998|1</t>
  </si>
  <si>
    <t>32|2|28|UMF 028|1|1|1|E16|0|0|9998|15</t>
  </si>
  <si>
    <t>32|2|28|UMF 028|1|1|1|E18|0|0|9998|2</t>
  </si>
  <si>
    <t>32|2|28|UMF 028|1|1|1|E19|0|0|9998|3</t>
  </si>
  <si>
    <t>32|2|28|UMF 028|1|1|1|E23|0|0|9998|4</t>
  </si>
  <si>
    <t>UMF 241</t>
  </si>
  <si>
    <t>HGSZMF 015</t>
  </si>
  <si>
    <t>32|2|28|UMF 028|1|1|1|E24|0|0|9998|1</t>
  </si>
  <si>
    <t>32|2|28|UMF 028|1|1|2|E15|0|0|9998|3</t>
  </si>
  <si>
    <t>UMFH 011</t>
  </si>
  <si>
    <t>Medicina Materno Fetal</t>
  </si>
  <si>
    <t>32|2|28|UMF 028|1|1|2|E16|0|0|9998|19</t>
  </si>
  <si>
    <t>UMFH 010</t>
  </si>
  <si>
    <t>HGSMF 015</t>
  </si>
  <si>
    <t>32|2|28|UMF 028|1|1|2|E17|0|0|9998|1</t>
  </si>
  <si>
    <t>32|2|28|UMF 028|1|1|2|E24|0|0|9998|1</t>
  </si>
  <si>
    <t>32|2|28|UMF 028|1|1|2|E27|0|0|9998|2</t>
  </si>
  <si>
    <t>Medicina Paliativa</t>
  </si>
  <si>
    <t>UMFH 040</t>
  </si>
  <si>
    <t>UMFH 009</t>
  </si>
  <si>
    <t>UMF 229</t>
  </si>
  <si>
    <t>Nefrología</t>
  </si>
  <si>
    <t>UMFH 014</t>
  </si>
  <si>
    <t>UMFH 019</t>
  </si>
  <si>
    <t>UMF 243</t>
  </si>
  <si>
    <t>Coahuila de Zaragoza</t>
  </si>
  <si>
    <t>UMFH 008</t>
  </si>
  <si>
    <t>Ciudad de México</t>
  </si>
  <si>
    <t>UMF 057</t>
  </si>
  <si>
    <t>Nefrología Pediátrica</t>
  </si>
  <si>
    <t>UMFH 002</t>
  </si>
  <si>
    <t>HRO 018</t>
  </si>
  <si>
    <t>México</t>
  </si>
  <si>
    <t>UMF 233</t>
  </si>
  <si>
    <t>Michoacán de Ocampo</t>
  </si>
  <si>
    <t>UMFH 015</t>
  </si>
  <si>
    <t>Nuevo León</t>
  </si>
  <si>
    <t>Neonatología</t>
  </si>
  <si>
    <t>Querétaro</t>
  </si>
  <si>
    <t>San Luis Potosí</t>
  </si>
  <si>
    <t>Veracruz de Ignacio de la Llave</t>
  </si>
  <si>
    <t>Yucatán</t>
  </si>
  <si>
    <t>UMFH 006</t>
  </si>
  <si>
    <t>Neumología</t>
  </si>
  <si>
    <t>HGZMF 050</t>
  </si>
  <si>
    <t>HGSZ 027</t>
  </si>
  <si>
    <t>Neumología Pediátrica</t>
  </si>
  <si>
    <t>UMF 245</t>
  </si>
  <si>
    <t>UMFH 031</t>
  </si>
  <si>
    <t>UMFH 029</t>
  </si>
  <si>
    <t>UMFH 227</t>
  </si>
  <si>
    <t>UMF 246</t>
  </si>
  <si>
    <t>HGSMF 012</t>
  </si>
  <si>
    <t>HRO 037</t>
  </si>
  <si>
    <t>HGSMF 004</t>
  </si>
  <si>
    <t>Neurocirugía</t>
  </si>
  <si>
    <t>HRO 026</t>
  </si>
  <si>
    <t>UMF 239</t>
  </si>
  <si>
    <t>HGSMF 017</t>
  </si>
  <si>
    <t>HRO 012</t>
  </si>
  <si>
    <t>UMFH 007</t>
  </si>
  <si>
    <t>UMFH 034</t>
  </si>
  <si>
    <t>UMF 100</t>
  </si>
  <si>
    <t>UMF 128</t>
  </si>
  <si>
    <t>HRO 024</t>
  </si>
  <si>
    <t>UMFH 003</t>
  </si>
  <si>
    <t>HRO 034</t>
  </si>
  <si>
    <t>HRO 036</t>
  </si>
  <si>
    <t>UMF 236</t>
  </si>
  <si>
    <t>UMFH 033</t>
  </si>
  <si>
    <t>Neurocirugía Pediátrica</t>
  </si>
  <si>
    <t>Neurofisiología Clínica</t>
  </si>
  <si>
    <t>Neurología</t>
  </si>
  <si>
    <t>HGSZMF 027</t>
  </si>
  <si>
    <t>UMF 234</t>
  </si>
  <si>
    <t>Neurología Pediátrica</t>
  </si>
  <si>
    <t>UMFH 004</t>
  </si>
  <si>
    <t>UMRM 021</t>
  </si>
  <si>
    <t>UMFH 030</t>
  </si>
  <si>
    <t>Oftalmología</t>
  </si>
  <si>
    <t>HRO 082</t>
  </si>
  <si>
    <t>HGSZMF 024</t>
  </si>
  <si>
    <t>UMFH 026</t>
  </si>
  <si>
    <t>UMF 114</t>
  </si>
  <si>
    <t>UMF 247</t>
  </si>
  <si>
    <t>HGSMF 016</t>
  </si>
  <si>
    <t>UMF 132</t>
  </si>
  <si>
    <t>UMFH 012</t>
  </si>
  <si>
    <t>UMF 130</t>
  </si>
  <si>
    <t>UMF 133</t>
  </si>
  <si>
    <t>ID_DEL</t>
  </si>
  <si>
    <t>ID_SUBDEL</t>
  </si>
  <si>
    <t>ID_UMF</t>
  </si>
  <si>
    <t>DELEGACIÓN</t>
  </si>
  <si>
    <t>SUBDELEGACIÓN</t>
  </si>
  <si>
    <t>UNIDAD</t>
  </si>
  <si>
    <t>ID_ENT</t>
  </si>
  <si>
    <t>ID_MUN</t>
  </si>
  <si>
    <t>ENTIDAD</t>
  </si>
  <si>
    <t>MUNICIPIO</t>
  </si>
  <si>
    <t>ID_LOCAL</t>
  </si>
  <si>
    <t>LOCALIDAD</t>
  </si>
  <si>
    <t>Aguascalientes Norte</t>
  </si>
  <si>
    <t>UMF 2 Rincón de Romos</t>
  </si>
  <si>
    <t>Otorrinolaringología</t>
  </si>
  <si>
    <t>Rincón de Romos</t>
  </si>
  <si>
    <t>UMF 3 Pabellón Arteaga</t>
  </si>
  <si>
    <t>Pabellón de Arteaga</t>
  </si>
  <si>
    <t>UMF 5 Asientos</t>
  </si>
  <si>
    <t>Asientos</t>
  </si>
  <si>
    <t>UMF 6 Jesús María</t>
  </si>
  <si>
    <t>Jesús María</t>
  </si>
  <si>
    <t>UMF 159</t>
  </si>
  <si>
    <t>UMF 7 San Marcos</t>
  </si>
  <si>
    <t>UMF 155</t>
  </si>
  <si>
    <t>UMF 8 Aguascalientes</t>
  </si>
  <si>
    <t>UMF 237</t>
  </si>
  <si>
    <t>UMF 9 Aguascalientes</t>
  </si>
  <si>
    <t>UMF 10 Aguascalientes</t>
  </si>
  <si>
    <t>UMFH 028</t>
  </si>
  <si>
    <t>UMF 11 Aguascalientes</t>
  </si>
  <si>
    <t>UMF 232</t>
  </si>
  <si>
    <t>UMF 12 Villas de Nuestra
Señora de la Asunción</t>
  </si>
  <si>
    <t>Aguascalientes Sur</t>
  </si>
  <si>
    <t>UMF 1 Aguascalientes</t>
  </si>
  <si>
    <t>UMF 4 Calvillo</t>
  </si>
  <si>
    <t>Calvillo</t>
  </si>
  <si>
    <t>Otorrinolaringología Pediátrica</t>
  </si>
  <si>
    <t>Mexicali</t>
  </si>
  <si>
    <t>UMFH 2 Benito Juarez</t>
  </si>
  <si>
    <t>UMFH 3 C. Morelos</t>
  </si>
  <si>
    <t>Paido Psiquiatría</t>
  </si>
  <si>
    <t>UMFH 4 E. Durango</t>
  </si>
  <si>
    <t>UMFH 5 E. Nuevo León</t>
  </si>
  <si>
    <t>UMFH 10 Guadalupe Victoria</t>
  </si>
  <si>
    <t>Guadalupe Victoria (Km
43)</t>
  </si>
  <si>
    <t>Patología Clínica</t>
  </si>
  <si>
    <t>UMFH 15 E. Hermosillo</t>
  </si>
  <si>
    <t>UMF 16 Mexicali</t>
  </si>
  <si>
    <t>UMFH 24 San Felipe</t>
  </si>
  <si>
    <t>San Felipe</t>
  </si>
  <si>
    <t>UMF 26 Mexicali</t>
  </si>
  <si>
    <t>UMF 28 Mexicali</t>
  </si>
  <si>
    <t>HGPMF 31 Mexicali</t>
  </si>
  <si>
    <t>UMF 37 Palmar</t>
  </si>
  <si>
    <t>Patología Pediátrica</t>
  </si>
  <si>
    <t>UMF 40 Villas del Rey</t>
  </si>
  <si>
    <t>Tecate</t>
  </si>
  <si>
    <t>UMF 39 Tecate</t>
  </si>
  <si>
    <t>Pediatría Médica</t>
  </si>
  <si>
    <t>Ensenada</t>
  </si>
  <si>
    <t>HGZMF 8 Ensenada</t>
  </si>
  <si>
    <t>UMF 11 El Sauzal</t>
  </si>
  <si>
    <t>El Sauzal</t>
  </si>
  <si>
    <t>UMFH 13 San Quintín</t>
  </si>
  <si>
    <t>San Quintín</t>
  </si>
  <si>
    <t>UMF 240</t>
  </si>
  <si>
    <t>Proctología</t>
  </si>
  <si>
    <t>UMF 14 Valle Guadalupe</t>
  </si>
  <si>
    <t>El Porvenir (Guadalupe)</t>
  </si>
  <si>
    <t>UMF 22 San Vicente</t>
  </si>
  <si>
    <t>San Vicente</t>
  </si>
  <si>
    <t>UMF 25 Ensenada</t>
  </si>
  <si>
    <t>UMF 098</t>
  </si>
  <si>
    <t>Psiquiatría (Terapia Psicológica)</t>
  </si>
  <si>
    <t>UMF 29 Rosario</t>
  </si>
  <si>
    <t>El Rosario de Arriba</t>
  </si>
  <si>
    <t>UMF 32 Ensenada</t>
  </si>
  <si>
    <t>UMF 238</t>
  </si>
  <si>
    <t>San Luis Río Colorado</t>
  </si>
  <si>
    <t>UMFH 9 Luis B. Sánchez</t>
  </si>
  <si>
    <t>Ingeniero Luis B. Sánchez</t>
  </si>
  <si>
    <t>UMF 230</t>
  </si>
  <si>
    <t>UMF 38 S. Luis Rio Colorado</t>
  </si>
  <si>
    <t>Reumatología</t>
  </si>
  <si>
    <t>Tijuana</t>
  </si>
  <si>
    <t>HGOMF 7 Tijuana</t>
  </si>
  <si>
    <t>UMF 137</t>
  </si>
  <si>
    <t>UMF 17 Rosarito</t>
  </si>
  <si>
    <t>Playas de Rosarito</t>
  </si>
  <si>
    <t>UMF 18 Tijuana</t>
  </si>
  <si>
    <t>Reumatología Pediátrica</t>
  </si>
  <si>
    <t>UMFH 013</t>
  </si>
  <si>
    <t>UMFH 060</t>
  </si>
  <si>
    <t>UMF 19 Tijuana</t>
  </si>
  <si>
    <t>UMF 21 Rosarito</t>
  </si>
  <si>
    <t>HRO 035</t>
  </si>
  <si>
    <t>Salud en el Trabajo</t>
  </si>
  <si>
    <t>UMF 33 Tijuana</t>
  </si>
  <si>
    <t>Terapia Intensiva</t>
  </si>
  <si>
    <t>UMF 34 El Florido</t>
  </si>
  <si>
    <t>HRO 039</t>
  </si>
  <si>
    <t>UMFH 039</t>
  </si>
  <si>
    <t>UMF 35 Los Lobos</t>
  </si>
  <si>
    <t>HRO 066</t>
  </si>
  <si>
    <t>UMF 165</t>
  </si>
  <si>
    <t>Trasplante de Corazón</t>
  </si>
  <si>
    <t>UMF 192</t>
  </si>
  <si>
    <t>UMF 29</t>
  </si>
  <si>
    <t>UMF-UMAA 36 Mesa de Otay</t>
  </si>
  <si>
    <t>HRO 043</t>
  </si>
  <si>
    <t>La Paz</t>
  </si>
  <si>
    <t>HGZMF 1 La Paz</t>
  </si>
  <si>
    <t>UMF 225</t>
  </si>
  <si>
    <t>HGSMF 2 Cd. Constitución</t>
  </si>
  <si>
    <t>Comondú</t>
  </si>
  <si>
    <t>Ciudad Constitución</t>
  </si>
  <si>
    <t>UMF 3 Villa Insurgentes</t>
  </si>
  <si>
    <t>Ciudad Insurgentes</t>
  </si>
  <si>
    <t>UMF 4 San Carlos</t>
  </si>
  <si>
    <t>Puerto San Carlos</t>
  </si>
  <si>
    <t>UMF 8 Santa Rosalía</t>
  </si>
  <si>
    <t>Mulegé</t>
  </si>
  <si>
    <t>Santa Rosalía</t>
  </si>
  <si>
    <t>UMF 10 Adolfo López Mateos</t>
  </si>
  <si>
    <t>Puerto Adolfo López
Mateos</t>
  </si>
  <si>
    <t>UMF 11 Loreto</t>
  </si>
  <si>
    <t>Loreto</t>
  </si>
  <si>
    <t>HGSMF 023</t>
  </si>
  <si>
    <t>UMFH 041</t>
  </si>
  <si>
    <t>UMF 12 Isla de Cedros</t>
  </si>
  <si>
    <t>Isla de Cedros</t>
  </si>
  <si>
    <t>UMFH 044</t>
  </si>
  <si>
    <t>HGSMF 13 Isla de Cedros</t>
  </si>
  <si>
    <t>UMFH 046</t>
  </si>
  <si>
    <t>Trasplante de Córnea</t>
  </si>
  <si>
    <t>UMF 14 B. Tortugas</t>
  </si>
  <si>
    <t>Bahía Tortugas</t>
  </si>
  <si>
    <t>UMF 15 B. Asunción</t>
  </si>
  <si>
    <t>UMF 66</t>
  </si>
  <si>
    <t>Bahía Asunción</t>
  </si>
  <si>
    <t>HGZMF 013</t>
  </si>
  <si>
    <t>UMF 16 La Bocana</t>
  </si>
  <si>
    <t>La Bocana</t>
  </si>
  <si>
    <t>UMF 106</t>
  </si>
  <si>
    <t>UMF 19 Vízcaino</t>
  </si>
  <si>
    <t>Gustavo Díaz Ordaz</t>
  </si>
  <si>
    <t>Trasplante de Médula Ósea</t>
  </si>
  <si>
    <t>UMF-UMAA 34 La Paz</t>
  </si>
  <si>
    <t>UMFH 017</t>
  </si>
  <si>
    <t>UMF 35 Guerrero Negro</t>
  </si>
  <si>
    <t>Guerrero Negro</t>
  </si>
  <si>
    <t>UMF 17 Colorada</t>
  </si>
  <si>
    <t>Zacatecas, Zac</t>
  </si>
  <si>
    <t>UMF 40 La Paz</t>
  </si>
  <si>
    <t>UMF 43 Churumuco</t>
  </si>
  <si>
    <t>Morelia</t>
  </si>
  <si>
    <t>UMF 75 Jalacingo</t>
  </si>
  <si>
    <t>MartÍnez de la Torre, Ver</t>
  </si>
  <si>
    <t>tierra blanca ?</t>
  </si>
  <si>
    <t>Veracruz</t>
  </si>
  <si>
    <t>Ursulo Galván ?</t>
  </si>
  <si>
    <t>Cabo San Lucas</t>
  </si>
  <si>
    <t>UMF 6 San Jose del Cabo</t>
  </si>
  <si>
    <t>Los Cabos</t>
  </si>
  <si>
    <t>San José del Cabo</t>
  </si>
  <si>
    <t>Trasplante de Órganos Intrabdominales</t>
  </si>
  <si>
    <t>UMF 7 Cabo San Lucas</t>
  </si>
  <si>
    <t>HGSMF 26 Cabo San Lucas</t>
  </si>
  <si>
    <t>Traumatología y Ortopedia</t>
  </si>
  <si>
    <t>UMF 39 Cabo San Lucas</t>
  </si>
  <si>
    <t>Ciudad de Campeche</t>
  </si>
  <si>
    <t>HGZMF 1 Campeche</t>
  </si>
  <si>
    <t>San Francisco de
Campeche</t>
  </si>
  <si>
    <t>UMFH 2 Champotón</t>
  </si>
  <si>
    <t>Champotón</t>
  </si>
  <si>
    <t>UMF 3 La Joya</t>
  </si>
  <si>
    <t>Traumatologia Y Ortopedia Pediátrica</t>
  </si>
  <si>
    <t>La Joya</t>
  </si>
  <si>
    <t>UMF 5 Escarcega</t>
  </si>
  <si>
    <t>Escárcega</t>
  </si>
  <si>
    <t>UMF 8 Hopelchen</t>
  </si>
  <si>
    <t>Hopelchén</t>
  </si>
  <si>
    <t>Urología</t>
  </si>
  <si>
    <t>UMF 10 Santa Lucía</t>
  </si>
  <si>
    <t>UMF 11 Ah Kim Pech</t>
  </si>
  <si>
    <t>UMF 13 Campeche</t>
  </si>
  <si>
    <t>Ciudad del Carmen</t>
  </si>
  <si>
    <t>HGZMF 4 Cd. del Carmen</t>
  </si>
  <si>
    <t>Carmen</t>
  </si>
  <si>
    <t>UMF 9 Palizada</t>
  </si>
  <si>
    <t>Palizada</t>
  </si>
  <si>
    <t>UMF 12 Cd. del Carmen</t>
  </si>
  <si>
    <t>Saltillo</t>
  </si>
  <si>
    <t>HGZMF 2 Saltillo</t>
  </si>
  <si>
    <t>UMF 3 Ramos Arizpe</t>
  </si>
  <si>
    <t>Ramos Arizpe</t>
  </si>
  <si>
    <t>UMF 4 Arteaga</t>
  </si>
  <si>
    <t>Arteaga</t>
  </si>
  <si>
    <t>Urología Ginecológica</t>
  </si>
  <si>
    <t>HGSMF 6 Parras</t>
  </si>
  <si>
    <t>Parras</t>
  </si>
  <si>
    <t>Parras de La Fuente</t>
  </si>
  <si>
    <t>UMF 62 Gral. Cepeda</t>
  </si>
  <si>
    <t>General Cepeda</t>
  </si>
  <si>
    <t>Urología Pediátrica</t>
  </si>
  <si>
    <t>UMF 67 E. Hipólito</t>
  </si>
  <si>
    <t>Hipólito</t>
  </si>
  <si>
    <t>UMF 70 Saltillo</t>
  </si>
  <si>
    <t>UMF 73 Saltillo</t>
  </si>
  <si>
    <t>UMF 82 Urdiñola</t>
  </si>
  <si>
    <t>UMF 88 Ramos Arizpe</t>
  </si>
  <si>
    <t>UMF-UMAA 89 Saltillo</t>
  </si>
  <si>
    <t>UMF 91 Saltillo 2000</t>
  </si>
  <si>
    <t>Torreón</t>
  </si>
  <si>
    <t>HGZMF 16 Torreón</t>
  </si>
  <si>
    <t>HGZMF 18 Torreón</t>
  </si>
  <si>
    <t>HGSMF 20 Fco. I. Madero</t>
  </si>
  <si>
    <t>Francisco I. Madero</t>
  </si>
  <si>
    <t>Francisco I. Madero
(Chavez)</t>
  </si>
  <si>
    <t>HGSMF 21 S. Pedro Colonias</t>
  </si>
  <si>
    <t>San Pedro</t>
  </si>
  <si>
    <t>UMF 61 Laguna del Rey</t>
  </si>
  <si>
    <t>Sierra Mojada</t>
  </si>
  <si>
    <t>Salina del Rey (del Rey Sur)</t>
  </si>
  <si>
    <t>UMF 66 Torreón</t>
  </si>
  <si>
    <t>UMF 80 Torreón</t>
  </si>
  <si>
    <t>UMF 83 Matamoros</t>
  </si>
  <si>
    <t>Matamoros</t>
  </si>
  <si>
    <t>UMF 93 La Joya</t>
  </si>
  <si>
    <t>Ciudad Acuña</t>
  </si>
  <si>
    <t>UMF 81 Cd. Acuña</t>
  </si>
  <si>
    <t>Acuña</t>
  </si>
  <si>
    <t>UMF 87 INFONAVIT</t>
  </si>
  <si>
    <t>Piedras Negras</t>
  </si>
  <si>
    <t>UMF 12 Allende</t>
  </si>
  <si>
    <t>Allende</t>
  </si>
  <si>
    <t>UMF 14 Zaragoza</t>
  </si>
  <si>
    <t>Zaragoza</t>
  </si>
  <si>
    <t>UMF 15 Villa Unión</t>
  </si>
  <si>
    <t>Villa Unión</t>
  </si>
  <si>
    <t>UMF 60 Nava</t>
  </si>
  <si>
    <t>Nava</t>
  </si>
  <si>
    <t>UMF 64 Morelos</t>
  </si>
  <si>
    <t>UMF 79 Piedras Negras</t>
  </si>
  <si>
    <t>Monclova</t>
  </si>
  <si>
    <t>HGZMF 7 Monclova</t>
  </si>
  <si>
    <t>UMF 8 Castaños</t>
  </si>
  <si>
    <t>Castaños</t>
  </si>
  <si>
    <t>UMF 9 Villa Frontera</t>
  </si>
  <si>
    <t>Frontera</t>
  </si>
  <si>
    <t>UMF 10 S. Buenaventura</t>
  </si>
  <si>
    <t>San Buenaventura</t>
  </si>
  <si>
    <t>UMF 50 Cuatro Cienegas</t>
  </si>
  <si>
    <t>Cuatro Ciénegas</t>
  </si>
  <si>
    <t>Cuatro Ciénegas de
Carranza</t>
  </si>
  <si>
    <t>UMRM 52 Ocampo</t>
  </si>
  <si>
    <t>Ocampo</t>
  </si>
  <si>
    <t>UMF 74 Nadadores</t>
  </si>
  <si>
    <t>Nadadores</t>
  </si>
  <si>
    <t>UMF 84 Monclova</t>
  </si>
  <si>
    <t>UMF 85 Roma</t>
  </si>
  <si>
    <t>Sacramento</t>
  </si>
  <si>
    <t>UMF 86 Monclova</t>
  </si>
  <si>
    <t>Sabinas</t>
  </si>
  <si>
    <t>UMF 23 Sabinas</t>
  </si>
  <si>
    <t>San Juan de Sabinas</t>
  </si>
  <si>
    <t>HGZMF 24 Nueva Rosita</t>
  </si>
  <si>
    <t>Nueva Rosita</t>
  </si>
  <si>
    <t>UMF 25 Melchor Muz</t>
  </si>
  <si>
    <t>Múzquiz</t>
  </si>
  <si>
    <t>Ciudad Melchor Múzquiz</t>
  </si>
  <si>
    <t>UMF 26 Agujita</t>
  </si>
  <si>
    <t>HGSMF 27 Palau</t>
  </si>
  <si>
    <t>Palaú</t>
  </si>
  <si>
    <t>UMF 28 Rancherías</t>
  </si>
  <si>
    <t>Rancherías</t>
  </si>
  <si>
    <t>UMF 29 Esperanzas</t>
  </si>
  <si>
    <t>Las Esperanzas</t>
  </si>
  <si>
    <t>UMF 31 Barroteran</t>
  </si>
  <si>
    <t>Minas de Barroterán</t>
  </si>
  <si>
    <t>UMF 32 San José Aura</t>
  </si>
  <si>
    <t>Progreso</t>
  </si>
  <si>
    <t>San José de Aura</t>
  </si>
  <si>
    <t>UMF 5 Cuauhtémoc</t>
  </si>
  <si>
    <t>Cuauhtémoc</t>
  </si>
  <si>
    <t>UMF 6 Quesería</t>
  </si>
  <si>
    <t>Quesería</t>
  </si>
  <si>
    <t>UMF 11 Colima</t>
  </si>
  <si>
    <t>UMF 16 Colima</t>
  </si>
  <si>
    <t>UMF 18 Colima</t>
  </si>
  <si>
    <t>Villa de Álvarez</t>
  </si>
  <si>
    <t>UMF 19 Colima</t>
  </si>
  <si>
    <t>Manzanillo</t>
  </si>
  <si>
    <t>UMF 2 Manzanillo</t>
  </si>
  <si>
    <t>UMF 9 Minatitlán</t>
  </si>
  <si>
    <t>Minatitlán</t>
  </si>
  <si>
    <t>UMF 17 Manzanillo</t>
  </si>
  <si>
    <t>IMSS 2027</t>
  </si>
  <si>
    <t>Tecomán</t>
  </si>
  <si>
    <t>UMF 3 Armería</t>
  </si>
  <si>
    <t>fuente: PEF</t>
  </si>
  <si>
    <t>Armería</t>
  </si>
  <si>
    <t>Ciudad de Armeria</t>
  </si>
  <si>
    <t>pensiones y jubilaciones</t>
  </si>
  <si>
    <t>HGSMF 4 Tecomán</t>
  </si>
  <si>
    <t>Tuxtla Gutiérrez</t>
  </si>
  <si>
    <t>UMF 13 Tuxtla Gutiérrez</t>
  </si>
  <si>
    <t>sueldos</t>
  </si>
  <si>
    <t>productos químicos, farmacéuticos, laboratorio</t>
  </si>
  <si>
    <t>UMF 14 I. Pujiltic</t>
  </si>
  <si>
    <t>Venustiano Carranza</t>
  </si>
  <si>
    <t>San Francisco Pujiltic</t>
  </si>
  <si>
    <t>UMF 17 S.Cristobal</t>
  </si>
  <si>
    <t>San Cristóbal de las Casas</t>
  </si>
  <si>
    <t>San Cristóbal de Las Casas</t>
  </si>
  <si>
    <t>otros (mobiliario, donaciones, combustible, vestuario, etc)</t>
  </si>
  <si>
    <t>UMF 18 Comitan</t>
  </si>
  <si>
    <t>Comitán de Domínguez</t>
  </si>
  <si>
    <t>UMF 20 Angostura</t>
  </si>
  <si>
    <t>La Angostura</t>
  </si>
  <si>
    <t>UMF 21 Chicoasén</t>
  </si>
  <si>
    <t>Chicoasén</t>
  </si>
  <si>
    <t>UMF-UMAA 23 Tuxtla
Gutiérrez</t>
  </si>
  <si>
    <t>UMF 24 Cintalapa</t>
  </si>
  <si>
    <t>Cintalapa</t>
  </si>
  <si>
    <t>Cintalapa de Figueroa</t>
  </si>
  <si>
    <t>UMF 25 Tuxtla Gutiérrez</t>
  </si>
  <si>
    <t>UMF 34 Villaflores</t>
  </si>
  <si>
    <t>Villaflores</t>
  </si>
  <si>
    <t>UMF 40 Cd. Reforma</t>
  </si>
  <si>
    <t>Reforma</t>
  </si>
  <si>
    <t>UMF 41 Mal Paso</t>
  </si>
  <si>
    <t>Tecpatán</t>
  </si>
  <si>
    <t>Raudales Malpaso</t>
  </si>
  <si>
    <t>UMF 42 Peñitas</t>
  </si>
  <si>
    <t>Ostuacán</t>
  </si>
  <si>
    <t>Peñitas</t>
  </si>
  <si>
    <t>UMF 43 Pichucalco</t>
  </si>
  <si>
    <t>Pichucalco</t>
  </si>
  <si>
    <t>UMF 44 Estación Júarez</t>
  </si>
  <si>
    <t>Juárez</t>
  </si>
  <si>
    <t>UMF 45 Palenque</t>
  </si>
  <si>
    <t>Palenque</t>
  </si>
  <si>
    <t>Tapachula</t>
  </si>
  <si>
    <t>UMF 1 Tapachula</t>
  </si>
  <si>
    <t>Tapachula de Córdova Y
Ordóñez</t>
  </si>
  <si>
    <t>UMF 4 E. Sto. Domingo</t>
  </si>
  <si>
    <t>Unión Juárez</t>
  </si>
  <si>
    <t>Santo Domingo</t>
  </si>
  <si>
    <t>UMF 5 Cd. Hidalgo</t>
  </si>
  <si>
    <t>Suchiate</t>
  </si>
  <si>
    <t>Ciudad Hidalgo</t>
  </si>
  <si>
    <t>UMF 6 F. Chapultepec</t>
  </si>
  <si>
    <t>Chapultepec</t>
  </si>
  <si>
    <t>UMF 7 Mazatán</t>
  </si>
  <si>
    <t>Mazatán</t>
  </si>
  <si>
    <t>UMF 11 Tapachula</t>
  </si>
  <si>
    <t>UMF 12 Cacahoatan</t>
  </si>
  <si>
    <t>Cacahoatán</t>
  </si>
  <si>
    <t>HGSMF 15 Tonala</t>
  </si>
  <si>
    <t>Tonalá</t>
  </si>
  <si>
    <t>UMF 16 Arriaga</t>
  </si>
  <si>
    <t>Arriaga</t>
  </si>
  <si>
    <t>HGSMF 19 Huixtla</t>
  </si>
  <si>
    <t>Huixtla</t>
  </si>
  <si>
    <t>UMF 22 Acapetahua</t>
  </si>
  <si>
    <t>Acapetahua</t>
  </si>
  <si>
    <t>UMF 26 Escuintha</t>
  </si>
  <si>
    <t>Escuintla</t>
  </si>
  <si>
    <t>UMF 27 Frontera</t>
  </si>
  <si>
    <t>Frontera Comalapa</t>
  </si>
  <si>
    <t>UMF 29 Mapastepec</t>
  </si>
  <si>
    <t>Mapastepec</t>
  </si>
  <si>
    <t>UMF 33 Pijijiapan</t>
  </si>
  <si>
    <t>Pijijiapan</t>
  </si>
  <si>
    <t>UMF 2 Nombre de Dios</t>
  </si>
  <si>
    <t>UMF 3 Villa Aldama</t>
  </si>
  <si>
    <t>Aldama</t>
  </si>
  <si>
    <t>Juan Aldama</t>
  </si>
  <si>
    <t>UMF 4 Ávalos</t>
  </si>
  <si>
    <t>UMF 28 Fco. Portillo</t>
  </si>
  <si>
    <t>Aquiles Serdán</t>
  </si>
  <si>
    <t>Santo Domingo (Francisco
Portillo)</t>
  </si>
  <si>
    <t>UMF 29 Chihuahua</t>
  </si>
  <si>
    <t>UMFH 30 Ojinaga</t>
  </si>
  <si>
    <t>Ojinaga</t>
  </si>
  <si>
    <t>Manuel Ojinaga</t>
  </si>
  <si>
    <t>UMF-UMAA 33 Chihuahua</t>
  </si>
  <si>
    <t>UMF 44 Chihuahua</t>
  </si>
  <si>
    <t>UMF 58 Chihuahua</t>
  </si>
  <si>
    <t>UMF 69 Chihuahua</t>
  </si>
  <si>
    <t>UMFH 5 C. Madera</t>
  </si>
  <si>
    <t>Madera</t>
  </si>
  <si>
    <t>UMFH 7 Mesa Huracán</t>
  </si>
  <si>
    <t>El Huracán</t>
  </si>
  <si>
    <t>HGZMF 16 Cd. Cuauhtémoc</t>
  </si>
  <si>
    <t>HGSMF 17 Anáhuac</t>
  </si>
  <si>
    <t>Colonia Anáhuac</t>
  </si>
  <si>
    <t>UMFH 31 La Junta</t>
  </si>
  <si>
    <t>Los Tablones</t>
  </si>
  <si>
    <t>UMF 32 E. Creel</t>
  </si>
  <si>
    <t>Urique</t>
  </si>
  <si>
    <t>San Rafael</t>
  </si>
  <si>
    <t>UMF 38 Guerrero</t>
  </si>
  <si>
    <t>Vicente Guerrero</t>
  </si>
  <si>
    <t>UMF 39 El Molino</t>
  </si>
  <si>
    <t>Namiquipa</t>
  </si>
  <si>
    <t>UMF 41 Gómez Farias</t>
  </si>
  <si>
    <t>Gómez Farías</t>
  </si>
  <si>
    <t>Valentín Gómez Farías</t>
  </si>
  <si>
    <t>Delicias</t>
  </si>
  <si>
    <t>HGZMF 11 Cd. Delicias</t>
  </si>
  <si>
    <t>UMF 12 Meoqui</t>
  </si>
  <si>
    <t>Meoqui</t>
  </si>
  <si>
    <t>Pedro Meoqui</t>
  </si>
  <si>
    <t>UMF 13 Saucillo</t>
  </si>
  <si>
    <t>Saucillo</t>
  </si>
  <si>
    <t>UMF 14 Rosales</t>
  </si>
  <si>
    <t>Rosales</t>
  </si>
  <si>
    <t>Santa Cruz de Rosales</t>
  </si>
  <si>
    <t>UMF 20 Delicias</t>
  </si>
  <si>
    <t>UMFH 21 C. Camargo</t>
  </si>
  <si>
    <t>Camargo</t>
  </si>
  <si>
    <t>Santa Rosalía de Camargo</t>
  </si>
  <si>
    <t>UMFH 25 Naica</t>
  </si>
  <si>
    <t>Naica</t>
  </si>
  <si>
    <t>UMF 27 Lázaro Cárdenas</t>
  </si>
  <si>
    <t>Lázaro Cárdenas</t>
  </si>
  <si>
    <t>UMF 57 Delicias</t>
  </si>
  <si>
    <t>Nuevo Casas Grandes</t>
  </si>
  <si>
    <t>UMF 37 Ascención</t>
  </si>
  <si>
    <t>Ascensión</t>
  </si>
  <si>
    <t>UMF 40 Ricardo Flores</t>
  </si>
  <si>
    <t>Buenaventura</t>
  </si>
  <si>
    <t>Flores Magón</t>
  </si>
  <si>
    <t>UMF 42 Casas Grandes</t>
  </si>
  <si>
    <t>UMF 45 Rodrigo M. Quevedo</t>
  </si>
  <si>
    <t>El Camello</t>
  </si>
  <si>
    <t>UMF 54 N. Casas Grandes</t>
  </si>
  <si>
    <t>UMF 55 Valle Buenaventura</t>
  </si>
  <si>
    <t>Juárez 1</t>
  </si>
  <si>
    <t>UMF 10 V. Ahumada</t>
  </si>
  <si>
    <t>Ahumada</t>
  </si>
  <si>
    <t>Miguel Ahumada</t>
  </si>
  <si>
    <t>UMF 43 Gpe Distrito</t>
  </si>
  <si>
    <t>Guadalupe</t>
  </si>
  <si>
    <t>UMF 47 Cd. Juárez</t>
  </si>
  <si>
    <t>UMF 48 Cd. Juárez</t>
  </si>
  <si>
    <t>UMF 50 Cd. Juárez</t>
  </si>
  <si>
    <t>UMF 56 Cd. Juárez</t>
  </si>
  <si>
    <t>UMF 61 Cd. Juárez</t>
  </si>
  <si>
    <t>UMF 62 Cd. Juárez</t>
  </si>
  <si>
    <t>UMF 63 Cd. Juárez</t>
  </si>
  <si>
    <t>UMF 64 Cd. Juárez</t>
  </si>
  <si>
    <t>claves usadas</t>
  </si>
  <si>
    <t>gasto imss</t>
  </si>
  <si>
    <t>sueldos base</t>
  </si>
  <si>
    <t>medicamentos y productos famacéuticos</t>
  </si>
  <si>
    <t>otros</t>
  </si>
  <si>
    <t>% pensiones</t>
  </si>
  <si>
    <t>% sueldos base</t>
  </si>
  <si>
    <t>% medicinas</t>
  </si>
  <si>
    <t>% otros</t>
  </si>
  <si>
    <t>UMF 65 Cd. Juárez</t>
  </si>
  <si>
    <t>UMF 67 Cd. Juárez</t>
  </si>
  <si>
    <t>UMF 70 Ciudad Juárez</t>
  </si>
  <si>
    <t>Hidalgo del Parral</t>
  </si>
  <si>
    <t>UMF 8 Sta. Barbara</t>
  </si>
  <si>
    <t>Santa Bárbara</t>
  </si>
  <si>
    <t>UMF 9 S. Fco. del Oro</t>
  </si>
  <si>
    <t>San Francisco del Oro</t>
  </si>
  <si>
    <t>HGZMF 23 Hidalgo Parral</t>
  </si>
  <si>
    <t>1103 Sueldos base</t>
  </si>
  <si>
    <t>1100 Remuneraciones al Personal de Carácter Permanente</t>
  </si>
  <si>
    <t>1100 Remuneraciones al personal de caracter permanente</t>
  </si>
  <si>
    <t>UMFH 24 C. Jiménez</t>
  </si>
  <si>
    <t>11301 Sueldos base</t>
  </si>
  <si>
    <t>Jiménez</t>
  </si>
  <si>
    <t>José Mariano Jiménez</t>
  </si>
  <si>
    <t>Juárez 2</t>
  </si>
  <si>
    <t>UMF 34 Cd. Juárez</t>
  </si>
  <si>
    <t>2100 Materiales y Útiles de Administración y de Enseñanza</t>
  </si>
  <si>
    <t>1201 Honorarios</t>
  </si>
  <si>
    <t>UMF 46 Cd. Juárez</t>
  </si>
  <si>
    <t>2504 Medicinas y productos farmacéuticos</t>
  </si>
  <si>
    <t>2500 Materias Primas de Producción, Productos Químicos, Farmacéuticos y de Laboratorio</t>
  </si>
  <si>
    <t>2500 Productos quimicos, farmaceuticos y de laboratorio</t>
  </si>
  <si>
    <t>25301 Medicinas y productos farmacéuticos</t>
  </si>
  <si>
    <t>253 Medicinas y productos farmacéuticos</t>
  </si>
  <si>
    <t>UMF 1 Durango</t>
  </si>
  <si>
    <t>Victoria de Durango</t>
  </si>
  <si>
    <t>7700 Pago de Pensiones y Jubilaciones</t>
  </si>
  <si>
    <t>1202 Sueldos base al personal eventual</t>
  </si>
  <si>
    <t>4500 Pensiones y jubilaciones</t>
  </si>
  <si>
    <t>HGSMF 2 El Salto</t>
  </si>
  <si>
    <t>Pueblo Nuevo</t>
  </si>
  <si>
    <t>El Salto</t>
  </si>
  <si>
    <t>UMFH 3 Sn. Miguel Cruces</t>
  </si>
  <si>
    <t>San Dimas</t>
  </si>
  <si>
    <t>San Miguel de Cruces</t>
  </si>
  <si>
    <t>UMF 4 Villa Unión</t>
  </si>
  <si>
    <t>Poanas</t>
  </si>
  <si>
    <t>UMF 5 Guanacevi</t>
  </si>
  <si>
    <t>Guanaceví</t>
  </si>
  <si>
    <t>UMFH 6 Canatlán</t>
  </si>
  <si>
    <t>Canatlán</t>
  </si>
  <si>
    <t>UMF 7 Nuevo Ideal</t>
  </si>
  <si>
    <t>Nuevo Ideal</t>
  </si>
  <si>
    <t>UMF 19 La Ciudad</t>
  </si>
  <si>
    <t>La Ciudad</t>
  </si>
  <si>
    <t>pef</t>
  </si>
  <si>
    <t>HospitaL Rural Guadalupe</t>
  </si>
  <si>
    <t>Guadalupe Victoria</t>
  </si>
  <si>
    <t>salud</t>
  </si>
  <si>
    <t>imss bienestar</t>
  </si>
  <si>
    <t>imss</t>
  </si>
  <si>
    <t>issste</t>
  </si>
  <si>
    <t>INPC</t>
  </si>
  <si>
    <t>Hospital Rural Rodeoe</t>
  </si>
  <si>
    <t>Rodeo</t>
  </si>
  <si>
    <t>UMF 40 Sn. Juan Río</t>
  </si>
  <si>
    <t>San Juan del Río</t>
  </si>
  <si>
    <t>San Juan del Río del
Centauro del Norte</t>
  </si>
  <si>
    <t>UMF 41 Santiago</t>
  </si>
  <si>
    <t>Santiago Papasquiaro</t>
  </si>
  <si>
    <t>UMF 42 Tepehuanes</t>
  </si>
  <si>
    <t>Tepehuanes</t>
  </si>
  <si>
    <t>Santa Catarina de
Tepehuanes</t>
  </si>
  <si>
    <t>UMF 44 Durango</t>
  </si>
  <si>
    <t>UMF 49 Durango</t>
  </si>
  <si>
    <t>UMF 50 Durango</t>
  </si>
  <si>
    <t>UMF 52 Nombre de Dios</t>
  </si>
  <si>
    <t>Nombre de Dios</t>
  </si>
  <si>
    <t>Hospital Rural Vicente
Guerrero</t>
  </si>
  <si>
    <t>Gómez Palacio</t>
  </si>
  <si>
    <t>UMF 10 Gómez Palacio</t>
  </si>
  <si>
    <t>UMF 11 Cd. Lerdo</t>
  </si>
  <si>
    <t>Lerdo</t>
  </si>
  <si>
    <t>Ciudad Lerdo</t>
  </si>
  <si>
    <t>UMFH 13 Tlahuallilo</t>
  </si>
  <si>
    <t>Tlahualilo</t>
  </si>
  <si>
    <t>Tlahualilo de Zaragoza</t>
  </si>
  <si>
    <t>2025-2026</t>
  </si>
  <si>
    <t>UMF 14 Cuencame</t>
  </si>
  <si>
    <t>presupuesto imss</t>
  </si>
  <si>
    <t>Cuencamé</t>
  </si>
  <si>
    <t>Cuencamé de Ceniceros</t>
  </si>
  <si>
    <t>UMF 20 Ceballos</t>
  </si>
  <si>
    <t>Mapimí</t>
  </si>
  <si>
    <t>Ceballos</t>
  </si>
  <si>
    <t>UMFH 24 Pueblo Nuevo</t>
  </si>
  <si>
    <t>Dinamita</t>
  </si>
  <si>
    <t>UMF 29 Gómez Palacio</t>
  </si>
  <si>
    <t>UMF 30 Bermejillo</t>
  </si>
  <si>
    <t>Bermejillo</t>
  </si>
  <si>
    <t>UMF 31 Sta. Cruz Lujan</t>
  </si>
  <si>
    <t>Santa Cruz Luján</t>
  </si>
  <si>
    <t>UMF 32 El Vergel</t>
  </si>
  <si>
    <t>El Vergel</t>
  </si>
  <si>
    <t>UMF 33 Picardías</t>
  </si>
  <si>
    <t>Picardías</t>
  </si>
  <si>
    <t>UMF 34 A. Mtz. Adame</t>
  </si>
  <si>
    <t>Arturo Martínez Adame</t>
  </si>
  <si>
    <t>UMF 35 Pedriceña</t>
  </si>
  <si>
    <t>Pedriceña (Estación
Pedriceña)</t>
  </si>
  <si>
    <t>UMF 43 Gómez Palacio</t>
  </si>
  <si>
    <t>UMF 45 Mapimi</t>
  </si>
  <si>
    <t>UMF 047 Santa María del Oro</t>
  </si>
  <si>
    <t>El Oro</t>
  </si>
  <si>
    <t>Santa María del Oro</t>
  </si>
  <si>
    <t>UMF 48 Nazas</t>
  </si>
  <si>
    <t>Nazas</t>
  </si>
  <si>
    <t>UMF-UMAA 53 Gómez Palacio</t>
  </si>
  <si>
    <t>UMFH 11 S. Miguel Allende</t>
  </si>
  <si>
    <t>San Miguel de Allende</t>
  </si>
  <si>
    <t>UMFH 12 Dolores Hidalgo</t>
  </si>
  <si>
    <t>Dolores Hidalgo Cuna de la
Independencia Nacional</t>
  </si>
  <si>
    <t>Dolores Hidalgo Cuna de
La Independencia Nal.</t>
  </si>
  <si>
    <t>HGSMF 20 S. Luis Paz</t>
  </si>
  <si>
    <t>San Luis de la Paz</t>
  </si>
  <si>
    <t>San Luis de La Paz</t>
  </si>
  <si>
    <t>UMF 29 San Diego de la Unión</t>
  </si>
  <si>
    <t>San Diego de la Unión</t>
  </si>
  <si>
    <t>UMF 38 S. José Iturbide</t>
  </si>
  <si>
    <t>San José Iturbide</t>
  </si>
  <si>
    <t>UMF 46 Guanajuato</t>
  </si>
  <si>
    <t>UMF 50 Guanajuato</t>
  </si>
  <si>
    <t>Irapuato</t>
  </si>
  <si>
    <t>HGZMF 2 Irapuato</t>
  </si>
  <si>
    <t>UMFH 9 Penjamo</t>
  </si>
  <si>
    <t>Pénjamo</t>
  </si>
  <si>
    <t>UMF 22 Abasolo</t>
  </si>
  <si>
    <t>Abasolo</t>
  </si>
  <si>
    <t>UMF 32 Cueramaro</t>
  </si>
  <si>
    <t>Cuerámaro</t>
  </si>
  <si>
    <t>UMF 35 Pueblo Nuevo</t>
  </si>
  <si>
    <t>UMF 44 Irapuato</t>
  </si>
  <si>
    <t>UMF 45 Irapuato</t>
  </si>
  <si>
    <t>UMF 57 Irapuato</t>
  </si>
  <si>
    <t>Celaya</t>
  </si>
  <si>
    <t>UMF 5 Comonfort</t>
  </si>
  <si>
    <t>Comonfort</t>
  </si>
  <si>
    <t>UMFH 6 Cortazar</t>
  </si>
  <si>
    <t>Cortazar</t>
  </si>
  <si>
    <t>UMFH 8 Salvatierra</t>
  </si>
  <si>
    <t>Salvatierra</t>
  </si>
  <si>
    <t>HGSMF 13 Acambaro</t>
  </si>
  <si>
    <t>Acámbaro</t>
  </si>
  <si>
    <t>UMF 17 Soria</t>
  </si>
  <si>
    <t>Empalme Escobedo</t>
  </si>
  <si>
    <t>UMF 18 Apaseo el Alto</t>
  </si>
  <si>
    <t>Apaseo el Alto</t>
  </si>
  <si>
    <t>Apaseo El Alto</t>
  </si>
  <si>
    <t>UMF 23 Apaseo Grande</t>
  </si>
  <si>
    <t>Apaseo el Grande</t>
  </si>
  <si>
    <t>Apaseo El Grande</t>
  </si>
  <si>
    <t>UMF 40 Villagran</t>
  </si>
  <si>
    <t>Villagrán</t>
  </si>
  <si>
    <t>UMF 41 Tarimoro</t>
  </si>
  <si>
    <t>Tarimoro</t>
  </si>
  <si>
    <t>UMF 49 Celaya</t>
  </si>
  <si>
    <t>UMF 59 Celaya</t>
  </si>
  <si>
    <t>Salamanca</t>
  </si>
  <si>
    <t>HGZMF 3 Salamanca</t>
  </si>
  <si>
    <t>derechohabientes 
potenciales</t>
  </si>
  <si>
    <t>derechohabientes 
adscritos umf
al 31 dic
Dirección de Incorporación y Recaudación</t>
  </si>
  <si>
    <t>derechohabientes 
adscritos umf
promedio anual
Fuente: Dirección de Prestaciones Médicas y Dirección de Incorporación y Recaudación</t>
  </si>
  <si>
    <t>HGSMF 15 MoroLeón</t>
  </si>
  <si>
    <t>fuente: IMSS</t>
  </si>
  <si>
    <t>Moroleón</t>
  </si>
  <si>
    <t>UMF 16 S. Cruz Juventino</t>
  </si>
  <si>
    <t>Santa Cruz de Juventino Rosas</t>
  </si>
  <si>
    <t>Juventino Rosas</t>
  </si>
  <si>
    <t>UMF 19 V. Santiago</t>
  </si>
  <si>
    <t>Valle de Santiago</t>
  </si>
  <si>
    <t>UMF 34 Jaral Progreso</t>
  </si>
  <si>
    <t>Jaral del Progreso</t>
  </si>
  <si>
    <t>UMF 36 Yuriria</t>
  </si>
  <si>
    <t>Yuriria</t>
  </si>
  <si>
    <t>León</t>
  </si>
  <si>
    <t>UMF 14 Silao</t>
  </si>
  <si>
    <t>Silao de la Victoria</t>
  </si>
  <si>
    <t>Silao</t>
  </si>
  <si>
    <t>HGZMF 21 León</t>
  </si>
  <si>
    <t>León de Los Aldama</t>
  </si>
  <si>
    <t>UMF 24 Manuel Doblado</t>
  </si>
  <si>
    <t>Manuel Doblado</t>
  </si>
  <si>
    <t>Ciudad Manuel Doblado</t>
  </si>
  <si>
    <t>UMF 25 Jaral de Berrios</t>
  </si>
  <si>
    <t>UMF 26 Ocampo</t>
  </si>
  <si>
    <t>UMF 27 Purísima</t>
  </si>
  <si>
    <t>Purísima del Rincón</t>
  </si>
  <si>
    <t>Purísima de Bustos</t>
  </si>
  <si>
    <t>UMF 28 Romita</t>
  </si>
  <si>
    <t>Romita</t>
  </si>
  <si>
    <t>UMF 30 S. Felipe</t>
  </si>
  <si>
    <t>UMF 51 León</t>
  </si>
  <si>
    <t>UMF 52 San Francisco del
Rincón</t>
  </si>
  <si>
    <t>San Francisco del Rincón</t>
  </si>
  <si>
    <t>UMF 53 León</t>
  </si>
  <si>
    <t>UMF 56 Las Mandarinas</t>
  </si>
  <si>
    <t>UMF 60 Los Naranjos</t>
  </si>
  <si>
    <t>León de los Aldama</t>
  </si>
  <si>
    <t>Chilpancingo</t>
  </si>
  <si>
    <t>HGSMF 3 Chilpancingo</t>
  </si>
  <si>
    <t>Chilpancingo de los Bravo</t>
  </si>
  <si>
    <t>Chilpancingo de Los Bravo</t>
  </si>
  <si>
    <t>UMF 7 Tierra Colorada</t>
  </si>
  <si>
    <t>Juan R. Escudero</t>
  </si>
  <si>
    <t>Tierra Colorada</t>
  </si>
  <si>
    <t>UMF 23 Chilapa</t>
  </si>
  <si>
    <t>Chilapa de Álvarez</t>
  </si>
  <si>
    <t>UMF 030 Tlapa de Comonfort</t>
  </si>
  <si>
    <t>Tlapa de Comonfort</t>
  </si>
  <si>
    <t>UMF 31 Mezcala</t>
  </si>
  <si>
    <t>Eduardo Neri</t>
  </si>
  <si>
    <t>Mezcala</t>
  </si>
  <si>
    <t>Acapulco</t>
  </si>
  <si>
    <t>UMF 2 La Garita</t>
  </si>
  <si>
    <t>Acapulco de Juárez</t>
  </si>
  <si>
    <t>UMF 9 Acapulco</t>
  </si>
  <si>
    <t>UMU Atoyac de Álvarez</t>
  </si>
  <si>
    <t>Atoyac de Álvarez</t>
  </si>
  <si>
    <t>UMF 12 S. Marcos</t>
  </si>
  <si>
    <t>San Marcos</t>
  </si>
  <si>
    <t>UMU Técpan de Galeana</t>
  </si>
  <si>
    <t>Técpan de Galeana</t>
  </si>
  <si>
    <t>UMF 016 Coyuca de Benítez</t>
  </si>
  <si>
    <t>Coyuca de Benítez</t>
  </si>
  <si>
    <t>UMF 25 Ometepec</t>
  </si>
  <si>
    <t>Ometepec</t>
  </si>
  <si>
    <t>UMF 26 Acapulco</t>
  </si>
  <si>
    <t>UMF 28 El Coloso</t>
  </si>
  <si>
    <t>UMF-UMAA 29 Diamante</t>
  </si>
  <si>
    <t>Iguala</t>
  </si>
  <si>
    <t>HGZMF 4 Iguala</t>
  </si>
  <si>
    <t>Iguala de la Independencia</t>
  </si>
  <si>
    <t>Iguala de La Independencia</t>
  </si>
  <si>
    <t>HGSMF 5 Taxco</t>
  </si>
  <si>
    <t>Taxco de Alarcón</t>
  </si>
  <si>
    <t>HGSMF 19 Cd. Altamirano</t>
  </si>
  <si>
    <t>Pungarabato</t>
  </si>
  <si>
    <t>Ciudad Altamirano</t>
  </si>
  <si>
    <t>UMF 20 Coyuca</t>
  </si>
  <si>
    <t>Coyuca de Catalán</t>
  </si>
  <si>
    <t>Coyuca de Catalan</t>
  </si>
  <si>
    <t>UMF 21 Cutzamala</t>
  </si>
  <si>
    <t>Cutzamala de Pinzón</t>
  </si>
  <si>
    <t>UMF 022 Teloloapan</t>
  </si>
  <si>
    <t>Teloloapan</t>
  </si>
  <si>
    <t>Zihuatanejo</t>
  </si>
  <si>
    <t>HGZMF 8 Zihuatanejo</t>
  </si>
  <si>
    <t>Zihuatanejo de Azueta</t>
  </si>
  <si>
    <t>UMF 15 Petatlan</t>
  </si>
  <si>
    <t>Petatlán</t>
  </si>
  <si>
    <t>UMF 17 La Unión</t>
  </si>
  <si>
    <t>La Unión de Isidoro Montes
de Oca</t>
  </si>
  <si>
    <t>La Unión</t>
  </si>
  <si>
    <t>UMF 27 Petacalco</t>
  </si>
  <si>
    <t>Petacalco</t>
  </si>
  <si>
    <t>Pachuca</t>
  </si>
  <si>
    <t>HGZMF 1 Pachuca</t>
  </si>
  <si>
    <t>Pachuca de Soto</t>
  </si>
  <si>
    <t>UMF 16 Actopan</t>
  </si>
  <si>
    <t>Actopan</t>
  </si>
  <si>
    <t>UMF 18 Tizayuca</t>
  </si>
  <si>
    <t>Tizayuca</t>
  </si>
  <si>
    <t>UMF 25 Mineral Monte</t>
  </si>
  <si>
    <t>Mineral del Monte</t>
  </si>
  <si>
    <t>UMF 29 Huichapan</t>
  </si>
  <si>
    <t>Huichapan</t>
  </si>
  <si>
    <t>UMF 31 Zimapan</t>
  </si>
  <si>
    <t>Zimapán</t>
  </si>
  <si>
    <t>UMF 32 Pachuca</t>
  </si>
  <si>
    <t>UMF 35 Fraccionamiento la
Colonia</t>
  </si>
  <si>
    <t>Tulancingo</t>
  </si>
  <si>
    <t>UMFH 3 Cuautepec</t>
  </si>
  <si>
    <t>Cuautepec de Hinojosa</t>
  </si>
  <si>
    <t>UMF 4 SantiagoTulant</t>
  </si>
  <si>
    <t>Santiago Tulantepec de Lugo
Guerrero</t>
  </si>
  <si>
    <t>Santiago Tulantepec</t>
  </si>
  <si>
    <t>UMF 34 Tulancingo</t>
  </si>
  <si>
    <t>Tulancingo de Bravo</t>
  </si>
  <si>
    <t>Ciudad Sahagún</t>
  </si>
  <si>
    <t>HGZMF 8 Cd. Sahagún</t>
  </si>
  <si>
    <t>Tepeapulco</t>
  </si>
  <si>
    <t>Fray Bernardino de Sahagún (Ciudad Sahagún)</t>
  </si>
  <si>
    <t>UMF 15 Apan</t>
  </si>
  <si>
    <t>Apan</t>
  </si>
  <si>
    <t>Tula de Allende</t>
  </si>
  <si>
    <t>HGZMF 5 Tula de Hidalgo</t>
  </si>
  <si>
    <t>HGZMF 6 Tepeji del Río</t>
  </si>
  <si>
    <t>Tepeji del Río de Ocampo</t>
  </si>
  <si>
    <t>Tepeji de Ocampo</t>
  </si>
  <si>
    <t>UMFH 7 Atotonilco</t>
  </si>
  <si>
    <t>Atotonilco de Tula</t>
  </si>
  <si>
    <t>UMF 9 Cruz Azul</t>
  </si>
  <si>
    <t>San Miguel Vindho</t>
  </si>
  <si>
    <t>UMF 26 Mixquiahuala</t>
  </si>
  <si>
    <t>Mixquiahuala de Juárez</t>
  </si>
  <si>
    <t>Mixquiahuala</t>
  </si>
  <si>
    <t>UMF 27 Tlaxcoapan</t>
  </si>
  <si>
    <t>Tlaxcoapan</t>
  </si>
  <si>
    <t>UMF 37 Doxey</t>
  </si>
  <si>
    <t>Doxey</t>
  </si>
  <si>
    <t>Tepatitlán de Morelos</t>
  </si>
  <si>
    <t>UMF 41 S. Juan Lagos</t>
  </si>
  <si>
    <t>San Juan de los Lagos</t>
  </si>
  <si>
    <t>San Juan de Los Lagos</t>
  </si>
  <si>
    <t>UMF 44 Arandas</t>
  </si>
  <si>
    <t>Arandas</t>
  </si>
  <si>
    <t>UMF 47 Zapotlanejo</t>
  </si>
  <si>
    <t>Zapotlanejo</t>
  </si>
  <si>
    <t>UMF 84 Encarnación de Díaz</t>
  </si>
  <si>
    <t>Encarnación de Díaz</t>
  </si>
  <si>
    <t>UMF 85 Jalostitlán</t>
  </si>
  <si>
    <t>Jalostotitlán</t>
  </si>
  <si>
    <t>fuente: imss</t>
  </si>
  <si>
    <t>UMF 86 S. Miguel Alto</t>
  </si>
  <si>
    <t>San Miguel el Alto</t>
  </si>
  <si>
    <t>San Miguel El Alto</t>
  </si>
  <si>
    <t xml:space="preserve">médicos </t>
  </si>
  <si>
    <t>enfermeria</t>
  </si>
  <si>
    <t>camas en servicio</t>
  </si>
  <si>
    <t>unidades médicas de todos los niveles</t>
  </si>
  <si>
    <t>pda en umf</t>
  </si>
  <si>
    <t>UMF 87 Teocaltiche</t>
  </si>
  <si>
    <t>Teocaltiche</t>
  </si>
  <si>
    <t>recursos x cada mil pacientes</t>
  </si>
  <si>
    <t>UMF 94 Yahualica</t>
  </si>
  <si>
    <t>Yahualica de González Gallo</t>
  </si>
  <si>
    <t>Yahualica de González
Gallo</t>
  </si>
  <si>
    <t>UMF 128 Acatic</t>
  </si>
  <si>
    <t>Acatic</t>
  </si>
  <si>
    <t>UMF 130 Ojuelos</t>
  </si>
  <si>
    <t>Ojuelos de Jalisco</t>
  </si>
  <si>
    <t>UMF 132 San Julián</t>
  </si>
  <si>
    <t>San Julián</t>
  </si>
  <si>
    <t>UMF 133 Unión</t>
  </si>
  <si>
    <t>Unión de San Antonio</t>
  </si>
  <si>
    <t>UMF 134 Valle de guadalupe</t>
  </si>
  <si>
    <t>Valle de Guadalupe</t>
  </si>
  <si>
    <t>UMF 135 Villa Hidalgo</t>
  </si>
  <si>
    <t>Villa Hidalgo</t>
  </si>
  <si>
    <t>UMF 136 Villa Obregón Santa</t>
  </si>
  <si>
    <t>Cañadas de Obregón</t>
  </si>
  <si>
    <t>UMF 159 Jesús María</t>
  </si>
  <si>
    <t>consultas</t>
  </si>
  <si>
    <t>UMF 160 Capilla Gpe.</t>
  </si>
  <si>
    <t>Capilla de Guadalupe</t>
  </si>
  <si>
    <t>UMF 166 María del Valle</t>
  </si>
  <si>
    <t>Santa María del Valle</t>
  </si>
  <si>
    <t>UMF 168 Tepatitlán</t>
  </si>
  <si>
    <t>UMF 177 Lagos de Moreno</t>
  </si>
  <si>
    <t>Lagos de Moreno</t>
  </si>
  <si>
    <t>UMF 183 San Ignacio Cerro
Gordo</t>
  </si>
  <si>
    <t>San Ignacio Cerro Gordo</t>
  </si>
  <si>
    <t>HGS 185 Arandas</t>
  </si>
  <si>
    <t>Rinconada de los Vazquez [Fraccionamiento]</t>
  </si>
  <si>
    <t>Ocotlán</t>
  </si>
  <si>
    <t>HGZMF 6 Ocotlán</t>
  </si>
  <si>
    <t>UMFH 22 Atotonilco</t>
  </si>
  <si>
    <t>Atotonilco el Alto</t>
  </si>
  <si>
    <t>Atotonilco El Alto</t>
  </si>
  <si>
    <t>UMFH 23 La Barca</t>
  </si>
  <si>
    <t>La Barca</t>
  </si>
  <si>
    <t>UMF 66 Ayotlán</t>
  </si>
  <si>
    <t>Ayotlán</t>
  </si>
  <si>
    <t>UMF 67 Tototlán</t>
  </si>
  <si>
    <t>Tototlán</t>
  </si>
  <si>
    <t>Totatiche</t>
  </si>
  <si>
    <t>UMF 95 Poncitlán</t>
  </si>
  <si>
    <t>Poncitlán</t>
  </si>
  <si>
    <t>UMF 100 Jamay</t>
  </si>
  <si>
    <t>Jamay</t>
  </si>
  <si>
    <t>UMF 165 Degollado</t>
  </si>
  <si>
    <t>Degollado</t>
  </si>
  <si>
    <t>UMF 169 Ocotlán</t>
  </si>
  <si>
    <t>Ciudad Guzmán</t>
  </si>
  <si>
    <t>HGZMF 9 Cd. Guzmán</t>
  </si>
  <si>
    <t>Zapotlán el Grande</t>
  </si>
  <si>
    <t>UMFH 13 Pihuamo</t>
  </si>
  <si>
    <t>Pihuamo</t>
  </si>
  <si>
    <t>HGSMF 15 Tamazula</t>
  </si>
  <si>
    <t>Tamazula de Gordiano</t>
  </si>
  <si>
    <t>UMFH 16 Tecalitlán</t>
  </si>
  <si>
    <t>Tecalitlán</t>
  </si>
  <si>
    <t>UMFH 17 Atentique</t>
  </si>
  <si>
    <t>Tuxpan</t>
  </si>
  <si>
    <t>Atenquique</t>
  </si>
  <si>
    <t>UMFH 18 Zapotiltic</t>
  </si>
  <si>
    <t>Zapotiltic</t>
  </si>
  <si>
    <t>UMFH 19 Tuxpan</t>
  </si>
  <si>
    <t>HGZMF 20 Autlan Navarro</t>
  </si>
  <si>
    <t>Autlán de Navarro</t>
  </si>
  <si>
    <t>HGSMF 28 Casimiro Castillo</t>
  </si>
  <si>
    <t>Casimiro Castillo</t>
  </si>
  <si>
    <t>La Resolana</t>
  </si>
  <si>
    <t>UMF 33 S. Marcos</t>
  </si>
  <si>
    <t>Tonila</t>
  </si>
  <si>
    <t>UMF 35 Vista Hermosa</t>
  </si>
  <si>
    <t>Vista Hermosa (Santa Cruz
del Cortijo)</t>
  </si>
  <si>
    <t>UMF 36 La Garita</t>
  </si>
  <si>
    <t>La Garita</t>
  </si>
  <si>
    <t>UMF 37 Ing. Melchor</t>
  </si>
  <si>
    <t>Ingenio Melchor Ocampo</t>
  </si>
  <si>
    <t>UMF 61 Masamitla</t>
  </si>
  <si>
    <t>Mazamitla</t>
  </si>
  <si>
    <t>UMF 62 Sayula</t>
  </si>
  <si>
    <t>Sayula</t>
  </si>
  <si>
    <t>UMF 63 San Gabriel</t>
  </si>
  <si>
    <t>San Gabriel</t>
  </si>
  <si>
    <t>UMF 64 Tapalapa</t>
  </si>
  <si>
    <t>Tapalpa</t>
  </si>
  <si>
    <t>UMF 65 Techaluta</t>
  </si>
  <si>
    <t>Techaluta de Montenegro</t>
  </si>
  <si>
    <t>UMF 71 Ayutla</t>
  </si>
  <si>
    <t>Ayutla</t>
  </si>
  <si>
    <t>UMF 76 Teocuitatlán</t>
  </si>
  <si>
    <t>Teocuitatlán de Corona</t>
  </si>
  <si>
    <t>UMF 81 Grullo</t>
  </si>
  <si>
    <t>El Grullo</t>
  </si>
  <si>
    <t>UMF 82 Unión de Tula</t>
  </si>
  <si>
    <t>UMF 83 La Huerta</t>
  </si>
  <si>
    <t>La Huerta</t>
  </si>
  <si>
    <t>UMF 112 Amacueca</t>
  </si>
  <si>
    <t>Amacueca</t>
  </si>
  <si>
    <t>UMF 113 Atoyac</t>
  </si>
  <si>
    <t>Atoyac</t>
  </si>
  <si>
    <t>UMF 114 Gómez Farías</t>
  </si>
  <si>
    <t>San Sebastián del Sur</t>
  </si>
  <si>
    <t>UMF 115 Jilotán de los Dolores</t>
  </si>
  <si>
    <t>Jilotlán de los Dolores</t>
  </si>
  <si>
    <t>UMF 118 Tolimán</t>
  </si>
  <si>
    <t>Tolimán</t>
  </si>
  <si>
    <t>UMF 119 Tuxcacuesco</t>
  </si>
  <si>
    <t>Tuxcacuesco</t>
  </si>
  <si>
    <t>UMF 120 Valle de Juárez</t>
  </si>
  <si>
    <t>Valle de Juárez</t>
  </si>
  <si>
    <t>UMF 121 Zapotitlán</t>
  </si>
  <si>
    <t>Zapotitlán de Vadillo</t>
  </si>
  <si>
    <t>UMF 125 El limón</t>
  </si>
  <si>
    <t>El Limón</t>
  </si>
  <si>
    <t>UMF 126 Villa Purificación</t>
  </si>
  <si>
    <t>Villa Purificación</t>
  </si>
  <si>
    <t>UMF 127 Tonaya</t>
  </si>
  <si>
    <t>Tonaya</t>
  </si>
  <si>
    <t>UMF 161 Copala</t>
  </si>
  <si>
    <t>Cópala</t>
  </si>
  <si>
    <t>UMF 2 Guadalajara</t>
  </si>
  <si>
    <t>Guadalajara</t>
  </si>
  <si>
    <t>UMF 4 Atemajac</t>
  </si>
  <si>
    <t>UMF 8 Experiencia</t>
  </si>
  <si>
    <t>Zapopan</t>
  </si>
  <si>
    <t>UMF 51 Guadalajara</t>
  </si>
  <si>
    <t>UMF 53 Zapopan</t>
  </si>
  <si>
    <t>UMF 57 Ixtlahuacan</t>
  </si>
  <si>
    <t>Ixtlahuacán del Río</t>
  </si>
  <si>
    <t>UMF 60 Colotlán</t>
  </si>
  <si>
    <t>Colotlán</t>
  </si>
  <si>
    <t>UMF 68 Bolaños</t>
  </si>
  <si>
    <t>Bolaños</t>
  </si>
  <si>
    <t>UMF 79 Guadalajara</t>
  </si>
  <si>
    <t>UMF 101 Cuquío</t>
  </si>
  <si>
    <t>Cuquío</t>
  </si>
  <si>
    <t>UMF 103 Huejucar</t>
  </si>
  <si>
    <t>Huejúcar</t>
  </si>
  <si>
    <t>UMF 104 Huejuquilla</t>
  </si>
  <si>
    <t>Huejuquilla el Alto</t>
  </si>
  <si>
    <t>UMF 106 San Martín</t>
  </si>
  <si>
    <t>San Martín de Bolaños</t>
  </si>
  <si>
    <t>UMF 108 Totatiche</t>
  </si>
  <si>
    <t>UMF 163 Mezquitic</t>
  </si>
  <si>
    <t>Mezquitic</t>
  </si>
  <si>
    <t>UMF 171 Zapopan</t>
  </si>
  <si>
    <t>UMF 178 Guadalupe</t>
  </si>
  <si>
    <t>UMF 182 Tesistán</t>
  </si>
  <si>
    <t>San Francisco Tesistán</t>
  </si>
  <si>
    <t>Libertad Reforma</t>
  </si>
  <si>
    <t>UMF 3 Guadalajara</t>
  </si>
  <si>
    <t>UMFH 5 El Salto</t>
  </si>
  <si>
    <t>UMF 39 Tlaquepaque</t>
  </si>
  <si>
    <t>San Pedro Tlaquepaque</t>
  </si>
  <si>
    <t>Tlaquepaque</t>
  </si>
  <si>
    <t>UMFH 40 Chapala</t>
  </si>
  <si>
    <t>Chapala</t>
  </si>
  <si>
    <t>UMF 48 Guadalajara</t>
  </si>
  <si>
    <t>UMF 49 Guadalajara</t>
  </si>
  <si>
    <t>UMF 50 Atotonilquillo</t>
  </si>
  <si>
    <t>Atotonilquillo</t>
  </si>
  <si>
    <t>UMF-UMAA 52 Guadalajara</t>
  </si>
  <si>
    <t>UMF 54 Tlaquepaque</t>
  </si>
  <si>
    <t>UMF 78 Guadalajara</t>
  </si>
  <si>
    <t>UMF 93 Tonalá</t>
  </si>
  <si>
    <t>UMF 167 H. Provincia</t>
  </si>
  <si>
    <t>UMF 181 Los Sabinos</t>
  </si>
  <si>
    <t>Ixtlahuacán de los Membrillos</t>
  </si>
  <si>
    <t>Ixtlahuacan de Los
Membrillos</t>
  </si>
  <si>
    <t>UMF 184 Cerro de la Reina</t>
  </si>
  <si>
    <t>UMF 1 Guadalajara</t>
  </si>
  <si>
    <t>Evolución de incrementos salariales en el IMSS, 2015 - 2023</t>
  </si>
  <si>
    <t>año de acuerdo
se aplica siempre en oct</t>
  </si>
  <si>
    <t>UMFH 10 Tequila</t>
  </si>
  <si>
    <t>aumento</t>
  </si>
  <si>
    <t>INPC acumulado oct-oct</t>
  </si>
  <si>
    <t>Tequila</t>
  </si>
  <si>
    <t>UMF 11 Amatitan</t>
  </si>
  <si>
    <t>Amatitán</t>
  </si>
  <si>
    <t>UMF 12 El Arenal</t>
  </si>
  <si>
    <t>El Arenal</t>
  </si>
  <si>
    <t>UMFH 24 Ameca</t>
  </si>
  <si>
    <t>Ameca</t>
  </si>
  <si>
    <t>UMF 25 La Sauceda</t>
  </si>
  <si>
    <t>Cocula</t>
  </si>
  <si>
    <t>La Sauceda</t>
  </si>
  <si>
    <t>HGZMF 26 Tala</t>
  </si>
  <si>
    <t>Tala</t>
  </si>
  <si>
    <t>HGSMF 27 Villa Corona</t>
  </si>
  <si>
    <t>Villa Corona</t>
  </si>
  <si>
    <t>UMF 29 Estipac</t>
  </si>
  <si>
    <t>Estipac</t>
  </si>
  <si>
    <t>UMF 30 Bella Vista</t>
  </si>
  <si>
    <t>Acatlán de Juárez</t>
  </si>
  <si>
    <t>Bellavista</t>
  </si>
  <si>
    <t>UMFH 31 Ahualulco</t>
  </si>
  <si>
    <t>Ahualulco de Mercado</t>
  </si>
  <si>
    <t>UMF 38 Buena Vista</t>
  </si>
  <si>
    <t>San Martín Hidalgo</t>
  </si>
  <si>
    <t>Buenavista</t>
  </si>
  <si>
    <t>UMF 55 Guadalajara</t>
  </si>
  <si>
    <t>UMF 56 Acatlán</t>
  </si>
  <si>
    <t>UMF 58 Jocotepec</t>
  </si>
  <si>
    <t>Jocotepec</t>
  </si>
  <si>
    <t>UMF 59 Tlajomulco</t>
  </si>
  <si>
    <t>Tlajomulco de Zúñiga</t>
  </si>
  <si>
    <t>UMF 69 Etzatlán</t>
  </si>
  <si>
    <t>Etzatlán</t>
  </si>
  <si>
    <t>UMF 72 Cocula</t>
  </si>
  <si>
    <t>UMF 73 Martín Hidalgo</t>
  </si>
  <si>
    <t>UMF 74 Talpa Allende</t>
  </si>
  <si>
    <t>Talpa de Allende</t>
  </si>
  <si>
    <t>UMF 75 Tecolotlán</t>
  </si>
  <si>
    <t>Tecolotlán</t>
  </si>
  <si>
    <t>UMF 77 Zacoalco</t>
  </si>
  <si>
    <t>Zacoalco de Torres</t>
  </si>
  <si>
    <t>UMF 88 Guadalajara</t>
  </si>
  <si>
    <t>UMF 91 El Fresno</t>
  </si>
  <si>
    <t>UMF 92 Miravalle</t>
  </si>
  <si>
    <t>UMF 96 Mascota</t>
  </si>
  <si>
    <t>Mascota</t>
  </si>
  <si>
    <t>UMF 97 Magdalena</t>
  </si>
  <si>
    <t>Magdalena</t>
  </si>
  <si>
    <t>UMF 98 Teuchitlán</t>
  </si>
  <si>
    <t>Teuchitlán</t>
  </si>
  <si>
    <t>Teuchitlan</t>
  </si>
  <si>
    <t>UMF 137 Antonio</t>
  </si>
  <si>
    <t>San Juanito de Escobedo</t>
  </si>
  <si>
    <t>Antonio Escobedo</t>
  </si>
  <si>
    <t>seguro de enfermedad y maternidad</t>
  </si>
  <si>
    <t>déficit miles de pesos</t>
  </si>
  <si>
    <t>UMF 138 Atenguillo</t>
  </si>
  <si>
    <t>Atenguillo</t>
  </si>
  <si>
    <t>UMF 139 Guachinango</t>
  </si>
  <si>
    <t>Guachinango</t>
  </si>
  <si>
    <t>UMF 140 Hodtotipaquillo</t>
  </si>
  <si>
    <t>Hostotipaquillo</t>
  </si>
  <si>
    <t>UMF 142 Mixtlán</t>
  </si>
  <si>
    <t>Mixtlán</t>
  </si>
  <si>
    <t>UMF 143 San Marcos</t>
  </si>
  <si>
    <t>UMF 144 San Sebastián del
Oeste</t>
  </si>
  <si>
    <t>San Sebastián del Oeste</t>
  </si>
  <si>
    <t>UMF 147 Atemajac de Brizuela</t>
  </si>
  <si>
    <t>Atemajac de Brizuela</t>
  </si>
  <si>
    <t>UMF 148 Atengo</t>
  </si>
  <si>
    <t>Atengo</t>
  </si>
  <si>
    <t>UMF 150 Concepción de
Buenos Aires</t>
  </si>
  <si>
    <t>Concepción de Buenos Aires</t>
  </si>
  <si>
    <t>Concepción de Buenos
Aires</t>
  </si>
  <si>
    <t>UMF 151 Chiquilistlán</t>
  </si>
  <si>
    <t>Chiquilistlán</t>
  </si>
  <si>
    <t>UMF 153 La Manzanilla</t>
  </si>
  <si>
    <t>La Manzanilla</t>
  </si>
  <si>
    <t>UMF 154 Tenamaxtlán</t>
  </si>
  <si>
    <t>Tenamaxtlán</t>
  </si>
  <si>
    <t>UMF 155 Tizapan Alto</t>
  </si>
  <si>
    <t>Tizapán el Alto</t>
  </si>
  <si>
    <t>Tizapán El Alto</t>
  </si>
  <si>
    <t>UMF 156 Tuxcueca</t>
  </si>
  <si>
    <t>Tuxcueca</t>
  </si>
  <si>
    <t>Puerto Vallarta</t>
  </si>
  <si>
    <t>HGZ 42 Pto. Vallarta</t>
  </si>
  <si>
    <t>UMF 43 Tomatlán</t>
  </si>
  <si>
    <t>Tomatlán</t>
  </si>
  <si>
    <t>Médicos</t>
  </si>
  <si>
    <t>UMF 70 Careyes</t>
  </si>
  <si>
    <t>Pueblo Careyes</t>
  </si>
  <si>
    <t xml:space="preserve">Médicos generales </t>
  </si>
  <si>
    <t>UMF 80 Cihuatlán</t>
  </si>
  <si>
    <t>Médicos especialistas</t>
  </si>
  <si>
    <t>Cihuatlán</t>
  </si>
  <si>
    <t>Enfermería</t>
  </si>
  <si>
    <t>UMF 157 El Tuito</t>
  </si>
  <si>
    <t>Cabo Corrientes</t>
  </si>
  <si>
    <t>El Tuito</t>
  </si>
  <si>
    <t>Fuente:  Coordinación de Personal y Desarrollo. Área de Presupuesto del Gasto de Servicios de Personal.</t>
  </si>
  <si>
    <t>Fuente:  Sistema Integral de Administración de Personal (SIAP). Dirección de Administración y Evaluación de Delegaciones.</t>
  </si>
  <si>
    <t>Fuente: Unidad de Personal, Dirección de Administración.</t>
  </si>
  <si>
    <t>UMF 158 Yelapa</t>
  </si>
  <si>
    <t>Yelapa</t>
  </si>
  <si>
    <t>UMF 162 Melaque</t>
  </si>
  <si>
    <t>Cihuatlan</t>
  </si>
  <si>
    <t>UMF 170 Del Mar</t>
  </si>
  <si>
    <t>UMF 179 Las Parotas</t>
  </si>
  <si>
    <t>Estado de México
Oriente</t>
  </si>
  <si>
    <t>UMF 52 Cuautitlán Izcalli</t>
  </si>
  <si>
    <t>Cuautitlán Izcalli</t>
  </si>
  <si>
    <t>UMF 56 Jilotepec</t>
  </si>
  <si>
    <t>Jilotepec</t>
  </si>
  <si>
    <t>Jilotepec de Molina
Enríquez</t>
  </si>
  <si>
    <t>UMF 59 Lechería</t>
  </si>
  <si>
    <t>Tultitlán</t>
  </si>
  <si>
    <t>Tultitlán de Mariano
Escobedo</t>
  </si>
  <si>
    <t>HGOMF 60 Tlanepantla</t>
  </si>
  <si>
    <t>Tlalnepantla de Baz</t>
  </si>
  <si>
    <t>Tlalnepantla</t>
  </si>
  <si>
    <t>UMF 62 Cuautitlán</t>
  </si>
  <si>
    <t>Cuautitlán</t>
  </si>
  <si>
    <t>UMF 79 Valle de Ceylan</t>
  </si>
  <si>
    <t>UMF 95 Pantaco</t>
  </si>
  <si>
    <t>UMF 184 Infonavit Sur</t>
  </si>
  <si>
    <t>UMF 185 Lomas de Cartagena</t>
  </si>
  <si>
    <t>UMF 186 Iztacala</t>
  </si>
  <si>
    <t>UMF 188 Tepalcapa</t>
  </si>
  <si>
    <t>Ecatepec</t>
  </si>
  <si>
    <t>UMF 54 Apaxco</t>
  </si>
  <si>
    <t>Apaxco</t>
  </si>
  <si>
    <t>Apaxco de Ocampo</t>
  </si>
  <si>
    <t>UMF 55 Zumpango</t>
  </si>
  <si>
    <t>Zumpango</t>
  </si>
  <si>
    <t>Zumpango de Ocampo</t>
  </si>
  <si>
    <t>UMF 67 Santa Clara</t>
  </si>
  <si>
    <t>Ecatepec de Morelos</t>
  </si>
  <si>
    <t>% pib</t>
  </si>
  <si>
    <t>UMF 68 Tulpetlac</t>
  </si>
  <si>
    <t>https://www.cefp.gob.mx/intr/edocumentos/pdf/cefp/cefp1032007.pdf</t>
  </si>
  <si>
    <t>HGZMF 76 Xalostoc</t>
  </si>
  <si>
    <t>UMF 77 San Agustín</t>
  </si>
  <si>
    <t>UMF 89 Otumba</t>
  </si>
  <si>
    <t>Otumba</t>
  </si>
  <si>
    <t>Otumba de Gómez Farías</t>
  </si>
  <si>
    <t/>
  </si>
  <si>
    <t>UMF 91 Villa de las Flores</t>
  </si>
  <si>
    <t>Coacalco de Berriozábal</t>
  </si>
  <si>
    <t>San Francisco Coacalco</t>
  </si>
  <si>
    <t>UMF 92 Cd. Azteca</t>
  </si>
  <si>
    <t>UMF 93 Cerro Gordo</t>
  </si>
  <si>
    <t>UMF 191 Ecatepec</t>
  </si>
  <si>
    <t>UMF-UMAA 198 San Rafael</t>
  </si>
  <si>
    <t>Los Reyes - La Paz</t>
  </si>
  <si>
    <t>UMF 69 Texcoco</t>
  </si>
  <si>
    <t>Texcoco</t>
  </si>
  <si>
    <t>Texcoco de Mora</t>
  </si>
  <si>
    <t>UMF 70 Ayotla</t>
  </si>
  <si>
    <t>Ixtapaluca</t>
  </si>
  <si>
    <t>UMF 73 Amecameca</t>
  </si>
  <si>
    <t>Amecameca</t>
  </si>
  <si>
    <t>Amecameca de Juárez</t>
  </si>
  <si>
    <t>UMF 74 San Rafael</t>
  </si>
  <si>
    <t>Tlalmanalco</t>
  </si>
  <si>
    <t>UMF 75 Netzahualcoyotl</t>
  </si>
  <si>
    <t>Nezahualcóyotl</t>
  </si>
  <si>
    <t>Ciudad Nezahualcóyotl</t>
  </si>
  <si>
    <t>UMF 78 Netzahualcoyotl</t>
  </si>
  <si>
    <t>UMF 81 Juchitepec</t>
  </si>
  <si>
    <t>Juchitepec</t>
  </si>
  <si>
    <t>Juchitepec de Mariano
Rivapalacio</t>
  </si>
  <si>
    <t>UMF 82 Atenco</t>
  </si>
  <si>
    <t>Atenco</t>
  </si>
  <si>
    <t>San Salvador Atenco</t>
  </si>
  <si>
    <t>UMF 83 Chicoloapan</t>
  </si>
  <si>
    <t>Chicoloapan</t>
  </si>
  <si>
    <t>Chicoloapan de Juárez</t>
  </si>
  <si>
    <t>UMF 84 Chimalhuacán</t>
  </si>
  <si>
    <t>Chimalhuacán</t>
  </si>
  <si>
    <t>UMF 85 Tezoyuca</t>
  </si>
  <si>
    <t>Tezoyuca</t>
  </si>
  <si>
    <t>UMF 86 Ixtapaluca</t>
  </si>
  <si>
    <t>UMF 87 Ozumba</t>
  </si>
  <si>
    <t>Ozumba</t>
  </si>
  <si>
    <t>Ozumba de Alzate</t>
  </si>
  <si>
    <t>UMF 96 Tepozanes</t>
  </si>
  <si>
    <t>UMF-UMAA 180 Chalco I</t>
  </si>
  <si>
    <t>Valle de Chalco Solidaridad</t>
  </si>
  <si>
    <t>Xico</t>
  </si>
  <si>
    <t>UMF 181 Chalco II</t>
  </si>
  <si>
    <t>UMF 182 El Sol</t>
  </si>
  <si>
    <t>UMF 183 Rey Neza</t>
  </si>
  <si>
    <t>UMF 189 Chimalhuacán</t>
  </si>
  <si>
    <t>UMF 193 Chalco</t>
  </si>
  <si>
    <t>Chalco</t>
  </si>
  <si>
    <t>Chalco de Díaz Covarrubias</t>
  </si>
  <si>
    <t>UMF 195 Chalco</t>
  </si>
  <si>
    <t>Estado de México
Poniente</t>
  </si>
  <si>
    <t>Toluca</t>
  </si>
  <si>
    <t>UMF 220 Toluca</t>
  </si>
  <si>
    <t>Toluca de Lerdo</t>
  </si>
  <si>
    <t>UMF 222 Toluca</t>
  </si>
  <si>
    <t>UMF 223 Lerma</t>
  </si>
  <si>
    <t>Lerma</t>
  </si>
  <si>
    <t>Lerma de Villada</t>
  </si>
  <si>
    <t>UMF 224 Zinacatepec</t>
  </si>
  <si>
    <t>Zinacantepec</t>
  </si>
  <si>
    <t>San Miguel Zinacantepec</t>
  </si>
  <si>
    <t>UMF 225 Toluca</t>
  </si>
  <si>
    <t>UMF 226 Ixtlahuaca</t>
  </si>
  <si>
    <t>Ixtlahuaca</t>
  </si>
  <si>
    <t>Ixtlahuaca de Rayon</t>
  </si>
  <si>
    <t>UMFH 227 Ixtapan Sal</t>
  </si>
  <si>
    <t>Ixtapan de la Sal</t>
  </si>
  <si>
    <t>UMF 228 Santiago</t>
  </si>
  <si>
    <t>Tianguistenco</t>
  </si>
  <si>
    <t>Tiangustenco</t>
  </si>
  <si>
    <t>UMF 229 Tenancingo</t>
  </si>
  <si>
    <t>Tenancingo</t>
  </si>
  <si>
    <t>Tenancingo de Degollado</t>
  </si>
  <si>
    <t>UMF 230 Toluca</t>
  </si>
  <si>
    <t>San Pedro Totoltepec</t>
  </si>
  <si>
    <t>UMF-UMAA 231 Metepec</t>
  </si>
  <si>
    <t>Metepec</t>
  </si>
  <si>
    <t>UMF 232 Villa Gro</t>
  </si>
  <si>
    <t>Villa Guerrero</t>
  </si>
  <si>
    <t>UMF 233 Valle Bravo</t>
  </si>
  <si>
    <t>Valle de Bravo</t>
  </si>
  <si>
    <t>UMF 234 Colorínes</t>
  </si>
  <si>
    <t>UMF 235 Atlacomulco</t>
  </si>
  <si>
    <t>Atlacomulco</t>
  </si>
  <si>
    <t>Atlacomulco de Fabela</t>
  </si>
  <si>
    <t>UMF 236 El Oro</t>
  </si>
  <si>
    <t>El Oro Hidalgo</t>
  </si>
  <si>
    <t>UMF 237 Malinalco</t>
  </si>
  <si>
    <t>Malinalco</t>
  </si>
  <si>
    <t>UMF 238 Sultepec</t>
  </si>
  <si>
    <t>Sultepec</t>
  </si>
  <si>
    <t>Sultepec de Pedro
Ascencio de Alquisiras</t>
  </si>
  <si>
    <t>UMF 239 Tejupilco</t>
  </si>
  <si>
    <t>Tejupilco</t>
  </si>
  <si>
    <t>Tejupilco de hidalgo</t>
  </si>
  <si>
    <t>UMF 240 Temascaltepec</t>
  </si>
  <si>
    <t>Temascaltepec</t>
  </si>
  <si>
    <t>Temascaltepec de
Gonzalez</t>
  </si>
  <si>
    <t>UMF 241 Temoaya</t>
  </si>
  <si>
    <t>Temoaya</t>
  </si>
  <si>
    <t>UMF 242 Tenango</t>
  </si>
  <si>
    <t>Tenango del Valle</t>
  </si>
  <si>
    <t>Tenango de arista</t>
  </si>
  <si>
    <t>UMF 243 V. Victoria</t>
  </si>
  <si>
    <t>Villa Victoria</t>
  </si>
  <si>
    <t>UMF 244 Toluca</t>
  </si>
  <si>
    <t>UMF 245 Aculco</t>
  </si>
  <si>
    <t>Aculco</t>
  </si>
  <si>
    <t>Aculco de Espinoza</t>
  </si>
  <si>
    <t>UMF 246 Jocotitlán</t>
  </si>
  <si>
    <t>Jocotitlán</t>
  </si>
  <si>
    <t>UMF 247 Zictepec</t>
  </si>
  <si>
    <t>San Pedro Zictepec</t>
  </si>
  <si>
    <t>UMF 248 Sn Mateo Atenco</t>
  </si>
  <si>
    <t>San Mateo Atenco</t>
  </si>
  <si>
    <t>Xonacatlan</t>
  </si>
  <si>
    <t>UMF 249 Santiago Tlaxomulco</t>
  </si>
  <si>
    <t>Santiago Tlaxomulco</t>
  </si>
  <si>
    <t>UMF 250 La Magdalena</t>
  </si>
  <si>
    <t>Naucalpan</t>
  </si>
  <si>
    <t>UMF 51 Sta. Mónica</t>
  </si>
  <si>
    <t>UMF 58 Las Margaritas</t>
  </si>
  <si>
    <t>UMF 61 Naucalpan</t>
  </si>
  <si>
    <t>Naucalpan de Juárez</t>
  </si>
  <si>
    <t>UMF 63 San Ildefonso</t>
  </si>
  <si>
    <t>Nicolás Romero</t>
  </si>
  <si>
    <t>Villa Nicolas Romero</t>
  </si>
  <si>
    <t>UMF 65 Río Hondo</t>
  </si>
  <si>
    <t>UMF 66 Progreso</t>
  </si>
  <si>
    <t>UMF 80 Satélite</t>
  </si>
  <si>
    <t>UMF 88 Sta. Anita</t>
  </si>
  <si>
    <t>Jilotzingo</t>
  </si>
  <si>
    <t>Santa Ana Jilotzingo</t>
  </si>
  <si>
    <t>UMF 97 San Bartolo</t>
  </si>
  <si>
    <t>UMF 187 La Higuera</t>
  </si>
  <si>
    <t>Atizapán de Zaragoza</t>
  </si>
  <si>
    <t>Ciudad Lopez Mateos</t>
  </si>
  <si>
    <t>UMF 190 Huixquilucan</t>
  </si>
  <si>
    <t>Huixquilucan</t>
  </si>
  <si>
    <t>Huixquilucan de Degollado</t>
  </si>
  <si>
    <t>UMF 192 Atizapán</t>
  </si>
  <si>
    <t>Michoacán</t>
  </si>
  <si>
    <t>HGZMF 2 Zacapu</t>
  </si>
  <si>
    <t>Zacapu</t>
  </si>
  <si>
    <t>UMF 3 Quiroga</t>
  </si>
  <si>
    <t>Quiroga</t>
  </si>
  <si>
    <t>UMFH 20 Patzcuaro</t>
  </si>
  <si>
    <t>Pátzcuaro</t>
  </si>
  <si>
    <t>HGSMF 24 Pedernales</t>
  </si>
  <si>
    <t>Tacámbaro</t>
  </si>
  <si>
    <t>Pedernales</t>
  </si>
  <si>
    <t>UMFH 25 Puruaran</t>
  </si>
  <si>
    <t>Turicato</t>
  </si>
  <si>
    <t>UMF 42 Cuitzeo</t>
  </si>
  <si>
    <t>Cuitzeo</t>
  </si>
  <si>
    <t>Cuitzeo del Porvenir</t>
  </si>
  <si>
    <t>Churumuco</t>
  </si>
  <si>
    <t>Churumuco de Morelos</t>
  </si>
  <si>
    <t>UMF 46 La Huacana</t>
  </si>
  <si>
    <t>La Huacana</t>
  </si>
  <si>
    <t>UMFH 64 Puruandiro</t>
  </si>
  <si>
    <t>Puruándiro</t>
  </si>
  <si>
    <t>UMF 65 Villa Madero</t>
  </si>
  <si>
    <t>Madero</t>
  </si>
  <si>
    <t>Villa Madero</t>
  </si>
  <si>
    <t>UMF 70 Zinapécuaro</t>
  </si>
  <si>
    <t>Zinapécuaro</t>
  </si>
  <si>
    <t>Zinapécuaro de Figueroa</t>
  </si>
  <si>
    <t>UMF 71 Morelia</t>
  </si>
  <si>
    <t>UMF 74 Tacambaro</t>
  </si>
  <si>
    <t>Tacámbaro de Codallos</t>
  </si>
  <si>
    <t>real</t>
  </si>
  <si>
    <t>deflactado</t>
  </si>
  <si>
    <t>UMF-UMAA 75 Morelia</t>
  </si>
  <si>
    <t>UMF 80 Morelia</t>
  </si>
  <si>
    <t>UMF 84 Tacícuaro</t>
  </si>
  <si>
    <t>Ampliación Palma de
Tacícuaro</t>
  </si>
  <si>
    <t>UMF 85 Tarímbaro</t>
  </si>
  <si>
    <t>Tarímbaro</t>
  </si>
  <si>
    <t>Metrópolis II</t>
  </si>
  <si>
    <t>Uruapan</t>
  </si>
  <si>
    <t>HGSMF 9 Apatzingán</t>
  </si>
  <si>
    <t>Apatzingán</t>
  </si>
  <si>
    <t>Apatzingán de La
Constitución</t>
  </si>
  <si>
    <t>UMF 11 Nva. Italia</t>
  </si>
  <si>
    <t>Múgica</t>
  </si>
  <si>
    <t>Nueva Italia de Ruiz</t>
  </si>
  <si>
    <t>UMF 23 Infiernillo</t>
  </si>
  <si>
    <t>Infiernillo (Morelos de
Infiernillo)</t>
  </si>
  <si>
    <t>UMFH 26 Taretán</t>
  </si>
  <si>
    <t>Taretan</t>
  </si>
  <si>
    <t>UMF 40 Coalcoman</t>
  </si>
  <si>
    <t>Coalcomán de Vázquez
Pallares</t>
  </si>
  <si>
    <t>UMF 52 Nvo. Urecho</t>
  </si>
  <si>
    <t>Nuevo Urecho</t>
  </si>
  <si>
    <t>UMF 57 Tancitaro</t>
  </si>
  <si>
    <t>Tancítaro</t>
  </si>
  <si>
    <t>UMF 58 Tepalcatepec</t>
  </si>
  <si>
    <t>Tepalcatepec</t>
  </si>
  <si>
    <t>UMF 73 Uruapan</t>
  </si>
  <si>
    <t>UMF 76 Uruapan</t>
  </si>
  <si>
    <t>UMF 81 Uruapan</t>
  </si>
  <si>
    <t>Zamora</t>
  </si>
  <si>
    <t>UMFH 5 Sahuayo</t>
  </si>
  <si>
    <t>Sahuayo</t>
  </si>
  <si>
    <t>Sahuayo de Morelos</t>
  </si>
  <si>
    <t>UMF 6 Jiquilpan</t>
  </si>
  <si>
    <t>Jiquilpan</t>
  </si>
  <si>
    <t>Jiquilpan de Juárez</t>
  </si>
  <si>
    <t>UMF 13 Cotija</t>
  </si>
  <si>
    <t>Cotija</t>
  </si>
  <si>
    <t>Cotija de La Paz</t>
  </si>
  <si>
    <t>HGSMF 17 Los Reyes</t>
  </si>
  <si>
    <t>Los Reyes</t>
  </si>
  <si>
    <t>Los Reyes de Salgado</t>
  </si>
  <si>
    <t>UMF 21 Jacona</t>
  </si>
  <si>
    <t>Jacona</t>
  </si>
  <si>
    <t>Jacona de Plancarte</t>
  </si>
  <si>
    <t>UMF 28 Sta. Clara</t>
  </si>
  <si>
    <t>Tocumbo</t>
  </si>
  <si>
    <t>UMF 54 Purepero</t>
  </si>
  <si>
    <t>Purépero</t>
  </si>
  <si>
    <t>Purépero de Echáiz</t>
  </si>
  <si>
    <t>UMF 66 Villa Mar</t>
  </si>
  <si>
    <t>Villamar</t>
  </si>
  <si>
    <t>UMF 68 Vista Hermosa</t>
  </si>
  <si>
    <t>Vista Hermosa</t>
  </si>
  <si>
    <t>Vista Hermosa de Negrete</t>
  </si>
  <si>
    <t>UMF 72 Yurecuaro</t>
  </si>
  <si>
    <t>Yurécuaro</t>
  </si>
  <si>
    <t>UMF 77 La Piedad</t>
  </si>
  <si>
    <t>La Piedad</t>
  </si>
  <si>
    <t>La Piedad de Cabadas</t>
  </si>
  <si>
    <t>UMF 82 Zamora</t>
  </si>
  <si>
    <t>Zamora de Hidalgo</t>
  </si>
  <si>
    <t>Zitácuaro</t>
  </si>
  <si>
    <t>UMF 10 Jungapeo</t>
  </si>
  <si>
    <t>Jungapeo</t>
  </si>
  <si>
    <t>Jungapeo de Juárez</t>
  </si>
  <si>
    <t>UMFH 18 Zitácuaro</t>
  </si>
  <si>
    <t>Heróica Zitácuaro</t>
  </si>
  <si>
    <t>UMFH 19 Cd. Hidalgo</t>
  </si>
  <si>
    <t>UMF 37 Mineral Angangeo</t>
  </si>
  <si>
    <t>Angangueo</t>
  </si>
  <si>
    <t>Mineral de Angangueo</t>
  </si>
  <si>
    <t>UMF 48 Huetamo</t>
  </si>
  <si>
    <t>Huetamo</t>
  </si>
  <si>
    <t>Huetamo de Núñez</t>
  </si>
  <si>
    <t>UMF 50 Maravatio</t>
  </si>
  <si>
    <t>Maravatío</t>
  </si>
  <si>
    <t>Maravatío de Ocampo</t>
  </si>
  <si>
    <t>UMF 61 Tuzantla</t>
  </si>
  <si>
    <t>Tuzantla</t>
  </si>
  <si>
    <t>UMF 79 Tlalpujahua</t>
  </si>
  <si>
    <t>Tlalpujahua</t>
  </si>
  <si>
    <t>Tlalpujahua de Rayón</t>
  </si>
  <si>
    <t>HGZMF 12 Lázaro Cárdenas</t>
  </si>
  <si>
    <t>Ciudad Lázaro Cárdenas</t>
  </si>
  <si>
    <t>UMF 27 La Mira</t>
  </si>
  <si>
    <t>La Mira</t>
  </si>
  <si>
    <t>UMF 31 Guacamayas</t>
  </si>
  <si>
    <t>Las Guacamayas</t>
  </si>
  <si>
    <t>UMF 78 Lázaro Cárdenas</t>
  </si>
  <si>
    <t>Cuernavaca</t>
  </si>
  <si>
    <t>HGRMF 1 Cuernavaca</t>
  </si>
  <si>
    <t>UMF 2 Xochitepec</t>
  </si>
  <si>
    <t>Xochitepec</t>
  </si>
  <si>
    <t>UMF 3 Jiutepec</t>
  </si>
  <si>
    <t>Jiutepec</t>
  </si>
  <si>
    <t>UMF 16 Temixco</t>
  </si>
  <si>
    <t>Temixco</t>
  </si>
  <si>
    <t>UMF 17 Tezoyuca</t>
  </si>
  <si>
    <t>Emiliano Zapata</t>
  </si>
  <si>
    <t>UMF 18 E. Zapata</t>
  </si>
  <si>
    <t>UMF 19 Tepoztlán</t>
  </si>
  <si>
    <t>Tepoztlán</t>
  </si>
  <si>
    <t>UMF 20 Cuernavaca</t>
  </si>
  <si>
    <t>UMF 23 Civac</t>
  </si>
  <si>
    <t>Cuautla</t>
  </si>
  <si>
    <t>HGZMF 7 Cuautla</t>
  </si>
  <si>
    <t>UMF 8 Villa Ayala</t>
  </si>
  <si>
    <t>Ayala</t>
  </si>
  <si>
    <t>Ciudad Ayala</t>
  </si>
  <si>
    <t>UMF 10 Chinameca</t>
  </si>
  <si>
    <t>Chinameca</t>
  </si>
  <si>
    <t>UMF 12 Yautepec</t>
  </si>
  <si>
    <t>Yautepec</t>
  </si>
  <si>
    <t>Yautepec de Zaragoza</t>
  </si>
  <si>
    <t>UMF 14 Oacalco</t>
  </si>
  <si>
    <t>Oacalco</t>
  </si>
  <si>
    <t>UMF 15 Casasano</t>
  </si>
  <si>
    <t>Casasano</t>
  </si>
  <si>
    <t>UMF 21 Jantetelco</t>
  </si>
  <si>
    <t>Jantetelco</t>
  </si>
  <si>
    <t>UMF 22 Tepalcingo</t>
  </si>
  <si>
    <t>Tepalcingo</t>
  </si>
  <si>
    <t>UMF 24 Yecapixtla</t>
  </si>
  <si>
    <t>Yecapixtla</t>
  </si>
  <si>
    <t>Zacatepec</t>
  </si>
  <si>
    <t>UMF 4 Jojutla</t>
  </si>
  <si>
    <t>Jojutla</t>
  </si>
  <si>
    <t>HGZMF 5 Zacatepec</t>
  </si>
  <si>
    <t>Zacatepec de Hidalgo</t>
  </si>
  <si>
    <t>UMF 6 Puente Ixtla</t>
  </si>
  <si>
    <t>Puente de Ixtla</t>
  </si>
  <si>
    <t>UMF 9 Tlaltizapán</t>
  </si>
  <si>
    <t>Tlaltizapán de Zapata</t>
  </si>
  <si>
    <t>Tlaltizapán</t>
  </si>
  <si>
    <t>UMF 11 Tlaquiltenango</t>
  </si>
  <si>
    <t>Tlaquiltenango</t>
  </si>
  <si>
    <t>UMF 13 Miacatlán</t>
  </si>
  <si>
    <t>Miacatlán</t>
  </si>
  <si>
    <t>Tepic</t>
  </si>
  <si>
    <t>UMF 2 Fco. Madero</t>
  </si>
  <si>
    <t>Francisco I. Madero (Puga)</t>
  </si>
  <si>
    <t>UMF 3 Cora</t>
  </si>
  <si>
    <t>Santiago Ixcuintla</t>
  </si>
  <si>
    <t>El Cora</t>
  </si>
  <si>
    <t>UMF 4 Villa Hidalgo</t>
  </si>
  <si>
    <t>Villa Hidalgo (El Nuevo)</t>
  </si>
  <si>
    <t>UMF 5 Tepic</t>
  </si>
  <si>
    <t>HGSMF 6 Acaponeta</t>
  </si>
  <si>
    <t>Acaponeta</t>
  </si>
  <si>
    <t>UMF 7 Tecuala</t>
  </si>
  <si>
    <t>Tecuala</t>
  </si>
  <si>
    <t>HGSMF 8 Tuxpan</t>
  </si>
  <si>
    <t>UMF 9 Ruiz</t>
  </si>
  <si>
    <t>Ruíz</t>
  </si>
  <si>
    <t>Ruiz</t>
  </si>
  <si>
    <t>HGZMF 10 S. Ixcuintla</t>
  </si>
  <si>
    <t>UMF 11 Yago</t>
  </si>
  <si>
    <t>Yago</t>
  </si>
  <si>
    <t>UMF 12 Aután</t>
  </si>
  <si>
    <t>San Blas</t>
  </si>
  <si>
    <t>Aután</t>
  </si>
  <si>
    <t>UMF 13 San Blas</t>
  </si>
  <si>
    <t>UMF 14 Compostela</t>
  </si>
  <si>
    <t>Compostela</t>
  </si>
  <si>
    <t>HGSMF 15 Las Varas</t>
  </si>
  <si>
    <t>Las Varas</t>
  </si>
  <si>
    <t>UMF 16 La Peñita</t>
  </si>
  <si>
    <t>La Peñita de Jaltemba</t>
  </si>
  <si>
    <t>UMF 17 Ahuacatlán</t>
  </si>
  <si>
    <t>Ahuacatlán</t>
  </si>
  <si>
    <t>UMF 18 Ixtlan RÍo</t>
  </si>
  <si>
    <t>Ixtlán del Río</t>
  </si>
  <si>
    <t>Título</t>
  </si>
  <si>
    <t>Índice Nacional de Precios al Consumidor. Base segunda quincena Julio 2018. Actualización de Canasta y Ponderadores 2024 (mensual), Resumen, Principales índices, Precios al Consumidor (INPC)</t>
  </si>
  <si>
    <t>Periodo disponible</t>
  </si>
  <si>
    <t>Ene 1970-Sep 2026</t>
  </si>
  <si>
    <t>Periodicidad</t>
  </si>
  <si>
    <t>Mensual</t>
  </si>
  <si>
    <t>Cifra</t>
  </si>
  <si>
    <t>Índices</t>
  </si>
  <si>
    <t>Unidad</t>
  </si>
  <si>
    <t>Sin Unidad</t>
  </si>
  <si>
    <t>Base</t>
  </si>
  <si>
    <t>Índice base segunda quincena de julio 2018 = 100</t>
  </si>
  <si>
    <t>Aviso</t>
  </si>
  <si>
    <t>UMF 19 Mezcales</t>
  </si>
  <si>
    <t>Las desagregaciones del INPC solo tienen valor informativo.Las desagregaciones del INPC solo tienen valor informativo.</t>
  </si>
  <si>
    <t>Tipo de información</t>
  </si>
  <si>
    <t>Bahía de Banderas</t>
  </si>
  <si>
    <t>Fecha</t>
  </si>
  <si>
    <t>Mezcales</t>
  </si>
  <si>
    <t>ene-70</t>
  </si>
  <si>
    <t>feb-70</t>
  </si>
  <si>
    <t>mar-70</t>
  </si>
  <si>
    <t>abr-70</t>
  </si>
  <si>
    <t>may-70</t>
  </si>
  <si>
    <t>jun-70</t>
  </si>
  <si>
    <t>jul-70</t>
  </si>
  <si>
    <t>UMF 20 Tepic</t>
  </si>
  <si>
    <t>ago-70</t>
  </si>
  <si>
    <t>sep-70</t>
  </si>
  <si>
    <t>oct-70</t>
  </si>
  <si>
    <t>nov-70</t>
  </si>
  <si>
    <t>dic-70</t>
  </si>
  <si>
    <t>ene-71</t>
  </si>
  <si>
    <t>UMF 21 Pimientillo</t>
  </si>
  <si>
    <t>UMF 22 San Juan Abajo</t>
  </si>
  <si>
    <t>San Juan de Abajo</t>
  </si>
  <si>
    <t>feb-71</t>
  </si>
  <si>
    <t>mar-71</t>
  </si>
  <si>
    <t>abr-71</t>
  </si>
  <si>
    <t>UMF 24 Tepic</t>
  </si>
  <si>
    <t>may-71</t>
  </si>
  <si>
    <t>jun-71</t>
  </si>
  <si>
    <t>jul-71</t>
  </si>
  <si>
    <t>ago-71</t>
  </si>
  <si>
    <t>sep-71</t>
  </si>
  <si>
    <t>UMF 25 Tepic</t>
  </si>
  <si>
    <t>oct-71</t>
  </si>
  <si>
    <t>nov-71</t>
  </si>
  <si>
    <t>dic-71</t>
  </si>
  <si>
    <t>ene-72</t>
  </si>
  <si>
    <t>UMF 26 Xalisco</t>
  </si>
  <si>
    <t>Xalisco</t>
  </si>
  <si>
    <t>feb-72</t>
  </si>
  <si>
    <t>mar-72</t>
  </si>
  <si>
    <t>abr-72</t>
  </si>
  <si>
    <t>UMF 27 San José del Valle</t>
  </si>
  <si>
    <t>may-72</t>
  </si>
  <si>
    <t>San José del Valle</t>
  </si>
  <si>
    <t>jun-72</t>
  </si>
  <si>
    <t>jul-72</t>
  </si>
  <si>
    <t>ago-72</t>
  </si>
  <si>
    <t>Montemorelos</t>
  </si>
  <si>
    <t>HGSMF 11 Montemorelos</t>
  </si>
  <si>
    <t>sep-72</t>
  </si>
  <si>
    <t>oct-72</t>
  </si>
  <si>
    <t>nov-72</t>
  </si>
  <si>
    <t>dic-72</t>
  </si>
  <si>
    <t>HGSMF 12 Linares</t>
  </si>
  <si>
    <t>Linares</t>
  </si>
  <si>
    <t>ene-73</t>
  </si>
  <si>
    <t>feb-73</t>
  </si>
  <si>
    <t>mar-73</t>
  </si>
  <si>
    <t>abr-73</t>
  </si>
  <si>
    <t>UMFH 13 Gral. Teran</t>
  </si>
  <si>
    <t>General Terán</t>
  </si>
  <si>
    <t>Ciudad General Terán</t>
  </si>
  <si>
    <t>may-73</t>
  </si>
  <si>
    <t>jun-73</t>
  </si>
  <si>
    <t>jul-73</t>
  </si>
  <si>
    <t>UMFH 16 Allende</t>
  </si>
  <si>
    <t>ago-73</t>
  </si>
  <si>
    <t>Ciudad de Allende</t>
  </si>
  <si>
    <t>UMF 18 Hualahuises</t>
  </si>
  <si>
    <t>Hualahuises</t>
  </si>
  <si>
    <t>UMF 52 San Rafael</t>
  </si>
  <si>
    <t>Galeana</t>
  </si>
  <si>
    <t>sep-73</t>
  </si>
  <si>
    <t>UMF 53 Galeana</t>
  </si>
  <si>
    <t>oct-73</t>
  </si>
  <si>
    <t>nov-73</t>
  </si>
  <si>
    <t>dic-73</t>
  </si>
  <si>
    <t>UMF 54 Aramberri</t>
  </si>
  <si>
    <t>ene-74</t>
  </si>
  <si>
    <t>Aramberri</t>
  </si>
  <si>
    <t>feb-74</t>
  </si>
  <si>
    <t>mar-74</t>
  </si>
  <si>
    <t>abr-74</t>
  </si>
  <si>
    <t>UMF 55 Dr. Arroyo</t>
  </si>
  <si>
    <t>Doctor Arroyo</t>
  </si>
  <si>
    <t>may-74</t>
  </si>
  <si>
    <t>jun-74</t>
  </si>
  <si>
    <t>jul-74</t>
  </si>
  <si>
    <t>ago-74</t>
  </si>
  <si>
    <t>UMF 56 La Ascención</t>
  </si>
  <si>
    <t>sep-74</t>
  </si>
  <si>
    <t>La Ascención</t>
  </si>
  <si>
    <t>oct-74</t>
  </si>
  <si>
    <t>nov-74</t>
  </si>
  <si>
    <t>Apodaca</t>
  </si>
  <si>
    <t>UMF 19 Apodaca</t>
  </si>
  <si>
    <t>dic-74</t>
  </si>
  <si>
    <t>Ciudad Apodaca</t>
  </si>
  <si>
    <t>ene-75</t>
  </si>
  <si>
    <t>feb-75</t>
  </si>
  <si>
    <t>mar-75</t>
  </si>
  <si>
    <t>UMF 41 Dr. González</t>
  </si>
  <si>
    <t>abr-75</t>
  </si>
  <si>
    <t>Doctor González</t>
  </si>
  <si>
    <t>Dr. Gonzalez</t>
  </si>
  <si>
    <t>may-75</t>
  </si>
  <si>
    <t>jun-75</t>
  </si>
  <si>
    <t>jul-75</t>
  </si>
  <si>
    <t>ago-75</t>
  </si>
  <si>
    <t>sep-75</t>
  </si>
  <si>
    <t>oct-75</t>
  </si>
  <si>
    <t>nov-75</t>
  </si>
  <si>
    <t>UMF 49 Agualeguas</t>
  </si>
  <si>
    <t>dic-75</t>
  </si>
  <si>
    <t>Agualeguas</t>
  </si>
  <si>
    <t>ene-76</t>
  </si>
  <si>
    <t>feb-76</t>
  </si>
  <si>
    <t>mar-76</t>
  </si>
  <si>
    <t>UMF 50 Cerralvo</t>
  </si>
  <si>
    <t>Cerralvo</t>
  </si>
  <si>
    <t>abr-76</t>
  </si>
  <si>
    <t>Ciudad Cerralvo</t>
  </si>
  <si>
    <t>may-76</t>
  </si>
  <si>
    <t>jun-76</t>
  </si>
  <si>
    <t>UMF 66 Pueblo Nuevo</t>
  </si>
  <si>
    <t>jul-76</t>
  </si>
  <si>
    <t>ago-76</t>
  </si>
  <si>
    <t>sep-76</t>
  </si>
  <si>
    <t>oct-76</t>
  </si>
  <si>
    <t>UMF 70 Zuazua</t>
  </si>
  <si>
    <t>General Zuazua</t>
  </si>
  <si>
    <t>nov-76</t>
  </si>
  <si>
    <t>General Zuazu</t>
  </si>
  <si>
    <t>dic-76</t>
  </si>
  <si>
    <t>ene-77</t>
  </si>
  <si>
    <t>feb-77</t>
  </si>
  <si>
    <t>mar-77</t>
  </si>
  <si>
    <t>abr-77</t>
  </si>
  <si>
    <t>may-77</t>
  </si>
  <si>
    <t>jun-77</t>
  </si>
  <si>
    <t>jul-77</t>
  </si>
  <si>
    <t>ago-77</t>
  </si>
  <si>
    <t>2 Noreste</t>
  </si>
  <si>
    <t>HGZMF 6 S. Nicolas Garza</t>
  </si>
  <si>
    <t>San Nicolás de los Garza</t>
  </si>
  <si>
    <t>sep-77</t>
  </si>
  <si>
    <t>San Nicolás de Los Garza</t>
  </si>
  <si>
    <t>oct-77</t>
  </si>
  <si>
    <t>UMF 9 Salinas Victoria</t>
  </si>
  <si>
    <t>Salinas Victoria</t>
  </si>
  <si>
    <t>nov-77</t>
  </si>
  <si>
    <t>dic-77</t>
  </si>
  <si>
    <t>ene-78</t>
  </si>
  <si>
    <t>HGSMF 10 Sabinas Hgo.</t>
  </si>
  <si>
    <t>Sabinas Hidalgo</t>
  </si>
  <si>
    <t>feb-78</t>
  </si>
  <si>
    <t>Ciudad Sabinas Hidalgo</t>
  </si>
  <si>
    <t>mar-78</t>
  </si>
  <si>
    <t>abr-78</t>
  </si>
  <si>
    <t>may-78</t>
  </si>
  <si>
    <t>jun-78</t>
  </si>
  <si>
    <t>jul-78</t>
  </si>
  <si>
    <t>ago-78</t>
  </si>
  <si>
    <t>sep-78</t>
  </si>
  <si>
    <t>oct-78</t>
  </si>
  <si>
    <t>nov-78</t>
  </si>
  <si>
    <t>dic-78</t>
  </si>
  <si>
    <t>ene-79</t>
  </si>
  <si>
    <t>feb-79</t>
  </si>
  <si>
    <t>mar-79</t>
  </si>
  <si>
    <t>abr-79</t>
  </si>
  <si>
    <t>may-79</t>
  </si>
  <si>
    <t>jun-79</t>
  </si>
  <si>
    <t>jul-79</t>
  </si>
  <si>
    <t>ago-79</t>
  </si>
  <si>
    <t>sep-79</t>
  </si>
  <si>
    <t>oct-79</t>
  </si>
  <si>
    <t>nov-79</t>
  </si>
  <si>
    <t>dic-79</t>
  </si>
  <si>
    <t>ene-80</t>
  </si>
  <si>
    <t>feb-80</t>
  </si>
  <si>
    <t>mar-80</t>
  </si>
  <si>
    <t>abr-80</t>
  </si>
  <si>
    <t>may-80</t>
  </si>
  <si>
    <t>jun-80</t>
  </si>
  <si>
    <t>jul-80</t>
  </si>
  <si>
    <t>ago-80</t>
  </si>
  <si>
    <t>sep-80</t>
  </si>
  <si>
    <t>oct-80</t>
  </si>
  <si>
    <t>nov-80</t>
  </si>
  <si>
    <t>dic-80</t>
  </si>
  <si>
    <t>ene-81</t>
  </si>
  <si>
    <t>feb-81</t>
  </si>
  <si>
    <t>UMF 15 Monterrey</t>
  </si>
  <si>
    <t>Monterrey</t>
  </si>
  <si>
    <t>mar-81</t>
  </si>
  <si>
    <t>abr-81</t>
  </si>
  <si>
    <t>may-81</t>
  </si>
  <si>
    <t>jun-81</t>
  </si>
  <si>
    <t>UMF 31 S. Nicolas Garza</t>
  </si>
  <si>
    <t>jul-81</t>
  </si>
  <si>
    <t>ago-81</t>
  </si>
  <si>
    <t>sep-81</t>
  </si>
  <si>
    <t>oct-81</t>
  </si>
  <si>
    <t>UMF 42 El Carmen</t>
  </si>
  <si>
    <t>El Carmen</t>
  </si>
  <si>
    <t>nov-81</t>
  </si>
  <si>
    <t>dic-81</t>
  </si>
  <si>
    <t>ene-82</t>
  </si>
  <si>
    <t>feb-82</t>
  </si>
  <si>
    <t>UMF 43 Escobedo</t>
  </si>
  <si>
    <t>General Escobedo</t>
  </si>
  <si>
    <t>Ciudad General Escobedo</t>
  </si>
  <si>
    <t>mar-82</t>
  </si>
  <si>
    <t>abr-82</t>
  </si>
  <si>
    <t>may-82</t>
  </si>
  <si>
    <t>jun-82</t>
  </si>
  <si>
    <t>UMF 44 Ciénega Flores</t>
  </si>
  <si>
    <t>jul-82</t>
  </si>
  <si>
    <t>Ciénega de Flores</t>
  </si>
  <si>
    <t>ago-82</t>
  </si>
  <si>
    <t>sep-82</t>
  </si>
  <si>
    <t>oct-82</t>
  </si>
  <si>
    <t>UMF 45 Hidalgo</t>
  </si>
  <si>
    <t>nov-82</t>
  </si>
  <si>
    <t>UMF 46 Villa Aldama</t>
  </si>
  <si>
    <t>dic-82</t>
  </si>
  <si>
    <t>Villaldama</t>
  </si>
  <si>
    <t>Ciudad de Villaldama</t>
  </si>
  <si>
    <t>ene-83</t>
  </si>
  <si>
    <t>feb-83</t>
  </si>
  <si>
    <t>mar-83</t>
  </si>
  <si>
    <t>abr-83</t>
  </si>
  <si>
    <t>UMF 47 Lampazos</t>
  </si>
  <si>
    <t>may-83</t>
  </si>
  <si>
    <t>Lampazos de Naranjo</t>
  </si>
  <si>
    <t>UMF 48 Cd. Anáhuac</t>
  </si>
  <si>
    <t>jun-83</t>
  </si>
  <si>
    <t>jul-83</t>
  </si>
  <si>
    <t>ago-83</t>
  </si>
  <si>
    <t>sep-83</t>
  </si>
  <si>
    <t>oct-83</t>
  </si>
  <si>
    <t>nov-83</t>
  </si>
  <si>
    <t>Anáhuac</t>
  </si>
  <si>
    <t>dic-83</t>
  </si>
  <si>
    <t>ene-84</t>
  </si>
  <si>
    <t>feb-84</t>
  </si>
  <si>
    <t>UMF 072 Buena Vista</t>
  </si>
  <si>
    <t>mar-84</t>
  </si>
  <si>
    <t>abr-84</t>
  </si>
  <si>
    <t>may-84</t>
  </si>
  <si>
    <t>jun-84</t>
  </si>
  <si>
    <t>UMF 73 San Nicolas de los
Garza</t>
  </si>
  <si>
    <t>jul-84</t>
  </si>
  <si>
    <t>ago-84</t>
  </si>
  <si>
    <t>sep-84</t>
  </si>
  <si>
    <t>oct-84</t>
  </si>
  <si>
    <t>1 Noroeste</t>
  </si>
  <si>
    <t>UMF 26 Monterrey</t>
  </si>
  <si>
    <t>nov-84</t>
  </si>
  <si>
    <t>dic-84</t>
  </si>
  <si>
    <t>ene-85</t>
  </si>
  <si>
    <t>feb-85</t>
  </si>
  <si>
    <t>UMF 28 Monterrey</t>
  </si>
  <si>
    <t>mar-85</t>
  </si>
  <si>
    <t>abr-85</t>
  </si>
  <si>
    <t>may-85</t>
  </si>
  <si>
    <t>jun-85</t>
  </si>
  <si>
    <t>jul-85</t>
  </si>
  <si>
    <t>ago-85</t>
  </si>
  <si>
    <t>sep-85</t>
  </si>
  <si>
    <t>oct-85</t>
  </si>
  <si>
    <t>UMF 35 Monterrey</t>
  </si>
  <si>
    <t>nov-85</t>
  </si>
  <si>
    <t>dic-85</t>
  </si>
  <si>
    <t>ene-86</t>
  </si>
  <si>
    <t>feb-86</t>
  </si>
  <si>
    <t>mar-86</t>
  </si>
  <si>
    <t>UMF 37 Monterrey</t>
  </si>
  <si>
    <t>abr-86</t>
  </si>
  <si>
    <t>may-86</t>
  </si>
  <si>
    <t>jun-86</t>
  </si>
  <si>
    <t>jul-86</t>
  </si>
  <si>
    <t>UMF 39 Monterrey</t>
  </si>
  <si>
    <t>ago-86</t>
  </si>
  <si>
    <t>sep-86</t>
  </si>
  <si>
    <t>oct-86</t>
  </si>
  <si>
    <t>UMF 69 Lincoln</t>
  </si>
  <si>
    <t>nov-86</t>
  </si>
  <si>
    <t>dic-86</t>
  </si>
  <si>
    <t>ene-87</t>
  </si>
  <si>
    <t>4 Sureste</t>
  </si>
  <si>
    <t>HGZMF 2 Monterrey</t>
  </si>
  <si>
    <t>feb-87</t>
  </si>
  <si>
    <t>mar-87</t>
  </si>
  <si>
    <t>abr-87</t>
  </si>
  <si>
    <t>may-87</t>
  </si>
  <si>
    <t>jun-87</t>
  </si>
  <si>
    <t>UMF 3 Monterrey</t>
  </si>
  <si>
    <t>jul-87</t>
  </si>
  <si>
    <t>ago-87</t>
  </si>
  <si>
    <t>sep-87</t>
  </si>
  <si>
    <t>oct-87</t>
  </si>
  <si>
    <t>UMFH 14 Cadereyta</t>
  </si>
  <si>
    <t>nov-87</t>
  </si>
  <si>
    <t>Cadereyta Jiménez</t>
  </si>
  <si>
    <t>dic-87</t>
  </si>
  <si>
    <t>ene-88</t>
  </si>
  <si>
    <t>feb-88</t>
  </si>
  <si>
    <t>UMF 20 V. Juárez</t>
  </si>
  <si>
    <t>mar-88</t>
  </si>
  <si>
    <t>Ciudad Benito Juárez</t>
  </si>
  <si>
    <t>abr-88</t>
  </si>
  <si>
    <t>may-88</t>
  </si>
  <si>
    <t>jun-88</t>
  </si>
  <si>
    <t>UMF 27 V. Guadalupe</t>
  </si>
  <si>
    <t>jul-88</t>
  </si>
  <si>
    <t>ago-88</t>
  </si>
  <si>
    <t>sep-88</t>
  </si>
  <si>
    <t>oct-88</t>
  </si>
  <si>
    <t>nov-88</t>
  </si>
  <si>
    <t>dic-88</t>
  </si>
  <si>
    <t>ene-89</t>
  </si>
  <si>
    <t>UMF 29 V. Guadalupe</t>
  </si>
  <si>
    <t>feb-89</t>
  </si>
  <si>
    <t>mar-89</t>
  </si>
  <si>
    <t>abr-89</t>
  </si>
  <si>
    <t>may-89</t>
  </si>
  <si>
    <t>jun-89</t>
  </si>
  <si>
    <t>jul-89</t>
  </si>
  <si>
    <t>ago-89</t>
  </si>
  <si>
    <t>UMF 30 Pino</t>
  </si>
  <si>
    <t>sep-89</t>
  </si>
  <si>
    <t>oct-89</t>
  </si>
  <si>
    <t>nov-89</t>
  </si>
  <si>
    <t>UMF 32 V. Guadalupe</t>
  </si>
  <si>
    <t>dic-89</t>
  </si>
  <si>
    <t>ene-90</t>
  </si>
  <si>
    <t>feb-90</t>
  </si>
  <si>
    <t>mar-90</t>
  </si>
  <si>
    <t>abr-90</t>
  </si>
  <si>
    <t>UMF 36 Monterrey</t>
  </si>
  <si>
    <t>may-90</t>
  </si>
  <si>
    <t>jun-90</t>
  </si>
  <si>
    <t>jul-90</t>
  </si>
  <si>
    <t>ago-90</t>
  </si>
  <si>
    <t>UMF 51 China</t>
  </si>
  <si>
    <t>China</t>
  </si>
  <si>
    <t>sep-90</t>
  </si>
  <si>
    <t>oct-90</t>
  </si>
  <si>
    <t>nov-90</t>
  </si>
  <si>
    <t>dic-90</t>
  </si>
  <si>
    <t>ene-91</t>
  </si>
  <si>
    <t>UMF 68 Rincón de la Sierra</t>
  </si>
  <si>
    <t>feb-91</t>
  </si>
  <si>
    <t>mar-91</t>
  </si>
  <si>
    <t>abr-91</t>
  </si>
  <si>
    <t>may-91</t>
  </si>
  <si>
    <t>UMF 74 Las Torres</t>
  </si>
  <si>
    <t>jun-91</t>
  </si>
  <si>
    <t>jul-91</t>
  </si>
  <si>
    <t>ago-91</t>
  </si>
  <si>
    <t>sep-91</t>
  </si>
  <si>
    <t>3 Suroeste</t>
  </si>
  <si>
    <t>UMF 5 Monterrey</t>
  </si>
  <si>
    <t>oct-91</t>
  </si>
  <si>
    <t>nov-91</t>
  </si>
  <si>
    <t>dic-91</t>
  </si>
  <si>
    <t>ene-92</t>
  </si>
  <si>
    <t>UMF-UMAA 7 San Pedro Garza</t>
  </si>
  <si>
    <t>feb-92</t>
  </si>
  <si>
    <t>San Pedro Garza García</t>
  </si>
  <si>
    <t>mar-92</t>
  </si>
  <si>
    <t>abr-92</t>
  </si>
  <si>
    <t>may-92</t>
  </si>
  <si>
    <t>UMF 8 El Cercado</t>
  </si>
  <si>
    <t>Santiago</t>
  </si>
  <si>
    <t>jun-92</t>
  </si>
  <si>
    <t>jul-92</t>
  </si>
  <si>
    <t>ago-92</t>
  </si>
  <si>
    <t>sep-92</t>
  </si>
  <si>
    <t>UMF 24 Villa García</t>
  </si>
  <si>
    <t>oct-92</t>
  </si>
  <si>
    <t>García</t>
  </si>
  <si>
    <t>nov-92</t>
  </si>
  <si>
    <t>dic-92</t>
  </si>
  <si>
    <t>ene-93</t>
  </si>
  <si>
    <t>feb-93</t>
  </si>
  <si>
    <t>UMF 38 Monterrey</t>
  </si>
  <si>
    <t>mar-93</t>
  </si>
  <si>
    <t>abr-93</t>
  </si>
  <si>
    <t>may-93</t>
  </si>
  <si>
    <t>jun-93</t>
  </si>
  <si>
    <t>UMF 58 S. Pedro Garza</t>
  </si>
  <si>
    <t>jul-93</t>
  </si>
  <si>
    <t>San Pedro Garza Garcia</t>
  </si>
  <si>
    <t>ago-93</t>
  </si>
  <si>
    <t>sep-93</t>
  </si>
  <si>
    <t>oct-93</t>
  </si>
  <si>
    <t>nov-93</t>
  </si>
  <si>
    <t>UMF 64 Sta. Catarina</t>
  </si>
  <si>
    <t>Santa Catarina</t>
  </si>
  <si>
    <t>dic-93</t>
  </si>
  <si>
    <t>ene-94</t>
  </si>
  <si>
    <t>feb-94</t>
  </si>
  <si>
    <t>UMF 1 Oaxaca</t>
  </si>
  <si>
    <t>mar-94</t>
  </si>
  <si>
    <t>abr-94</t>
  </si>
  <si>
    <t>may-94</t>
  </si>
  <si>
    <t>jun-94</t>
  </si>
  <si>
    <t>Oaxaca de Juárez</t>
  </si>
  <si>
    <t>jul-94</t>
  </si>
  <si>
    <t>ago-94</t>
  </si>
  <si>
    <t>sep-94</t>
  </si>
  <si>
    <t>UMF 13 Cuicatlán</t>
  </si>
  <si>
    <t>oct-94</t>
  </si>
  <si>
    <t>San Juan Bautista Cuicatlán</t>
  </si>
  <si>
    <t>nov-94</t>
  </si>
  <si>
    <t>dic-94</t>
  </si>
  <si>
    <t>ene-95</t>
  </si>
  <si>
    <t>UMF 17 Magdalena</t>
  </si>
  <si>
    <t>feb-95</t>
  </si>
  <si>
    <t>Magdalena Apasco</t>
  </si>
  <si>
    <t>mar-95</t>
  </si>
  <si>
    <t>abr-95</t>
  </si>
  <si>
    <t>may-95</t>
  </si>
  <si>
    <t>jun-95</t>
  </si>
  <si>
    <t>HR Heróica Ciudad de
Huajuapan de León</t>
  </si>
  <si>
    <t>Heroica Ciudad de Huajuapan
de León</t>
  </si>
  <si>
    <t>Heróica Ciudad de
Huajuapan de León</t>
  </si>
  <si>
    <t>jul-95</t>
  </si>
  <si>
    <t>ago-95</t>
  </si>
  <si>
    <t>sep-95</t>
  </si>
  <si>
    <t>oct-95</t>
  </si>
  <si>
    <t>UMRM 21 Tamazulapan</t>
  </si>
  <si>
    <t>Villa de Tamazulápam del
Progreso</t>
  </si>
  <si>
    <t>Tamazulapam del Progreso</t>
  </si>
  <si>
    <t>nov-95</t>
  </si>
  <si>
    <t>dic-95</t>
  </si>
  <si>
    <t>ene-96</t>
  </si>
  <si>
    <t>HR Miahuatlán de Porfirio Díaz</t>
  </si>
  <si>
    <t>Miahuatlán de Porfirio Díaz</t>
  </si>
  <si>
    <t>Miahuatlán de Porfirio
Díaz</t>
  </si>
  <si>
    <t>feb-96</t>
  </si>
  <si>
    <t>mar-96</t>
  </si>
  <si>
    <t>abr-96</t>
  </si>
  <si>
    <t>UMF 27 Ocotlán</t>
  </si>
  <si>
    <t>may-96</t>
  </si>
  <si>
    <t>Ocotlán de Morelos</t>
  </si>
  <si>
    <t>jun-96</t>
  </si>
  <si>
    <t>jul-96</t>
  </si>
  <si>
    <t>ago-96</t>
  </si>
  <si>
    <t>UMF 31 Zimatlán de Álvarez</t>
  </si>
  <si>
    <t>sep-96</t>
  </si>
  <si>
    <t>Zimatlán de Álvarez</t>
  </si>
  <si>
    <t>oct-96</t>
  </si>
  <si>
    <t>nov-96</t>
  </si>
  <si>
    <t>dic-96</t>
  </si>
  <si>
    <t>HRO 34 Tlaxiaco</t>
  </si>
  <si>
    <t>Heroica Ciudad de Tlaxiaco</t>
  </si>
  <si>
    <t>ene-97</t>
  </si>
  <si>
    <t>Heróica Ciudad de Tlaxiaco</t>
  </si>
  <si>
    <t>feb-97</t>
  </si>
  <si>
    <t>HR Tlacolula de Matamoros</t>
  </si>
  <si>
    <t>Tlacolula de Matamoros</t>
  </si>
  <si>
    <t>mar-97</t>
  </si>
  <si>
    <t>abr-97</t>
  </si>
  <si>
    <t>may-97</t>
  </si>
  <si>
    <t>jun-97</t>
  </si>
  <si>
    <t>UMF 38 FF.CC.</t>
  </si>
  <si>
    <t>jul-97</t>
  </si>
  <si>
    <t>ago-97</t>
  </si>
  <si>
    <t>sep-97</t>
  </si>
  <si>
    <t>oct-97</t>
  </si>
  <si>
    <t>UMF 40 Ixtlan de Juárez</t>
  </si>
  <si>
    <t>Ixtlán de Juárez</t>
  </si>
  <si>
    <t>nov-97</t>
  </si>
  <si>
    <t>dic-97</t>
  </si>
  <si>
    <t>ene-98</t>
  </si>
  <si>
    <t>feb-98</t>
  </si>
  <si>
    <t>mar-98</t>
  </si>
  <si>
    <t>HR Huautla de Jiménez</t>
  </si>
  <si>
    <t>Huautla de Jiménez</t>
  </si>
  <si>
    <t>abr-98</t>
  </si>
  <si>
    <t>may-98</t>
  </si>
  <si>
    <t>jun-98</t>
  </si>
  <si>
    <t>UMF 56 San Pablo Huitzo</t>
  </si>
  <si>
    <t>San Pablo Huitzo</t>
  </si>
  <si>
    <t>jul-98</t>
  </si>
  <si>
    <t>ago-98</t>
  </si>
  <si>
    <t>sep-98</t>
  </si>
  <si>
    <t>oct-98</t>
  </si>
  <si>
    <t>UMF 57 San Pablo Villa de Etla</t>
  </si>
  <si>
    <t>Villa de Etla</t>
  </si>
  <si>
    <t>nov-98</t>
  </si>
  <si>
    <t>dic-98</t>
  </si>
  <si>
    <t>ene-99</t>
  </si>
  <si>
    <t>feb-99</t>
  </si>
  <si>
    <t>mar-99</t>
  </si>
  <si>
    <t>abr-99</t>
  </si>
  <si>
    <t>may-99</t>
  </si>
  <si>
    <t>jun-99</t>
  </si>
  <si>
    <t>jul-99</t>
  </si>
  <si>
    <t>ago-99</t>
  </si>
  <si>
    <t>sep-99</t>
  </si>
  <si>
    <t>oct-99</t>
  </si>
  <si>
    <t>nov-99</t>
  </si>
  <si>
    <t>dic-99</t>
  </si>
  <si>
    <t>ene-00</t>
  </si>
  <si>
    <t>feb-00</t>
  </si>
  <si>
    <t>mar-00</t>
  </si>
  <si>
    <t>abr-00</t>
  </si>
  <si>
    <t>may-00</t>
  </si>
  <si>
    <t>jun-00</t>
  </si>
  <si>
    <t>jul-00</t>
  </si>
  <si>
    <t>ago-00</t>
  </si>
  <si>
    <t>sep-00</t>
  </si>
  <si>
    <t>oct-00</t>
  </si>
  <si>
    <t>nov-00</t>
  </si>
  <si>
    <t>dic-00</t>
  </si>
  <si>
    <t>UMF 58 Teotitlán</t>
  </si>
  <si>
    <t>Teotitlán de Flores Magón</t>
  </si>
  <si>
    <t>UMF 65 Sta Lucía del</t>
  </si>
  <si>
    <t>Santa Lucía del Camino</t>
  </si>
  <si>
    <t>HR Santiago Juxtlahuaca</t>
  </si>
  <si>
    <t>Santiago Juxtlahuaca</t>
  </si>
  <si>
    <t>Salina Cruz</t>
  </si>
  <si>
    <t>HGZMF 2 Salina Cruz</t>
  </si>
  <si>
    <t>UMF 5 Sto. Domingo</t>
  </si>
  <si>
    <t>Santo Domingo Tehuantepec</t>
  </si>
  <si>
    <t>Santo Domingo
Tehuantepec</t>
  </si>
  <si>
    <t>UMF 6 Juchitan</t>
  </si>
  <si>
    <t>Heroica Ciudad de Juchitán de
Zaragoza</t>
  </si>
  <si>
    <t>Heroica Ciudad de Juchitán
de Zaragoza</t>
  </si>
  <si>
    <t>UMF 12 Sto. Domingo</t>
  </si>
  <si>
    <t>Santo Domingo Ingenio</t>
  </si>
  <si>
    <t>UMF 23 Cd. Ixtpepec</t>
  </si>
  <si>
    <t>Ciudad Ixtepec</t>
  </si>
  <si>
    <t>UMF 29 Barrio La Soledad</t>
  </si>
  <si>
    <t>El Barrio de la Soledad</t>
  </si>
  <si>
    <t>El Barrio de La Soledad</t>
  </si>
  <si>
    <t>UMF 30 San Pedro
Tapanatepec</t>
  </si>
  <si>
    <t>San Pedro Tapanatepec</t>
  </si>
  <si>
    <t>HR Matías Romero Avendaño</t>
  </si>
  <si>
    <t>Matías Romero Avendaño</t>
  </si>
  <si>
    <t>San Juan Bautista
Tuxtepec</t>
  </si>
  <si>
    <t>UMF 59 Loma Bonita</t>
  </si>
  <si>
    <t>Loma Bonita</t>
  </si>
  <si>
    <t>UMF 64 Tuxtepec</t>
  </si>
  <si>
    <t>San Juan Bautista Tuxtepec</t>
  </si>
  <si>
    <t>Santa María Huatulco</t>
  </si>
  <si>
    <t>UMF 26 Pinotepa</t>
  </si>
  <si>
    <t>Santiago Pinotepa Nacional</t>
  </si>
  <si>
    <t>Santiago Pinotepa
Nacional</t>
  </si>
  <si>
    <t>UMF 32 Puerto Escondido</t>
  </si>
  <si>
    <t>San Pedro Mixtepec</t>
  </si>
  <si>
    <t>Puerto Escondido</t>
  </si>
  <si>
    <t>UMF 33 Pedro Pochutla</t>
  </si>
  <si>
    <t>San Pedro Pochutla</t>
  </si>
  <si>
    <t>HR Santiago Jamiltepec</t>
  </si>
  <si>
    <t>Santiago Jamiltepec</t>
  </si>
  <si>
    <t>HGSMF 41 Huatulco</t>
  </si>
  <si>
    <t>Bahia de Santa Cruz
Huatulco</t>
  </si>
  <si>
    <t>Puebla Norte</t>
  </si>
  <si>
    <t>UMF 2 Puebla</t>
  </si>
  <si>
    <t>Heróica Puebla de
Zaragoza</t>
  </si>
  <si>
    <t>UMF 3 San Felipe</t>
  </si>
  <si>
    <t>UMF 6 Puebla</t>
  </si>
  <si>
    <t>UMF 17 Xicotepec</t>
  </si>
  <si>
    <t>Xicotepec</t>
  </si>
  <si>
    <t>Xicotepec de Juárez</t>
  </si>
  <si>
    <t>UMF 18 Nuevo Necaxa</t>
  </si>
  <si>
    <t>Juan Galindo</t>
  </si>
  <si>
    <t>Nuevo Necaxa</t>
  </si>
  <si>
    <t>UMF 19 Huauchinango</t>
  </si>
  <si>
    <t>Huauchinango</t>
  </si>
  <si>
    <t>UMF 39 Zacatlán</t>
  </si>
  <si>
    <t>Zacatlán</t>
  </si>
  <si>
    <t>UMF 47 S. Miguel Xoxtla</t>
  </si>
  <si>
    <t>San Miguel Xoxtla</t>
  </si>
  <si>
    <t>UMF 49 Tetela Ocampo</t>
  </si>
  <si>
    <t>Tetela de Ocampo</t>
  </si>
  <si>
    <t>Ciudad de Tetela de
Ocampo</t>
  </si>
  <si>
    <t>UMF 55 Puebla</t>
  </si>
  <si>
    <t>Teziutlán</t>
  </si>
  <si>
    <t>UMF 22 Teziutlán</t>
  </si>
  <si>
    <t>UMF 25 Aire Llibre</t>
  </si>
  <si>
    <t>Aire Libre (La Mina)</t>
  </si>
  <si>
    <t>UMFH 33 Villa Rafael</t>
  </si>
  <si>
    <t>Rafael Lara Grajales</t>
  </si>
  <si>
    <t>Ciudad de Rafael Lara
Grajales</t>
  </si>
  <si>
    <t>UMF 37 Los Libres</t>
  </si>
  <si>
    <t>Libres</t>
  </si>
  <si>
    <t>Ciudad de Libres</t>
  </si>
  <si>
    <t>UMF 40 Oriental</t>
  </si>
  <si>
    <t>Oriental</t>
  </si>
  <si>
    <t>UMF 46 Tlatlauquitepec</t>
  </si>
  <si>
    <t>Tlatlauquitepec</t>
  </si>
  <si>
    <t>Ciudad de Tlatlauquitepec</t>
  </si>
  <si>
    <t>UMF 56 Mazatepec</t>
  </si>
  <si>
    <t>Mazatepec</t>
  </si>
  <si>
    <t>UMF 58 San José Chiapa</t>
  </si>
  <si>
    <t>San José Chiapa</t>
  </si>
  <si>
    <t>JIS Park AUDI México
Parque Industrial</t>
  </si>
  <si>
    <t>Tehuacán</t>
  </si>
  <si>
    <t>UMF 9 Santa María</t>
  </si>
  <si>
    <t>UMFH 16 Tecamachalco</t>
  </si>
  <si>
    <t>Tecamachalco</t>
  </si>
  <si>
    <t>UMF 27 V. Ajalpan</t>
  </si>
  <si>
    <t>Ajalpan</t>
  </si>
  <si>
    <t>Ciudad de Ajalpan</t>
  </si>
  <si>
    <t>UMFH 28 Calipan</t>
  </si>
  <si>
    <t>Coxcatlán</t>
  </si>
  <si>
    <t>Calipan</t>
  </si>
  <si>
    <t>UMFH 29 S.José Tilapa</t>
  </si>
  <si>
    <t>San José Tilapa</t>
  </si>
  <si>
    <t>UMF 30 Tehuacán</t>
  </si>
  <si>
    <t>UMF 38 Palmar Bravo</t>
  </si>
  <si>
    <t>Palmar de Bravo</t>
  </si>
  <si>
    <t>UMF 42 Tepeaca</t>
  </si>
  <si>
    <t>Tepeaca</t>
  </si>
  <si>
    <t>UMF 43 Cd. Cerdán</t>
  </si>
  <si>
    <t>Chalchicomula de Sesma</t>
  </si>
  <si>
    <t>Ciudad Serdán</t>
  </si>
  <si>
    <t>UMF 44 Tlacotepec</t>
  </si>
  <si>
    <t>Tlacotepec de Benito Juárez</t>
  </si>
  <si>
    <t>Tlacotepec de Benito
Juárez</t>
  </si>
  <si>
    <t>Izúcar de Matamoros</t>
  </si>
  <si>
    <t>UMFH 24 Izucar Matamor</t>
  </si>
  <si>
    <t>UMFH 26 Atencingo</t>
  </si>
  <si>
    <t>Chietla</t>
  </si>
  <si>
    <t>Atencingo</t>
  </si>
  <si>
    <t>UMFH 31 Chietla</t>
  </si>
  <si>
    <t>UMF 32 Lagunillas</t>
  </si>
  <si>
    <t>Lagunillas de Rayón
(Alchichica)</t>
  </si>
  <si>
    <t>UMF 34 Atlixco</t>
  </si>
  <si>
    <t>Atlixco</t>
  </si>
  <si>
    <t>UMF 50 Acatlán Osorio</t>
  </si>
  <si>
    <t>Acatlán</t>
  </si>
  <si>
    <t>Acatlán de Osorio</t>
  </si>
  <si>
    <t>01 Poder Legislativo</t>
  </si>
  <si>
    <t>03 Poder Judicial</t>
  </si>
  <si>
    <t>04 Gobernación</t>
  </si>
  <si>
    <t>05 Relaciones Exteriores</t>
  </si>
  <si>
    <t>06 Hacienda y Crédito Público</t>
  </si>
  <si>
    <t>07 Defensa Nacional</t>
  </si>
  <si>
    <t>Puebla Sur</t>
  </si>
  <si>
    <t>UMF 1 Puebla</t>
  </si>
  <si>
    <t>08 Agricultura y Desarrollo Rural</t>
  </si>
  <si>
    <t>10 Economía</t>
  </si>
  <si>
    <t>11 Educación Pública</t>
  </si>
  <si>
    <t>UMF 4 Constancia</t>
  </si>
  <si>
    <t>13 Marina</t>
  </si>
  <si>
    <t>16 Medio Ambiente y Recursos Naturales</t>
  </si>
  <si>
    <t>14 Trabajo y Previsión Social</t>
  </si>
  <si>
    <t>18 Energía</t>
  </si>
  <si>
    <t>21 Turismo</t>
  </si>
  <si>
    <t>22 Instituto Nacional Electoral</t>
  </si>
  <si>
    <t>25 Previsiones y Aportaciones para los Sistemas de Educación Básica, Normal, Tecnológica y de Adultos</t>
  </si>
  <si>
    <t>31 Tribunales Agrarios</t>
  </si>
  <si>
    <t>UMF 7 Sn Bartolo</t>
  </si>
  <si>
    <t>32 Tribunal Federal de Justicia Administrativa</t>
  </si>
  <si>
    <t>35 Comisión Nacional de los Derechos Humanos</t>
  </si>
  <si>
    <t>36 Seguridad y Protección Ciudadana</t>
  </si>
  <si>
    <t>38 Ciencia, Humanidades, Tecnología e Innovación</t>
  </si>
  <si>
    <t>UMF 8 El Mayorazgo</t>
  </si>
  <si>
    <t>47 Entidades no Sectorizadas</t>
  </si>
  <si>
    <t>48 Cultura</t>
  </si>
  <si>
    <t>49 Fiscalía General de la República</t>
  </si>
  <si>
    <t>55 Agencia de Transformación Digital y Telecomunicaciones</t>
  </si>
  <si>
    <t>56 Servicios de Salud del Instituto Mexicano del Seguro Social para el Bienestar</t>
  </si>
  <si>
    <t>UMFH 11 S. Martín Texme</t>
  </si>
  <si>
    <t>San Martín Texmelucan</t>
  </si>
  <si>
    <t>San Martín Texmelucan de
Labastida</t>
  </si>
  <si>
    <t>UMF 12 S. Pedro Cholula</t>
  </si>
  <si>
    <t>San Pedro Cholula</t>
  </si>
  <si>
    <t>Cholula de Rivadavia</t>
  </si>
  <si>
    <t>UMF 13 Puebla</t>
  </si>
  <si>
    <t>UMF 14 Pueblo Nuevo</t>
  </si>
  <si>
    <t>UMF 21 Puebla</t>
  </si>
  <si>
    <t>HGZ 035 Cuautlancingo</t>
  </si>
  <si>
    <t>Cuautlancingo</t>
  </si>
  <si>
    <t>San Juan Cuautlancingo</t>
  </si>
  <si>
    <t>UMF 41 Huejotzingo</t>
  </si>
  <si>
    <t>Huejotzingo</t>
  </si>
  <si>
    <t>UMF 57 La Margarita</t>
  </si>
  <si>
    <t>UMF 2 San Cayetano</t>
  </si>
  <si>
    <t>Santiago de Querétaro</t>
  </si>
  <si>
    <t>UMF 8 El Marqués</t>
  </si>
  <si>
    <t>El Marqués</t>
  </si>
  <si>
    <t>Fraccionamiento Hacienda
la Cruz</t>
  </si>
  <si>
    <t>UMF 9 Del Tintero</t>
  </si>
  <si>
    <t>UMF 10 S. Gregorio</t>
  </si>
  <si>
    <t>UMF 11 S. R. Jaúregui</t>
  </si>
  <si>
    <t>Santa Rosa Jáuregui</t>
  </si>
  <si>
    <t>UMF 13 Querétaro</t>
  </si>
  <si>
    <t>UMF 14 El Pueblito</t>
  </si>
  <si>
    <t>Corregidora</t>
  </si>
  <si>
    <t>El Pueblito</t>
  </si>
  <si>
    <t>UMF 15 Querétaro</t>
  </si>
  <si>
    <t>UMF 16 Querétaro</t>
  </si>
  <si>
    <t>UMF 17 Corregidora</t>
  </si>
  <si>
    <t>La Negreta</t>
  </si>
  <si>
    <t>UMF 57 Colón</t>
  </si>
  <si>
    <t>Colón</t>
  </si>
  <si>
    <t>UMF 59 Huimilpan</t>
  </si>
  <si>
    <t>Huimilpan</t>
  </si>
  <si>
    <t>UMF 64 Toliman</t>
  </si>
  <si>
    <t>UMFH 4 Tequisquiapan</t>
  </si>
  <si>
    <t>Tequisquiapan</t>
  </si>
  <si>
    <t>UMF 5 P. Escobedo</t>
  </si>
  <si>
    <t>Pedro Escobedo</t>
  </si>
  <si>
    <t>UMF 6 S. Juan del Río</t>
  </si>
  <si>
    <t>UMF 7 S. Juan del Río</t>
  </si>
  <si>
    <t>UMF 12 Cadereyta</t>
  </si>
  <si>
    <t>Cadereyta de Montes</t>
  </si>
  <si>
    <t>UMF 56 Amealco</t>
  </si>
  <si>
    <t>Amealco de Bonfil</t>
  </si>
  <si>
    <t>UMF 58 E. Montes</t>
  </si>
  <si>
    <t>Ezequiel Montes</t>
  </si>
  <si>
    <t>UMF 63 S. Joaquín</t>
  </si>
  <si>
    <t>San Joaquín</t>
  </si>
  <si>
    <t>UMF 66 Maconi</t>
  </si>
  <si>
    <t>Maconí</t>
  </si>
  <si>
    <t>Chetumal</t>
  </si>
  <si>
    <t>HGZMF 1 Chetumal</t>
  </si>
  <si>
    <t>Othón P. Blanco</t>
  </si>
  <si>
    <t>UMF 5 Pucte Río Hondo</t>
  </si>
  <si>
    <t>Javier Rojo Gómez</t>
  </si>
  <si>
    <t>UMF 6 F. Carrillo Puerto</t>
  </si>
  <si>
    <t>Felipe Carrillo Puerto</t>
  </si>
  <si>
    <t>Playa del Carmen</t>
  </si>
  <si>
    <t>HGSMF 2 Cozumel</t>
  </si>
  <si>
    <t>Cozumel</t>
  </si>
  <si>
    <t>UMF 11 Playa Carmen</t>
  </si>
  <si>
    <t>Solidaridad</t>
  </si>
  <si>
    <t>Cancún</t>
  </si>
  <si>
    <t>UMF 4 Isla Mujeres</t>
  </si>
  <si>
    <t>Isla Mujeres</t>
  </si>
  <si>
    <t>UMF 13 Cancún Norte</t>
  </si>
  <si>
    <t>Benito Juárez</t>
  </si>
  <si>
    <t>UMF 14 Cancún Sur</t>
  </si>
  <si>
    <t>UMF 15 Cancún</t>
  </si>
  <si>
    <t>UMF 16 Cancún</t>
  </si>
  <si>
    <t>UMF 019 Los Héroes de la
Salud</t>
  </si>
  <si>
    <t>Oriente</t>
  </si>
  <si>
    <t>UMF 5 Soledad Graciano</t>
  </si>
  <si>
    <t>Soledad de Graciano Sánchez</t>
  </si>
  <si>
    <t>Soledad de Graciano
Sánchez</t>
  </si>
  <si>
    <t>HGSMF 9 Río Verde</t>
  </si>
  <si>
    <t>Rioverde</t>
  </si>
  <si>
    <t>UMF 19 S. María Río</t>
  </si>
  <si>
    <t>Santa María del Río</t>
  </si>
  <si>
    <t>UMF 21 V. Zaragoza</t>
  </si>
  <si>
    <t>Villa de Zaragoza</t>
  </si>
  <si>
    <t>UMF 22 Guadalcazar</t>
  </si>
  <si>
    <t>Guadalcázar</t>
  </si>
  <si>
    <t>UMF 23 Cerritos</t>
  </si>
  <si>
    <t>Cerritos</t>
  </si>
  <si>
    <t>UMF 26 Cárdenas</t>
  </si>
  <si>
    <t>Cárdenas</t>
  </si>
  <si>
    <t>UMF 45 San Luis Potosí</t>
  </si>
  <si>
    <t>UMF 47 San Luis Potosí</t>
  </si>
  <si>
    <t>UMF 49 San Luis Potosí</t>
  </si>
  <si>
    <t>Matehuala</t>
  </si>
  <si>
    <t>UMF 10 Matehuala</t>
  </si>
  <si>
    <t>HRO 015 Las Charcas</t>
  </si>
  <si>
    <t>Charcas</t>
  </si>
  <si>
    <t>UMF 43 Cedral</t>
  </si>
  <si>
    <t>Cedral</t>
  </si>
  <si>
    <t>UMF 46 Venegas</t>
  </si>
  <si>
    <t>Vanegas</t>
  </si>
  <si>
    <t>Ciudad Valles</t>
  </si>
  <si>
    <t>UMF 3 Cd. Valles</t>
  </si>
  <si>
    <t>HGSMF 4 El Naranjo</t>
  </si>
  <si>
    <t>El Naranjo</t>
  </si>
  <si>
    <t>UMF 8 Cd. Maíz</t>
  </si>
  <si>
    <t>Cerro de San Pedro</t>
  </si>
  <si>
    <t>UMFH 11 Rascón</t>
  </si>
  <si>
    <t>Rascón</t>
  </si>
  <si>
    <t>UMFH 12 Tamasopo</t>
  </si>
  <si>
    <t>Tamasopo</t>
  </si>
  <si>
    <t>UMF 13 El Tamuin</t>
  </si>
  <si>
    <t>Tamuín</t>
  </si>
  <si>
    <t>UMF 24 Ebano</t>
  </si>
  <si>
    <t>Ebano</t>
  </si>
  <si>
    <t>Ébano</t>
  </si>
  <si>
    <t>UMF 29 Aquismon</t>
  </si>
  <si>
    <t>Aquismón</t>
  </si>
  <si>
    <t>UMF 30 Tanlajas</t>
  </si>
  <si>
    <t>Tanlajás</t>
  </si>
  <si>
    <t>UMF 31 Cd. Santos</t>
  </si>
  <si>
    <t>Tancanhuitz</t>
  </si>
  <si>
    <t>UMF 34 Tampamolon</t>
  </si>
  <si>
    <t>Tampamolón Corona</t>
  </si>
  <si>
    <t>UMF 35 V. Alfredo M.</t>
  </si>
  <si>
    <t>Axtla de Terrazas</t>
  </si>
  <si>
    <t>UMF 37 Tamazunchale</t>
  </si>
  <si>
    <t>Tamazunchale</t>
  </si>
  <si>
    <t>UMF 48 La Hincada</t>
  </si>
  <si>
    <t>Poniente</t>
  </si>
  <si>
    <t>HGZMF 1 San Luis Potosí.</t>
  </si>
  <si>
    <t>HGZMF 2 San Luis Potosí</t>
  </si>
  <si>
    <t>UMF 7 Morales</t>
  </si>
  <si>
    <t>UMF 16 S. Hidalgo</t>
  </si>
  <si>
    <t>Salinas</t>
  </si>
  <si>
    <t>Salinas de Hidalgo</t>
  </si>
  <si>
    <t>UMF 20 V. Reyes</t>
  </si>
  <si>
    <t>Villa de Reyes</t>
  </si>
  <si>
    <t>UMF 40 Venado</t>
  </si>
  <si>
    <t>Venado</t>
  </si>
  <si>
    <t>UMF 42 Moctezuma</t>
  </si>
  <si>
    <t>Moctezuma</t>
  </si>
  <si>
    <t>UMF 51 María Cecilia</t>
  </si>
  <si>
    <t>Culiacán</t>
  </si>
  <si>
    <t>HGSMF 4 Navolato</t>
  </si>
  <si>
    <t>Navolato</t>
  </si>
  <si>
    <t>UMF 10 Villa Ángel</t>
  </si>
  <si>
    <t>General Ángel Flores (La
Palma)</t>
  </si>
  <si>
    <t>UMFH 11 Villa Juárez</t>
  </si>
  <si>
    <t>Lic. Benito Juárez (Campo
Gobierno)</t>
  </si>
  <si>
    <t>UMFH 22 El Dorado</t>
  </si>
  <si>
    <t>Eldorado</t>
  </si>
  <si>
    <t>UMF 24 Bachoco</t>
  </si>
  <si>
    <t>Bachoco</t>
  </si>
  <si>
    <t>HGZMF 28 Costa Rica</t>
  </si>
  <si>
    <t>Costa Rica</t>
  </si>
  <si>
    <t>UMF 35 Culiacán</t>
  </si>
  <si>
    <t>Culiacán Rosales</t>
  </si>
  <si>
    <t>UMF 36 Culiacán</t>
  </si>
  <si>
    <t>UMF 46 Culiacán</t>
  </si>
  <si>
    <t>UMF 52 Culiacán</t>
  </si>
  <si>
    <t>UMF 53 Inf. Barran</t>
  </si>
  <si>
    <t>Culiacan</t>
  </si>
  <si>
    <t>UMF-UMAA 55 Culiacán</t>
  </si>
  <si>
    <t>Los Mochis</t>
  </si>
  <si>
    <t>UMF 5 Topolobampo</t>
  </si>
  <si>
    <t>Ahome</t>
  </si>
  <si>
    <t>Topolobampo</t>
  </si>
  <si>
    <t>UMFH 6 Ahome</t>
  </si>
  <si>
    <t>UMFH 7 Higuera</t>
  </si>
  <si>
    <t>Higuera de Zaragoza</t>
  </si>
  <si>
    <t>UMFH 8 Mochicahui</t>
  </si>
  <si>
    <t>El Fuerte</t>
  </si>
  <si>
    <t>Mochicahui</t>
  </si>
  <si>
    <t>HR El Fuerte</t>
  </si>
  <si>
    <t>UMFH 13 San Miguel</t>
  </si>
  <si>
    <t>San Miguel Zapotitlán</t>
  </si>
  <si>
    <t>UMF 14 Santa Rosa</t>
  </si>
  <si>
    <t>Santa Rosa Cerrillos</t>
  </si>
  <si>
    <t>UMF 17 Choix</t>
  </si>
  <si>
    <t>Choix</t>
  </si>
  <si>
    <t>UMFH 18 El Colorado</t>
  </si>
  <si>
    <t>El Colorado</t>
  </si>
  <si>
    <t>UMFH 33 El Carrizo</t>
  </si>
  <si>
    <t>Lic Gustavo Diaz Ordaz</t>
  </si>
  <si>
    <t>UMF 37 Los Mochis</t>
  </si>
  <si>
    <t>UMF 39 Chávez Talaman</t>
  </si>
  <si>
    <t>Guillermo Chavez
Talamantes</t>
  </si>
  <si>
    <t>UMF 40 Jahuara</t>
  </si>
  <si>
    <t>Adolfo López Mateos
(Jahuara Segundo)</t>
  </si>
  <si>
    <t>UMF 43 San Blas</t>
  </si>
  <si>
    <t>El Fuerte (Mal Mun En
Suave)</t>
  </si>
  <si>
    <t>Guasave</t>
  </si>
  <si>
    <t>UMFH 9 Ruíz Cortínez</t>
  </si>
  <si>
    <t>Adolfo Ruiz Cortines</t>
  </si>
  <si>
    <t>UMFH 15 Juan José Ríos</t>
  </si>
  <si>
    <t>Juan José Ríos</t>
  </si>
  <si>
    <t>UMF 19 Cabezón</t>
  </si>
  <si>
    <t>El Cerro Cabezón</t>
  </si>
  <si>
    <t>UMF 20 Pericos</t>
  </si>
  <si>
    <t>Mocorito</t>
  </si>
  <si>
    <t>Pericos</t>
  </si>
  <si>
    <t>UMFH 23 La Reforma</t>
  </si>
  <si>
    <t>Angostura</t>
  </si>
  <si>
    <t>La Reforma</t>
  </si>
  <si>
    <t>UMF 25 Tamazula</t>
  </si>
  <si>
    <t>Tamazula</t>
  </si>
  <si>
    <t>UMF 26 La Entrada</t>
  </si>
  <si>
    <t>HGSMF 30 Guamuchil</t>
  </si>
  <si>
    <t>Salvador Alvarado</t>
  </si>
  <si>
    <t>Guamúchil</t>
  </si>
  <si>
    <t>HGZMF 32 Guasave</t>
  </si>
  <si>
    <t>UMF 41 Bamoa</t>
  </si>
  <si>
    <t>Bamoa</t>
  </si>
  <si>
    <t>UMF 51 La Angostura</t>
  </si>
  <si>
    <t>UMF 54 Mocorito</t>
  </si>
  <si>
    <t>Mazatlán</t>
  </si>
  <si>
    <t>HGZMF 3 Mazatlán</t>
  </si>
  <si>
    <t>UMF 21 La Cruz</t>
  </si>
  <si>
    <t>Escuinapa</t>
  </si>
  <si>
    <t>Escuinapa de Hidalgo</t>
  </si>
  <si>
    <t>UMF 27 San Ignacio</t>
  </si>
  <si>
    <t>San Ignacio</t>
  </si>
  <si>
    <t>UMFH 29 Escuinapa</t>
  </si>
  <si>
    <t>UMFH 31 El Rosario</t>
  </si>
  <si>
    <t>Rosario</t>
  </si>
  <si>
    <t>El Rosario</t>
  </si>
  <si>
    <t>UMF 34 E. Marmol</t>
  </si>
  <si>
    <t>Estación Marmol</t>
  </si>
  <si>
    <t>UMF 38 La Concordia</t>
  </si>
  <si>
    <t>Concordia</t>
  </si>
  <si>
    <t>UMF 45 Mazatlan</t>
  </si>
  <si>
    <t>UMF 50 Cosala</t>
  </si>
  <si>
    <t>Cosalá</t>
  </si>
  <si>
    <t>UMF 56 Prados</t>
  </si>
  <si>
    <t>Mirasol</t>
  </si>
  <si>
    <t>Hermosillo</t>
  </si>
  <si>
    <t>UMF 2 Hermosillo</t>
  </si>
  <si>
    <t>HGSMF 6 Valle Hermosillo</t>
  </si>
  <si>
    <t>UMF 25 Ures</t>
  </si>
  <si>
    <t>Ures</t>
  </si>
  <si>
    <t>Heroica Ciudad de Ures</t>
  </si>
  <si>
    <t>UMF 37 Hermosillo</t>
  </si>
  <si>
    <t>UMF 46 Sahuaripa</t>
  </si>
  <si>
    <t>Sahuaripa</t>
  </si>
  <si>
    <t>UMF 47 Aconchi</t>
  </si>
  <si>
    <t>Aconchi</t>
  </si>
  <si>
    <t>UMFH 51 C. Libertad</t>
  </si>
  <si>
    <t>Pitiquito</t>
  </si>
  <si>
    <t>Puerto Libertad</t>
  </si>
  <si>
    <t>UMF 63 Hermosillo</t>
  </si>
  <si>
    <t>UMF 65 Hermosillo</t>
  </si>
  <si>
    <t>UMF-UMAA 68 Hermosillo</t>
  </si>
  <si>
    <t>Guaymas</t>
  </si>
  <si>
    <t>UMF 4 Guaymas</t>
  </si>
  <si>
    <t>Heroica Guaymas</t>
  </si>
  <si>
    <t>UMF 13 Palma</t>
  </si>
  <si>
    <t>Bácum</t>
  </si>
  <si>
    <t>HGSMF 54 Empalme</t>
  </si>
  <si>
    <t>Empalme</t>
  </si>
  <si>
    <t>UMF 56 E. Ortíz</t>
  </si>
  <si>
    <t>Navojoa</t>
  </si>
  <si>
    <t>HGSMF 7 Huatabampo</t>
  </si>
  <si>
    <t>Huatabampo</t>
  </si>
  <si>
    <t>UMF 14 Bacobampo</t>
  </si>
  <si>
    <t>Etchojoa</t>
  </si>
  <si>
    <t>Bacobampo</t>
  </si>
  <si>
    <t>UMF 15 Etchojoa</t>
  </si>
  <si>
    <t>UMF 16 San Pedro</t>
  </si>
  <si>
    <t>UMF 20 Jupare</t>
  </si>
  <si>
    <t>Júpare</t>
  </si>
  <si>
    <t>UMF 26 Yavaros</t>
  </si>
  <si>
    <t>Yavaros (Isla Las Viejas)</t>
  </si>
  <si>
    <t>UMF 40 F. Sarabia</t>
  </si>
  <si>
    <t>Francisco Sarabia</t>
  </si>
  <si>
    <t>UMF 42 Alamos</t>
  </si>
  <si>
    <t>Alamos</t>
  </si>
  <si>
    <t>UMF 57 Navojoa</t>
  </si>
  <si>
    <t>UMF 59 Navojoa</t>
  </si>
  <si>
    <t>UMF 60 Navojoa</t>
  </si>
  <si>
    <t>UMF 61 Navojoa</t>
  </si>
  <si>
    <t>UMF 62 Navojoa</t>
  </si>
  <si>
    <t>Nogales</t>
  </si>
  <si>
    <t>HGZMF 5 Nogales</t>
  </si>
  <si>
    <t>Heroica Nogales</t>
  </si>
  <si>
    <t>UMFH 10 Benjamín Hill</t>
  </si>
  <si>
    <t>Benjamín Hill</t>
  </si>
  <si>
    <t>UMF 21 Magdalena</t>
  </si>
  <si>
    <t>Magdalena de Kino</t>
  </si>
  <si>
    <t>UMF 24 Santa Ana</t>
  </si>
  <si>
    <t>Santa Ana</t>
  </si>
  <si>
    <t>UMF 64 Nogales</t>
  </si>
  <si>
    <t>Caborca</t>
  </si>
  <si>
    <t>UMF 8 Caborca</t>
  </si>
  <si>
    <t>Heroica Caborca</t>
  </si>
  <si>
    <t>UMF 9 Puerto Peñasco</t>
  </si>
  <si>
    <t>Puerto Peñasco</t>
  </si>
  <si>
    <t>UMF 22 Pitiquito</t>
  </si>
  <si>
    <t>UMF 32 El Coyote</t>
  </si>
  <si>
    <t>UMF 38 Altar</t>
  </si>
  <si>
    <t>Altar</t>
  </si>
  <si>
    <t>UMF 52 Sonoita</t>
  </si>
  <si>
    <t>General Plutarco Elías Calles</t>
  </si>
  <si>
    <t>Sonoita</t>
  </si>
  <si>
    <t>Agua Prieta</t>
  </si>
  <si>
    <t>HGSMF 12 Aguaprieta</t>
  </si>
  <si>
    <t>UMF 19 Agua Prieta</t>
  </si>
  <si>
    <t>UMF 44 Naco</t>
  </si>
  <si>
    <t>Naco</t>
  </si>
  <si>
    <t>UMF 55 Cananea</t>
  </si>
  <si>
    <t>Cananea</t>
  </si>
  <si>
    <t>Heroica Ciudad de
Cananea</t>
  </si>
  <si>
    <t>Nacozari de GarcÍa</t>
  </si>
  <si>
    <t>HGSMF 23 Nacozari</t>
  </si>
  <si>
    <t>Nacozari de García</t>
  </si>
  <si>
    <t>UMF 48 Moctezuma</t>
  </si>
  <si>
    <t>UMF 49 Cumpas</t>
  </si>
  <si>
    <t>Cumpas</t>
  </si>
  <si>
    <t>UMF 50 Esqueda</t>
  </si>
  <si>
    <t>Fronteras</t>
  </si>
  <si>
    <t>Ciudad Obregón</t>
  </si>
  <si>
    <t>UMF 1 Obregón</t>
  </si>
  <si>
    <t>Cajeme</t>
  </si>
  <si>
    <t>UMFH 11 Vicam</t>
  </si>
  <si>
    <t>Vícam (Switch)</t>
  </si>
  <si>
    <t>UMF 17 Villa Juárez</t>
  </si>
  <si>
    <t>UMF 18 C. Militar</t>
  </si>
  <si>
    <t>UMF 27 Potam</t>
  </si>
  <si>
    <t>Pótam</t>
  </si>
  <si>
    <t>UMF 28 Bacum</t>
  </si>
  <si>
    <t>UMF 29 E. Fco. J. Mina</t>
  </si>
  <si>
    <t>Francisco Javier Mina
(Campo 60)</t>
  </si>
  <si>
    <t>UMF 30 José Bacum</t>
  </si>
  <si>
    <t>San José de Bácum</t>
  </si>
  <si>
    <t>UMF 31 1o. de Mayo</t>
  </si>
  <si>
    <t>Primero de Mayo (Campo
77)</t>
  </si>
  <si>
    <t>UMF 33 Cocorit</t>
  </si>
  <si>
    <t>Cócorit</t>
  </si>
  <si>
    <t>UMF 34 Cuauhtémoc</t>
  </si>
  <si>
    <t>Cuauhtémoc (Campo
Cinco)</t>
  </si>
  <si>
    <t>UMF 35 Pueblo Yaqui</t>
  </si>
  <si>
    <t>Pueblo Yaqui</t>
  </si>
  <si>
    <t>UMF 36 Quetchehueca</t>
  </si>
  <si>
    <t>Quetchehueca</t>
  </si>
  <si>
    <t>UMF 39 Atotonilco</t>
  </si>
  <si>
    <t>Atotonilco</t>
  </si>
  <si>
    <t>UMF 41 P. Colorado</t>
  </si>
  <si>
    <t>Paredón Colorado
(Paredón Viejo)</t>
  </si>
  <si>
    <t>UMF 43 Rosario</t>
  </si>
  <si>
    <t>UMF 45 Bahía Lobos</t>
  </si>
  <si>
    <t>San Ignacio Río Muerto</t>
  </si>
  <si>
    <t>Bahía de Lobos</t>
  </si>
  <si>
    <t>UMF 53 Marte R. Gómez</t>
  </si>
  <si>
    <t>Marte R. Gómez (Tobarito)</t>
  </si>
  <si>
    <t>UMF 66 Cd Obregón</t>
  </si>
  <si>
    <t>UMF 67 Obregón</t>
  </si>
  <si>
    <t>Villahermosa</t>
  </si>
  <si>
    <t>UMF 3 Tacotalpa</t>
  </si>
  <si>
    <t>Tacotalpa</t>
  </si>
  <si>
    <t>HGSMF 4 Tenosique</t>
  </si>
  <si>
    <t>Tenosique</t>
  </si>
  <si>
    <t>Tenosique De Pino Suárez</t>
  </si>
  <si>
    <t>UMF 15 Cd. Pemex</t>
  </si>
  <si>
    <t>Macuspana</t>
  </si>
  <si>
    <t>Pemex (Ciudad Pemex)</t>
  </si>
  <si>
    <t>UMF 18 Teapa</t>
  </si>
  <si>
    <t>Teapa</t>
  </si>
  <si>
    <t>UMF 20 Frontera</t>
  </si>
  <si>
    <t>Centla</t>
  </si>
  <si>
    <t>UMF 26 Jalpa Méndez</t>
  </si>
  <si>
    <t>Jalpa de Méndez</t>
  </si>
  <si>
    <t>Jalpa De Méndez</t>
  </si>
  <si>
    <t>UMF 27 Macuspana</t>
  </si>
  <si>
    <t>UMF 30 Jonuta</t>
  </si>
  <si>
    <t>Jonuta</t>
  </si>
  <si>
    <t>UMF 33 Emiliano Zapata</t>
  </si>
  <si>
    <t>UMF 36 Balancan</t>
  </si>
  <si>
    <t>Balancán</t>
  </si>
  <si>
    <t>UMF 38 Villahermosa</t>
  </si>
  <si>
    <t>Centro</t>
  </si>
  <si>
    <t>UMF 39 Villahermosa</t>
  </si>
  <si>
    <t>UMF 43 Villahermosa</t>
  </si>
  <si>
    <t>UMF 44 Villahermosa</t>
  </si>
  <si>
    <t>UMF 47 Villahermosa</t>
  </si>
  <si>
    <t>UMF 48 Pomoca</t>
  </si>
  <si>
    <t>Nacajuca</t>
  </si>
  <si>
    <t>Pomoca</t>
  </si>
  <si>
    <t>UMF 5 I. Sta.Rosalía</t>
  </si>
  <si>
    <t>Santa Rosalía (Miguel
Hidalgo 2da. Secc</t>
  </si>
  <si>
    <t>UMF 7 Plutarco Elías</t>
  </si>
  <si>
    <t>Arroyo Hondo Abejonal</t>
  </si>
  <si>
    <t>UMF 8 Emiliano Zapata</t>
  </si>
  <si>
    <t>Poblado C16 General
Emiliano Zapata</t>
  </si>
  <si>
    <t>UMF 9 Benito Juárez</t>
  </si>
  <si>
    <t>Benito Juárez (Campo
Magallanes)</t>
  </si>
  <si>
    <t>UMF 10 Vicente Guerrero</t>
  </si>
  <si>
    <t>Poblado C29 General
Vicente Guerrero</t>
  </si>
  <si>
    <t>UMF 11 Comalcalco</t>
  </si>
  <si>
    <t>Comalcalco</t>
  </si>
  <si>
    <t>UMF 12 Pedro Colorado</t>
  </si>
  <si>
    <t>Huimanguillo</t>
  </si>
  <si>
    <t>C26 (General Pedro C.
Colorado)</t>
  </si>
  <si>
    <t>UMF 13 Francisco Villa</t>
  </si>
  <si>
    <t>C32 (Licenciado Francisco
Trujillo Gur</t>
  </si>
  <si>
    <t>UMF 14 20 de Noviembre</t>
  </si>
  <si>
    <t>Poblado C33 20 De
Noviembre</t>
  </si>
  <si>
    <t>UMF 21 Paraíso</t>
  </si>
  <si>
    <t>Paraíso</t>
  </si>
  <si>
    <t>UMF 22 Cunduacan</t>
  </si>
  <si>
    <t>Cunduacán</t>
  </si>
  <si>
    <t>UMF 23 Huimanguillo</t>
  </si>
  <si>
    <t>UMF 25 Sánchez Magallanes</t>
  </si>
  <si>
    <t>Coronel Andrés Sánchez
Magallanes</t>
  </si>
  <si>
    <t>UMF 32 La Venta</t>
  </si>
  <si>
    <t>La Venta</t>
  </si>
  <si>
    <t>UMF 040 Estación Chontalpa</t>
  </si>
  <si>
    <t>Chontalpa (Estación
Chontalpa)</t>
  </si>
  <si>
    <t>UMF 41 Benito Juárez</t>
  </si>
  <si>
    <t>Poblado C21 Licenciado
Benito Juárez G</t>
  </si>
  <si>
    <t>UMF 45 Cárdenas</t>
  </si>
  <si>
    <t>Ciudad Victoria</t>
  </si>
  <si>
    <t>HGZMF 1 Ciudad Victoria</t>
  </si>
  <si>
    <t>Victoria</t>
  </si>
  <si>
    <t>UMF 28 Villa Llera</t>
  </si>
  <si>
    <t>Llera</t>
  </si>
  <si>
    <t>Llera De Canales</t>
  </si>
  <si>
    <t>UMF 31 Guemez</t>
  </si>
  <si>
    <t>Güémez</t>
  </si>
  <si>
    <t>UMF 67 Ciudad Victoria
c/Rehab</t>
  </si>
  <si>
    <t>UMF 68 Jiménez</t>
  </si>
  <si>
    <t>Santander Jiménez</t>
  </si>
  <si>
    <t>UMF 69 Abasolo</t>
  </si>
  <si>
    <t>UMF 70 Soto la Marina</t>
  </si>
  <si>
    <t>Soto la Marina</t>
  </si>
  <si>
    <t>Soto La Marina</t>
  </si>
  <si>
    <t>UMF 72 Hidalgo</t>
  </si>
  <si>
    <t>UMF 73 Villagran Hidalgo</t>
  </si>
  <si>
    <t>Reynosa</t>
  </si>
  <si>
    <t>UMF 7 Reynosa</t>
  </si>
  <si>
    <t>UMF 17 Río Bravo</t>
  </si>
  <si>
    <t>Río Bravo</t>
  </si>
  <si>
    <t>Ciudad Río Bravo</t>
  </si>
  <si>
    <t>UMF 19 C. Miguel Aleman</t>
  </si>
  <si>
    <t>Miguel Alemán</t>
  </si>
  <si>
    <t>Ciudad Miguel Alemán</t>
  </si>
  <si>
    <t>UMF 20 Ciudad Camargo</t>
  </si>
  <si>
    <t>Ciudad Camargo</t>
  </si>
  <si>
    <t>UMF 21 Nueva Cd. Guerrero</t>
  </si>
  <si>
    <t>Nueva Ciudad Guerrero</t>
  </si>
  <si>
    <t>UMF 22 Ciudad Mier</t>
  </si>
  <si>
    <t>Mier</t>
  </si>
  <si>
    <t>UMF 23 Ciudad Gustavo Díaz
Ordaz</t>
  </si>
  <si>
    <t>Ciudad Gustavo Díaz Ordaz</t>
  </si>
  <si>
    <t>UMF 33 Ciudad Reynosa</t>
  </si>
  <si>
    <t>UMF 40 Jarachina</t>
  </si>
  <si>
    <t>UMF 41 Balcones de Alcalá
(Antes UMF 7 Reynosa)</t>
  </si>
  <si>
    <t>Tampico</t>
  </si>
  <si>
    <t>HGSMF 7 Panuco</t>
  </si>
  <si>
    <t>Veracruz de Ignacio
de la Llave</t>
  </si>
  <si>
    <t>Pánuco</t>
  </si>
  <si>
    <t>UMF 8 E. Cuauhtémoc</t>
  </si>
  <si>
    <t>Altamira</t>
  </si>
  <si>
    <t>UMF 9 El Hígo</t>
  </si>
  <si>
    <t>El Higo</t>
  </si>
  <si>
    <t>UMF 10 Altamira</t>
  </si>
  <si>
    <t>UMF 16 Altamira</t>
  </si>
  <si>
    <t>UMF 37 Ciudad Cuauhtémoc</t>
  </si>
  <si>
    <t>Pueblo Viejo</t>
  </si>
  <si>
    <t>Cd. Cuauhtémoc</t>
  </si>
  <si>
    <t>UMF 38 Tampico</t>
  </si>
  <si>
    <t>UMF 74 Tampico Alto</t>
  </si>
  <si>
    <t>Tampico Alto</t>
  </si>
  <si>
    <t>UMF 75 Pueblo Viejo</t>
  </si>
  <si>
    <t>UMF 77 Ciudad Madero</t>
  </si>
  <si>
    <t>Ciudad Madero</t>
  </si>
  <si>
    <t>Ciudad Mante</t>
  </si>
  <si>
    <t>UMF 2 Ciudad Limón</t>
  </si>
  <si>
    <t>El Mante</t>
  </si>
  <si>
    <t>UMF 4 I. Guayalejo</t>
  </si>
  <si>
    <t>Xicoténcatl</t>
  </si>
  <si>
    <t>UMF 5 Xicotencatl</t>
  </si>
  <si>
    <t>UMF 14 Nva. Apoloria</t>
  </si>
  <si>
    <t>Nueva Apolonia</t>
  </si>
  <si>
    <t>UMF 24 Mante</t>
  </si>
  <si>
    <t>UMF 25 E. González</t>
  </si>
  <si>
    <t>González</t>
  </si>
  <si>
    <t>UMF 26 Loma Alta</t>
  </si>
  <si>
    <t>Loma Alta (Loma Alta De
Gómez Farías)</t>
  </si>
  <si>
    <t>UMF 27 Ocampo</t>
  </si>
  <si>
    <t>UMF 29 E. Manuel</t>
  </si>
  <si>
    <t>UMF 30 Villa Aldama</t>
  </si>
  <si>
    <t>UMF 34 Antiguo Morelos</t>
  </si>
  <si>
    <t>Antiguo Morelos</t>
  </si>
  <si>
    <t>UMF 35 Nuevo Morelos</t>
  </si>
  <si>
    <t>Nuevo Morelos</t>
  </si>
  <si>
    <t>Nuevo Laredo</t>
  </si>
  <si>
    <t>UMF-UMAA 76 Nuevo Laredo</t>
  </si>
  <si>
    <t>UMF 78 Nuevo Laredo</t>
  </si>
  <si>
    <t>UMF 12 E. Ramírez</t>
  </si>
  <si>
    <t>Ramírez</t>
  </si>
  <si>
    <t>UMF 18 Valle Hermoso</t>
  </si>
  <si>
    <t>Valle Hermoso</t>
  </si>
  <si>
    <t>UMF 36 Matamoros</t>
  </si>
  <si>
    <t>Heroica Matamoros</t>
  </si>
  <si>
    <t>UMF-UMAA 39 con UMAA y
Rehab</t>
  </si>
  <si>
    <t>UMF 66 San Fernando</t>
  </si>
  <si>
    <t>San Fernando</t>
  </si>
  <si>
    <t>UMF 79 Matamoros</t>
  </si>
  <si>
    <t>HGZMF 2 Apizaco</t>
  </si>
  <si>
    <t>Apizaco</t>
  </si>
  <si>
    <t>Ciudad De Apizaco</t>
  </si>
  <si>
    <t>UMF 5 Santo Toribio</t>
  </si>
  <si>
    <t>Xicohtzinco</t>
  </si>
  <si>
    <t>UMF 6 Panzacola</t>
  </si>
  <si>
    <t>Papalotla de Xicohténcatl</t>
  </si>
  <si>
    <t>Panzacola</t>
  </si>
  <si>
    <t>UMF 7 Santa Inés</t>
  </si>
  <si>
    <t>Zacatelco</t>
  </si>
  <si>
    <t>HGSMF 8 Tlaxcala</t>
  </si>
  <si>
    <t>Tlaxcala De Xicohténcatl</t>
  </si>
  <si>
    <t>UMF 9 Santa Ana</t>
  </si>
  <si>
    <t>Chiautempan</t>
  </si>
  <si>
    <t>Santa Ana Chiautempan</t>
  </si>
  <si>
    <t>UMF 10 San Pablo</t>
  </si>
  <si>
    <t>Apetatitlán de Antonio
Carvajal</t>
  </si>
  <si>
    <t>Apetatitlán</t>
  </si>
  <si>
    <t>UMF 17 S. Bernabé</t>
  </si>
  <si>
    <t>Amaxac de Guerrero</t>
  </si>
  <si>
    <t>Amaxac De Guerrero</t>
  </si>
  <si>
    <t>UMF 18 Santa Cruz</t>
  </si>
  <si>
    <t>Santa Cruz Tlaxcala</t>
  </si>
  <si>
    <t>UMF 19 Apizaco</t>
  </si>
  <si>
    <t>UMF 20 Huamantla</t>
  </si>
  <si>
    <t>Huamantla</t>
  </si>
  <si>
    <t>UMF 22 San Pablo Monte</t>
  </si>
  <si>
    <t>San Pablo del Monte</t>
  </si>
  <si>
    <t>Villa Vicente Guerrero</t>
  </si>
  <si>
    <t>UMF 35 Nanacamilpa</t>
  </si>
  <si>
    <t>Nanacamilpa de Mariano
Arista</t>
  </si>
  <si>
    <t>Ciudad De Nanacamilpa</t>
  </si>
  <si>
    <t>UMF 37 Calpulalpan</t>
  </si>
  <si>
    <t>Calpulalpan</t>
  </si>
  <si>
    <t>UMF 48 Tlaxco</t>
  </si>
  <si>
    <t>Tlaxco</t>
  </si>
  <si>
    <t>UMF 51 Teolocholco</t>
  </si>
  <si>
    <t>Teolocholco</t>
  </si>
  <si>
    <t>Xalapa</t>
  </si>
  <si>
    <t>UMF 10 Jalapa</t>
  </si>
  <si>
    <t>Xalapa-Enríquez</t>
  </si>
  <si>
    <t>UMF 12 La Concepción</t>
  </si>
  <si>
    <t>La Concepción</t>
  </si>
  <si>
    <t>UMF 17 Coatepec</t>
  </si>
  <si>
    <t>Coatepec</t>
  </si>
  <si>
    <t>UMF 18 Tuzamapan</t>
  </si>
  <si>
    <t>Tuzamapan</t>
  </si>
  <si>
    <t>UMF 19 Banderilla</t>
  </si>
  <si>
    <t>Banderilla</t>
  </si>
  <si>
    <t>UMF 21 Zempoala</t>
  </si>
  <si>
    <t>Ursulo Galván</t>
  </si>
  <si>
    <t>Zempoala</t>
  </si>
  <si>
    <t>UMF 22 Palmas</t>
  </si>
  <si>
    <t>Alto Lucero de Gutiérrez
Barrios</t>
  </si>
  <si>
    <t>Las Palmas</t>
  </si>
  <si>
    <t>UMF 30 Perote</t>
  </si>
  <si>
    <t>Perote</t>
  </si>
  <si>
    <t>HGZMF 36 José Cardel</t>
  </si>
  <si>
    <t>La Antigua</t>
  </si>
  <si>
    <t>José Cardel</t>
  </si>
  <si>
    <t>UMF 37 Rinconada</t>
  </si>
  <si>
    <t>Rinconada</t>
  </si>
  <si>
    <t>UMF 38 I. Gloria</t>
  </si>
  <si>
    <t>La Gloria</t>
  </si>
  <si>
    <t>UMF 54 Mahuixtlán</t>
  </si>
  <si>
    <t>Mahuixtlán</t>
  </si>
  <si>
    <t>UMF 56 Actopan</t>
  </si>
  <si>
    <t>UMF 58 Jalapa</t>
  </si>
  <si>
    <t>UMF 63 El Farallón</t>
  </si>
  <si>
    <t>El Farallón</t>
  </si>
  <si>
    <t>UMF 66 Jalapa</t>
  </si>
  <si>
    <t>UMF 67 Jalapa</t>
  </si>
  <si>
    <t>Poza Rica</t>
  </si>
  <si>
    <t>HGZ 24 Poza Rica</t>
  </si>
  <si>
    <t>Poza Rica de Hidalgo</t>
  </si>
  <si>
    <t>Poza Rica De Hidalgo</t>
  </si>
  <si>
    <t>HGSMF 26 Tuxpan</t>
  </si>
  <si>
    <t>Túxpam De Rodríguez
Cano</t>
  </si>
  <si>
    <t>UMF 27 Papantla</t>
  </si>
  <si>
    <t>Papantla</t>
  </si>
  <si>
    <t>Papantla De Olarte</t>
  </si>
  <si>
    <t>UMF 47 Alamo</t>
  </si>
  <si>
    <t>Álamo Temapache</t>
  </si>
  <si>
    <t>Álamo</t>
  </si>
  <si>
    <t>UMF 48 Tamiahua</t>
  </si>
  <si>
    <t>Tamiahua</t>
  </si>
  <si>
    <t>UMF 49 Cerro Azul</t>
  </si>
  <si>
    <t>Cerro Azul</t>
  </si>
  <si>
    <t>UMF 52 Naranjos</t>
  </si>
  <si>
    <t>Naranjos Amatlán</t>
  </si>
  <si>
    <t>Naranjos</t>
  </si>
  <si>
    <t>UMF 53 Saladero</t>
  </si>
  <si>
    <t>Tamalín</t>
  </si>
  <si>
    <t>Saladero</t>
  </si>
  <si>
    <t>UMF 59 Tantoyuca</t>
  </si>
  <si>
    <t>Tantoyuca</t>
  </si>
  <si>
    <t>UMF 60 Platón Sánchez</t>
  </si>
  <si>
    <t>Platón Sánchez</t>
  </si>
  <si>
    <t>UMF 072 Poza Rica</t>
  </si>
  <si>
    <t>UMF 73 Poza Rica</t>
  </si>
  <si>
    <t>UMF 74 Coatzintla</t>
  </si>
  <si>
    <t>Coatzintla</t>
  </si>
  <si>
    <t>MartÍnez de la Torre</t>
  </si>
  <si>
    <t>UMF 23 S. Rafael</t>
  </si>
  <si>
    <t>HGZMF 28 Martínez de la Torre</t>
  </si>
  <si>
    <t>Martínez de la Torre</t>
  </si>
  <si>
    <t>Martínez De La Torre</t>
  </si>
  <si>
    <t>UMF 43 Altotonga</t>
  </si>
  <si>
    <t>Altotonga</t>
  </si>
  <si>
    <t>UMF 44 Tlapacoyan</t>
  </si>
  <si>
    <t>Tlapacoyan</t>
  </si>
  <si>
    <t>UMF 45 Misantla</t>
  </si>
  <si>
    <t>Misantla</t>
  </si>
  <si>
    <t>UMF 46 Gutiérrez</t>
  </si>
  <si>
    <t>Acula</t>
  </si>
  <si>
    <t>Jalacingo</t>
  </si>
  <si>
    <t>UMF-UMAA 15 Tejería</t>
  </si>
  <si>
    <t>UMF 25 Cotaxtla</t>
  </si>
  <si>
    <t>Cotaxtla</t>
  </si>
  <si>
    <t>UMF 31 Los Robles</t>
  </si>
  <si>
    <t>Medellín de Bravo</t>
  </si>
  <si>
    <t>Los Robles</t>
  </si>
  <si>
    <t>UMF 39 Paso Ovejas</t>
  </si>
  <si>
    <t>Paso de Ovejas</t>
  </si>
  <si>
    <t>Paso De Ovejas</t>
  </si>
  <si>
    <t>UMF 40 Manlio Fabio
Altamirano</t>
  </si>
  <si>
    <t>Cosamaloapan de Carpio</t>
  </si>
  <si>
    <t>Nopaltepec</t>
  </si>
  <si>
    <t>UMF 57 Veracruz</t>
  </si>
  <si>
    <t>UMF 61 Veracruz</t>
  </si>
  <si>
    <t>UMF 68 Veracruz</t>
  </si>
  <si>
    <t>Lerdo de Tejada</t>
  </si>
  <si>
    <t>UMF 20 Saltabarranca</t>
  </si>
  <si>
    <t>Saltabarranca</t>
  </si>
  <si>
    <t>UMF 32 Alvarado</t>
  </si>
  <si>
    <t>Alvarado</t>
  </si>
  <si>
    <t>HGSMF 33 S. Andrés Tuxtla</t>
  </si>
  <si>
    <t>San Andrés Tuxtla</t>
  </si>
  <si>
    <t>UMF 34 Catemaco</t>
  </si>
  <si>
    <t>Catemaco</t>
  </si>
  <si>
    <t>UMF 35 Santiago Tuxtla</t>
  </si>
  <si>
    <t>Santiago Tuxtla</t>
  </si>
  <si>
    <t>HGZMF 50 Lerdo Tejada</t>
  </si>
  <si>
    <t>Lerdo De Tejada</t>
  </si>
  <si>
    <t>UMF 51 Ángel R. Cabada</t>
  </si>
  <si>
    <t>Angel R. Cabada</t>
  </si>
  <si>
    <t>UMF 70 Tres Zapotes</t>
  </si>
  <si>
    <t>Tres Zapotes</t>
  </si>
  <si>
    <t>Córdoba</t>
  </si>
  <si>
    <t>UMF 9 Yanga</t>
  </si>
  <si>
    <t>Yanga</t>
  </si>
  <si>
    <t>UMF 10 Cuitlahuac</t>
  </si>
  <si>
    <t>Cuitláhuac</t>
  </si>
  <si>
    <t>UMF 11 Paraje Nuevo</t>
  </si>
  <si>
    <t>Amatlán de los Reyes</t>
  </si>
  <si>
    <t>Paraje Nuevo</t>
  </si>
  <si>
    <t>HGSMF 12 Potrero</t>
  </si>
  <si>
    <t>General Miguel Alemán
(Potrero Nuevo)</t>
  </si>
  <si>
    <t>UMF 13 Paso del Macho</t>
  </si>
  <si>
    <t>Paso del Macho</t>
  </si>
  <si>
    <t>Paso Del Macho</t>
  </si>
  <si>
    <t>UMF 14 Amatlán</t>
  </si>
  <si>
    <t>Amatlán De Los Reyes</t>
  </si>
  <si>
    <t>UMF 15 Cuichapa</t>
  </si>
  <si>
    <t>Cuichapa</t>
  </si>
  <si>
    <t>HGSMF 16 Omealca</t>
  </si>
  <si>
    <t>Omealca</t>
  </si>
  <si>
    <t>UMF 17 Laguna Chica</t>
  </si>
  <si>
    <t>Tezonapa</t>
  </si>
  <si>
    <t>Laguna Chica (Pueblo
Nuevo)</t>
  </si>
  <si>
    <t>UMF 18 Motzorongo</t>
  </si>
  <si>
    <t>Motzorongo</t>
  </si>
  <si>
    <t>HGSMF 19 Cosolapa</t>
  </si>
  <si>
    <t>Cosolapa</t>
  </si>
  <si>
    <t>UMF 20 Acatlán</t>
  </si>
  <si>
    <t>Acatlán de Pérez Figueroa</t>
  </si>
  <si>
    <t>Acatlán De Pérez Figueroa</t>
  </si>
  <si>
    <t>UMF 21 Vicente Oax</t>
  </si>
  <si>
    <t>Vicente Camalote</t>
  </si>
  <si>
    <t>UMF 23 S. José Tapia</t>
  </si>
  <si>
    <t>San José De Tapia</t>
  </si>
  <si>
    <t>UMF 24 S. Miguel</t>
  </si>
  <si>
    <t>UMF 25 S. José Abajo</t>
  </si>
  <si>
    <t>San José De Abajo</t>
  </si>
  <si>
    <t>UMF 26 I. Providencia</t>
  </si>
  <si>
    <t>Providencia</t>
  </si>
  <si>
    <t>UMF 27 Estación El Refugio</t>
  </si>
  <si>
    <t>Estación Refugio</t>
  </si>
  <si>
    <t>UMF 30 Piedras Negras</t>
  </si>
  <si>
    <t>Tlalixcoyan</t>
  </si>
  <si>
    <t>UMF 31 Temazcal</t>
  </si>
  <si>
    <t>San Miguel Soyaltepec</t>
  </si>
  <si>
    <t>Temascal</t>
  </si>
  <si>
    <t>UMF 58 Huatusco</t>
  </si>
  <si>
    <t>Huatusco</t>
  </si>
  <si>
    <t>Huatusco De Chicuellar</t>
  </si>
  <si>
    <t>UMF 61 Córdoba</t>
  </si>
  <si>
    <t>UMF 63 Tierra Blanca</t>
  </si>
  <si>
    <t>Tierra Blanca</t>
  </si>
  <si>
    <t>UMF 64 Córdoba</t>
  </si>
  <si>
    <t>Orizaba</t>
  </si>
  <si>
    <t>UMF 1 Orizaba</t>
  </si>
  <si>
    <t>UMF 2 Río Blanco</t>
  </si>
  <si>
    <t>Río Blanco</t>
  </si>
  <si>
    <t>UMF 3 Nogales</t>
  </si>
  <si>
    <t>UMF 4 Cd. Mendoza</t>
  </si>
  <si>
    <t>Camerino Z. Mendoza</t>
  </si>
  <si>
    <t>Ciudad Mendoza</t>
  </si>
  <si>
    <t>UMF 5 Ixtaczoquitlán</t>
  </si>
  <si>
    <t>Ixtaczoquitlán</t>
  </si>
  <si>
    <t>UMF 6 Ixhuatlancillo</t>
  </si>
  <si>
    <t>Ixhuatlancillo</t>
  </si>
  <si>
    <t>UMF 7 Orizaba</t>
  </si>
  <si>
    <t>UMF 22 Cuatlapan</t>
  </si>
  <si>
    <t>Cuautlapan</t>
  </si>
  <si>
    <t>Cosamaloapan</t>
  </si>
  <si>
    <t>UMF 29 Los Naranjos</t>
  </si>
  <si>
    <t>Tres Valles</t>
  </si>
  <si>
    <t>HGZMF 35 Cosamaloapan</t>
  </si>
  <si>
    <t>UMF 39 Chacaltianguis</t>
  </si>
  <si>
    <t>Ex-Carolina (Paso
Chacaltianguis)</t>
  </si>
  <si>
    <t>UMF 40 Nopaltepec</t>
  </si>
  <si>
    <t>UMF 41 Otatitlán</t>
  </si>
  <si>
    <t>Otatitlán</t>
  </si>
  <si>
    <t>UMF 42 Paraiso Nuevo</t>
  </si>
  <si>
    <t>Paraíso Novillero</t>
  </si>
  <si>
    <t>UMF 43 Tres Valles</t>
  </si>
  <si>
    <t>UMF 44 Tuxtilla</t>
  </si>
  <si>
    <t>Tuxtilla</t>
  </si>
  <si>
    <t>UMF 45 Tlacojalpan</t>
  </si>
  <si>
    <t>Tlacojalpan</t>
  </si>
  <si>
    <t>UMF 46 Acula</t>
  </si>
  <si>
    <t>UMF 47 Amatitlan</t>
  </si>
  <si>
    <t>Amatitlán</t>
  </si>
  <si>
    <t>UMF 48 Carlos Carrillo</t>
  </si>
  <si>
    <t>Carlos A. Carrillo</t>
  </si>
  <si>
    <t>UMF 49 Gabino Barreda</t>
  </si>
  <si>
    <t>Gabino Barreda</t>
  </si>
  <si>
    <t>UMF 54 Ixmatlahuaca</t>
  </si>
  <si>
    <t>Ixmatlahuacan</t>
  </si>
  <si>
    <t>UMF 56 V. Islas</t>
  </si>
  <si>
    <t>Isla</t>
  </si>
  <si>
    <t>Coatzacoalcos</t>
  </si>
  <si>
    <t>HGZMF 32 Minatitlán</t>
  </si>
  <si>
    <t>UMF 34 Juan Díaz</t>
  </si>
  <si>
    <t>Hueyapan de Ocampo</t>
  </si>
  <si>
    <t>Juan Díaz Covarrubias</t>
  </si>
  <si>
    <t>HGZ 36 Coatzacoalos</t>
  </si>
  <si>
    <t>UMF 37 Coatzacoalcos</t>
  </si>
  <si>
    <t>UMF 50 Cuatotolapan</t>
  </si>
  <si>
    <t>Cuatotolapan Estación</t>
  </si>
  <si>
    <t>UMF 51 Acayucan</t>
  </si>
  <si>
    <t>Acayucan</t>
  </si>
  <si>
    <t>UMF 52 Cosoleacaque</t>
  </si>
  <si>
    <t>UMF 53 Aguadulce</t>
  </si>
  <si>
    <t>Agua Dulce</t>
  </si>
  <si>
    <t>UMF 55 Texistepec</t>
  </si>
  <si>
    <t>Texistepec</t>
  </si>
  <si>
    <t>UMF 57 Jaltipan</t>
  </si>
  <si>
    <t>Jáltipan</t>
  </si>
  <si>
    <t>Jáltipan De Morelos</t>
  </si>
  <si>
    <t>UMF 59 Choapas</t>
  </si>
  <si>
    <t>Las Choapas</t>
  </si>
  <si>
    <t>UMF 60 Coatzacoalcos</t>
  </si>
  <si>
    <t>UMF 62 Medias Aguas</t>
  </si>
  <si>
    <t>Sayula de Alemán</t>
  </si>
  <si>
    <t>Medias Aguas</t>
  </si>
  <si>
    <t>UMF 65 Congregación</t>
  </si>
  <si>
    <t>UMF 66 Nanchital</t>
  </si>
  <si>
    <t>Cosoleacaque</t>
  </si>
  <si>
    <t>El Nanchital</t>
  </si>
  <si>
    <t>UMF 67 Revolución</t>
  </si>
  <si>
    <t>UMF 69 Coatzacoalcos
Poniente</t>
  </si>
  <si>
    <t>Puerto Esmeralda</t>
  </si>
  <si>
    <t>Mérida Norte</t>
  </si>
  <si>
    <t>UMF 13 Chuburna</t>
  </si>
  <si>
    <t>Mérida</t>
  </si>
  <si>
    <t>UMF 16 Komchen</t>
  </si>
  <si>
    <t>Komchén</t>
  </si>
  <si>
    <t>UMF 20 Caucel</t>
  </si>
  <si>
    <t>Caucel</t>
  </si>
  <si>
    <t>UMF 52 Mérida</t>
  </si>
  <si>
    <t>UMF 56 Mérida</t>
  </si>
  <si>
    <t>UMF 57 La Ceiba</t>
  </si>
  <si>
    <t>UMF 59 Mérida</t>
  </si>
  <si>
    <t>UMF 60 Poniente</t>
  </si>
  <si>
    <t>UMF 061 Los Héroes de la
Salud</t>
  </si>
  <si>
    <t>Mérida Sur</t>
  </si>
  <si>
    <t>UMFH 2 Progreso</t>
  </si>
  <si>
    <t>HGSMF 3 Motul</t>
  </si>
  <si>
    <t>Motul</t>
  </si>
  <si>
    <t>Motul De Carrillo Puerto</t>
  </si>
  <si>
    <t>UMFH 4 Valladolid</t>
  </si>
  <si>
    <t>Valladolid</t>
  </si>
  <si>
    <t>HGSMF 5 Tizimin</t>
  </si>
  <si>
    <t>Tizimín</t>
  </si>
  <si>
    <t>UMF 6 Col. Yucatán</t>
  </si>
  <si>
    <t>UMF 7 Coloradas</t>
  </si>
  <si>
    <t>Río Lagartos</t>
  </si>
  <si>
    <t>Las Coloradas</t>
  </si>
  <si>
    <t>UMF 8 Tzucacab</t>
  </si>
  <si>
    <t>Tzucacab</t>
  </si>
  <si>
    <t>UMF 14 Kanasin</t>
  </si>
  <si>
    <t>Kanasín</t>
  </si>
  <si>
    <t>UMF 17 Maxcanu</t>
  </si>
  <si>
    <t>Maxcanú</t>
  </si>
  <si>
    <t>UMF 18 Halachó</t>
  </si>
  <si>
    <t>Halachó</t>
  </si>
  <si>
    <t>UMFH 19 Hunucma</t>
  </si>
  <si>
    <t>Hunucmá</t>
  </si>
  <si>
    <t>UMF 21 Samahil</t>
  </si>
  <si>
    <t>Samahil</t>
  </si>
  <si>
    <t>UMF 22 Kinchil</t>
  </si>
  <si>
    <t>Kinchil</t>
  </si>
  <si>
    <t>UMF 31 Izamal</t>
  </si>
  <si>
    <t>Izamal</t>
  </si>
  <si>
    <t>UMF 41 Acanceh</t>
  </si>
  <si>
    <t>Acanceh</t>
  </si>
  <si>
    <t>HGSMF 46 Uman</t>
  </si>
  <si>
    <t>Umán</t>
  </si>
  <si>
    <t>UMF 49 Tixkokob</t>
  </si>
  <si>
    <t>Tixkokob</t>
  </si>
  <si>
    <t>UMFH 50 Conkal</t>
  </si>
  <si>
    <t>Conkal</t>
  </si>
  <si>
    <t>UMF 54 Ticul</t>
  </si>
  <si>
    <t>Ticul</t>
  </si>
  <si>
    <t>UMF 55 Tekax</t>
  </si>
  <si>
    <t>Tekax</t>
  </si>
  <si>
    <t>Tekax De Álvaro Obregón</t>
  </si>
  <si>
    <t>UMF 58 Mérida</t>
  </si>
  <si>
    <t>Ciudad de Zacatecas</t>
  </si>
  <si>
    <t>UMF 1 Zacatecas</t>
  </si>
  <si>
    <t>UMF 3 Guadalupe</t>
  </si>
  <si>
    <t>UMF 4 Guadalupe</t>
  </si>
  <si>
    <t>UMF 5 Jerez</t>
  </si>
  <si>
    <t>Jerez</t>
  </si>
  <si>
    <t>Jerez De García Salinas</t>
  </si>
  <si>
    <t>UMF 9 Concepción</t>
  </si>
  <si>
    <t>Concepción del Oro</t>
  </si>
  <si>
    <t>Concepción Del Oro</t>
  </si>
  <si>
    <t>UMF 10 Jalpa</t>
  </si>
  <si>
    <t>Jalpa</t>
  </si>
  <si>
    <t>UMF 11 Nochistan</t>
  </si>
  <si>
    <t>Nochistlán de Mejía</t>
  </si>
  <si>
    <t>Nochistlán De Mejía</t>
  </si>
  <si>
    <t>UMF 13 Noche Buena</t>
  </si>
  <si>
    <t>Melchor Ocampo</t>
  </si>
  <si>
    <t>Mineral De Noche Buena</t>
  </si>
  <si>
    <t>UMF 14 Salaverna</t>
  </si>
  <si>
    <t>Mazapil</t>
  </si>
  <si>
    <t>Salaverna</t>
  </si>
  <si>
    <t>UMF 15 Terminal</t>
  </si>
  <si>
    <t>Terminal De Providencia
(Terminal)</t>
  </si>
  <si>
    <t>Chalchihuites</t>
  </si>
  <si>
    <t>La Colorada</t>
  </si>
  <si>
    <t>UMF 18 S. Martín</t>
  </si>
  <si>
    <t>Sombrerete</t>
  </si>
  <si>
    <t>San Martín</t>
  </si>
  <si>
    <t>UMF 22 Florencia</t>
  </si>
  <si>
    <t>Florencia</t>
  </si>
  <si>
    <t>UMR General Pánfilo Natera</t>
  </si>
  <si>
    <t>General Pánfilo Natera</t>
  </si>
  <si>
    <t>UMF 25 Huanusco</t>
  </si>
  <si>
    <t>Huanusco</t>
  </si>
  <si>
    <t>UMF 27 Juchipila</t>
  </si>
  <si>
    <t>Juchipila</t>
  </si>
  <si>
    <t>UMF 28 Loreto</t>
  </si>
  <si>
    <t>UMF 29 Luis Moya</t>
  </si>
  <si>
    <t>Luis Moya</t>
  </si>
  <si>
    <t>UMF 31 Momax</t>
  </si>
  <si>
    <t>Momax</t>
  </si>
  <si>
    <t>UMF 33 Morelos</t>
  </si>
  <si>
    <t>UMF 35 Noria Ángeles</t>
  </si>
  <si>
    <t>Noria de Ángeles</t>
  </si>
  <si>
    <t>Noria De Ángeles</t>
  </si>
  <si>
    <t>UMF 36 Ojocaliente</t>
  </si>
  <si>
    <t>Ojocaliente</t>
  </si>
  <si>
    <t>UMF 39 Tabasco</t>
  </si>
  <si>
    <t>UMF 42 Teul González</t>
  </si>
  <si>
    <t>Teúl de González Ortega</t>
  </si>
  <si>
    <t>Teúl De González Ortega</t>
  </si>
  <si>
    <t>UMF 43 Tlaltenango</t>
  </si>
  <si>
    <t>Tlaltenango de Sánchez
Román</t>
  </si>
  <si>
    <t>Tlaltenango De Sánchez
Román</t>
  </si>
  <si>
    <t>UMF 57 Colinas del Padre</t>
  </si>
  <si>
    <t>UMF 58 Villafontana</t>
  </si>
  <si>
    <t>Fresnillo</t>
  </si>
  <si>
    <t>UMF 6 Río grande</t>
  </si>
  <si>
    <t>Río Grande</t>
  </si>
  <si>
    <t>UMF 7 Sombrerete</t>
  </si>
  <si>
    <t>UMF 16 Chalchihuetes</t>
  </si>
  <si>
    <t>UMF 21 Víctor Rosales</t>
  </si>
  <si>
    <t>Calera</t>
  </si>
  <si>
    <t>Víctor Rosales</t>
  </si>
  <si>
    <t>UMR General enrique Estrada</t>
  </si>
  <si>
    <t>General Enrique Estrada</t>
  </si>
  <si>
    <t>UMF 26 Juan Aldama</t>
  </si>
  <si>
    <t>UMF 44 Valparaiso</t>
  </si>
  <si>
    <t>Valparaíso</t>
  </si>
  <si>
    <t>UMF 49 Sain Alto</t>
  </si>
  <si>
    <t>Sain Alto</t>
  </si>
  <si>
    <t>UMF 52 Cañitas de F. Pescador</t>
  </si>
  <si>
    <t>Cañitas de Felipe Pescador</t>
  </si>
  <si>
    <t>UMF 55 Fresnillo</t>
  </si>
  <si>
    <t>Ciudad de México Sur</t>
  </si>
  <si>
    <t>1 Magdalena de las
Salinas</t>
  </si>
  <si>
    <t>UMF 015 Lindavista</t>
  </si>
  <si>
    <t>Gustavo A. Madero</t>
  </si>
  <si>
    <t>Ciudad de México Norte</t>
  </si>
  <si>
    <t>UMF 20 Vallejo</t>
  </si>
  <si>
    <t>UMF 40 Azcapotzalco</t>
  </si>
  <si>
    <t>Azcapotzalco</t>
  </si>
  <si>
    <t>UMF 41 Fortuna</t>
  </si>
  <si>
    <t>UMF 44 La Escalera</t>
  </si>
  <si>
    <t>UMF 49 El Arbolillo</t>
  </si>
  <si>
    <t>3 Polanco</t>
  </si>
  <si>
    <t>UMF 5 C. Anahuac</t>
  </si>
  <si>
    <t>Miguel Hidalgo</t>
  </si>
  <si>
    <t>UMF 17 Legaria</t>
  </si>
  <si>
    <t>2 Santa MarÍa la Ribera</t>
  </si>
  <si>
    <t>UMF 2 Sta. María</t>
  </si>
  <si>
    <t>UMF 13 Azcapotzalco</t>
  </si>
  <si>
    <t>UMF 33 Rosario</t>
  </si>
  <si>
    <t>4 Guerrero</t>
  </si>
  <si>
    <t>UMF 11 Peralvillo</t>
  </si>
  <si>
    <t>UMF 16 Col. Guerrero</t>
  </si>
  <si>
    <t>UMF 23 Unidad Morelos</t>
  </si>
  <si>
    <t>HGZMF 29 S. Juan Aragón</t>
  </si>
  <si>
    <t>UMF 36 C. Atzacoalco</t>
  </si>
  <si>
    <t>UMF 94 San Juan Aragón</t>
  </si>
  <si>
    <t>5 Centro</t>
  </si>
  <si>
    <t>UMF 6 Merced</t>
  </si>
  <si>
    <t>UMF 14 Aeropuerto</t>
  </si>
  <si>
    <t>UMF 34 C. Pantitlán</t>
  </si>
  <si>
    <t>Iztacalco</t>
  </si>
  <si>
    <t>UMF 35 C. 7 Zaragoza</t>
  </si>
  <si>
    <t>UMF 37 CFE. Alameda</t>
  </si>
  <si>
    <t>UMF 120 Zaragoza</t>
  </si>
  <si>
    <t>Iztapalapa</t>
  </si>
  <si>
    <t>8 San Ángel</t>
  </si>
  <si>
    <t>HGZMF 8 San Ángel</t>
  </si>
  <si>
    <t>Álvaro Obregón</t>
  </si>
  <si>
    <t>UMF 18 Contreras</t>
  </si>
  <si>
    <t>La Magdalena Contreras</t>
  </si>
  <si>
    <t>UMF 22 Independecia</t>
  </si>
  <si>
    <t>Magdalena Contreras</t>
  </si>
  <si>
    <t>UMF 140 La Teja</t>
  </si>
  <si>
    <t>UMF-UMAA 161 Av. Toluca</t>
  </si>
  <si>
    <t>7 Del Valle</t>
  </si>
  <si>
    <t>UMF 19 Coyoacán</t>
  </si>
  <si>
    <t>Coyoacán</t>
  </si>
  <si>
    <t>UMF 28 Del Valle</t>
  </si>
  <si>
    <t>UMF 38 CFE. Parque España</t>
  </si>
  <si>
    <t>UMF 39 CFE. Xola</t>
  </si>
  <si>
    <t>UMF-UMAA 42 Cuajimalpa con
UMAA</t>
  </si>
  <si>
    <t>Cuajimalpa de Morelos</t>
  </si>
  <si>
    <t>Cuajimalpa</t>
  </si>
  <si>
    <t>9 Santa Anita</t>
  </si>
  <si>
    <t>HPSIQMF 10 Postal</t>
  </si>
  <si>
    <t>UMF 21 Fco. del Paso</t>
  </si>
  <si>
    <t>UMF 45 Iztacalco</t>
  </si>
  <si>
    <t>10 Churubusco</t>
  </si>
  <si>
    <t>Tlalpan</t>
  </si>
  <si>
    <t>UMF 15 Ermita Iztapalapa</t>
  </si>
  <si>
    <t>UMF 31 Iztapalapa</t>
  </si>
  <si>
    <t>UMF 43 Rojo Gómez</t>
  </si>
  <si>
    <t>UMF 46 Soriano</t>
  </si>
  <si>
    <t>UMF 160 El Vergel</t>
  </si>
  <si>
    <t>UMF-UMAA 162 Tlahuac</t>
  </si>
  <si>
    <t>Tláhuac</t>
  </si>
  <si>
    <t>UMF 163 Villa Coapa</t>
  </si>
  <si>
    <t>UMF 164 Tláhuac</t>
  </si>
  <si>
    <t>6 Piedad Narvarte</t>
  </si>
  <si>
    <t>UMF 1 Col. Roma</t>
  </si>
  <si>
    <t>UMF 4 Doctores</t>
  </si>
  <si>
    <t>UMF 9 San Pedro Pinos</t>
  </si>
  <si>
    <t>UMF 12 Santa Fe</t>
  </si>
  <si>
    <t>UMF 26 Condesa</t>
  </si>
  <si>
    <t>Última revisión: 18.06.2026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</si>
</sst>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0.000"/>
    <numFmt numFmtId="165" formatCode="dd/mm/yyyy"/>
    <numFmt numFmtId="166" formatCode="&quot;$&quot;#,##0"/>
    <numFmt numFmtId="167" formatCode="#,##0.00000"/>
    <numFmt numFmtId="168" formatCode="mmm-dd"/>
    <numFmt numFmtId="169" formatCode="mmm-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/>
    <font>
      <color theme="1"/>
      <name val="Arial"/>
    </font>
    <font>
      <sz val="10.0"/>
      <color theme="1"/>
      <name val="Arial"/>
      <scheme val="minor"/>
    </font>
    <font>
      <sz val="10.0"/>
      <color rgb="FF000000"/>
      <name val="&quot;Aptos Narrow&quot;"/>
    </font>
    <font>
      <b/>
      <color theme="1"/>
      <name val="Arial"/>
      <scheme val="minor"/>
    </font>
    <font>
      <b/>
      <color theme="1"/>
      <name val="Arial"/>
    </font>
    <font>
      <strike/>
      <color theme="1"/>
      <name val="Arial"/>
      <scheme val="minor"/>
    </font>
    <font>
      <u/>
      <color rgb="FF0000FF"/>
    </font>
  </fonts>
  <fills count="7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FFE599"/>
        <bgColor rgb="FFFFE599"/>
      </patternFill>
    </fill>
    <fill>
      <patternFill patternType="solid">
        <fgColor rgb="FF000000"/>
        <bgColor rgb="FF000000"/>
      </patternFill>
    </fill>
    <fill>
      <patternFill patternType="solid">
        <fgColor rgb="FFB7B7B7"/>
        <bgColor rgb="FFB7B7B7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3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1" numFmtId="4" xfId="0" applyAlignment="1" applyFill="1" applyFont="1" applyNumberFormat="1">
      <alignment readingOrder="0"/>
    </xf>
    <xf borderId="0" fillId="0" fontId="1" numFmtId="164" xfId="0" applyFont="1" applyNumberFormat="1"/>
    <xf borderId="0" fillId="0" fontId="1" numFmtId="0" xfId="0" applyAlignment="1" applyFont="1">
      <alignment horizontal="center" readingOrder="0"/>
    </xf>
    <xf borderId="1" fillId="0" fontId="1" numFmtId="0" xfId="0" applyAlignment="1" applyBorder="1" applyFont="1">
      <alignment readingOrder="0"/>
    </xf>
    <xf borderId="0" fillId="0" fontId="1" numFmtId="10" xfId="0" applyAlignment="1" applyFont="1" applyNumberFormat="1">
      <alignment horizontal="center" readingOrder="0"/>
    </xf>
    <xf borderId="2" fillId="0" fontId="1" numFmtId="0" xfId="0" applyAlignment="1" applyBorder="1" applyFont="1">
      <alignment readingOrder="0"/>
    </xf>
    <xf borderId="2" fillId="0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center" readingOrder="0"/>
    </xf>
    <xf borderId="4" fillId="0" fontId="2" numFmtId="0" xfId="0" applyBorder="1" applyFont="1"/>
    <xf borderId="5" fillId="0" fontId="1" numFmtId="0" xfId="0" applyAlignment="1" applyBorder="1" applyFont="1">
      <alignment horizontal="center" readingOrder="0"/>
    </xf>
    <xf borderId="6" fillId="0" fontId="2" numFmtId="0" xfId="0" applyBorder="1" applyFont="1"/>
    <xf borderId="7" fillId="0" fontId="1" numFmtId="0" xfId="0" applyAlignment="1" applyBorder="1" applyFont="1">
      <alignment readingOrder="0"/>
    </xf>
    <xf borderId="7" fillId="0" fontId="2" numFmtId="0" xfId="0" applyBorder="1" applyFont="1"/>
    <xf borderId="7" fillId="0" fontId="1" numFmtId="0" xfId="0" applyAlignment="1" applyBorder="1" applyFont="1">
      <alignment horizontal="center" readingOrder="0"/>
    </xf>
    <xf borderId="8" fillId="0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center"/>
    </xf>
    <xf borderId="5" fillId="0" fontId="1" numFmtId="0" xfId="0" applyAlignment="1" applyBorder="1" applyFont="1">
      <alignment horizontal="center"/>
    </xf>
    <xf borderId="0" fillId="0" fontId="1" numFmtId="9" xfId="0" applyAlignment="1" applyFont="1" applyNumberFormat="1">
      <alignment readingOrder="0"/>
    </xf>
    <xf borderId="8" fillId="0" fontId="1" numFmtId="0" xfId="0" applyAlignment="1" applyBorder="1" applyFont="1">
      <alignment horizontal="center"/>
    </xf>
    <xf borderId="0" fillId="2" fontId="3" numFmtId="4" xfId="0" applyAlignment="1" applyFill="1" applyFont="1" applyNumberFormat="1">
      <alignment horizontal="right" vertical="bottom"/>
    </xf>
    <xf borderId="0" fillId="0" fontId="1" numFmtId="2" xfId="0" applyFont="1" applyNumberFormat="1"/>
    <xf borderId="0" fillId="0" fontId="1" numFmtId="2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3" fontId="1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0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2" fontId="6" numFmtId="0" xfId="0" applyAlignment="1" applyFill="1" applyFont="1">
      <alignment readingOrder="0"/>
    </xf>
    <xf borderId="0" fillId="2" fontId="6" numFmtId="4" xfId="0" applyAlignment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2" fontId="7" numFmtId="4" xfId="0" applyAlignment="1" applyFill="1" applyFont="1" applyNumberFormat="1">
      <alignment horizontal="right" vertical="bottom"/>
    </xf>
    <xf borderId="0" fillId="0" fontId="6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0" xfId="0" applyFont="1" applyNumberFormat="1"/>
    <xf borderId="0" fillId="0" fontId="1" numFmtId="166" xfId="0" applyFont="1" applyNumberFormat="1"/>
    <xf borderId="0" fillId="0" fontId="1" numFmtId="0" xfId="0" applyAlignment="1" applyFont="1">
      <alignment readingOrder="0" shrinkToFit="0" wrapText="0"/>
    </xf>
    <xf borderId="0" fillId="0" fontId="1" numFmtId="166" xfId="0" applyAlignment="1" applyFont="1" applyNumberFormat="1">
      <alignment readingOrder="0" shrinkToFit="0" wrapText="0"/>
    </xf>
    <xf borderId="0" fillId="0" fontId="8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5" fontId="1" numFmtId="166" xfId="0" applyFill="1" applyFont="1" applyNumberFormat="1"/>
    <xf borderId="0" fillId="5" fontId="1" numFmtId="166" xfId="0" applyAlignment="1" applyFill="1" applyFont="1" applyNumberFormat="1">
      <alignment readingOrder="0"/>
    </xf>
    <xf borderId="0" fillId="0" fontId="1" numFmtId="167" xfId="0" applyAlignment="1" applyFont="1" applyNumberFormat="1">
      <alignment horizontal="center"/>
    </xf>
    <xf borderId="0" fillId="0" fontId="1" numFmtId="166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 readingOrder="0"/>
    </xf>
    <xf borderId="0" fillId="0" fontId="1" numFmtId="3" xfId="0" applyAlignment="1" applyFont="1" applyNumberFormat="1">
      <alignment horizontal="center" readingOrder="0"/>
    </xf>
    <xf borderId="0" fillId="5" fontId="1" numFmtId="0" xfId="0" applyFill="1" applyFont="1"/>
    <xf borderId="0" fillId="0" fontId="1" numFmtId="2" xfId="0" applyAlignment="1" applyFont="1" applyNumberFormat="1">
      <alignment horizontal="center"/>
    </xf>
    <xf borderId="0" fillId="0" fontId="1" numFmtId="4" xfId="0" applyAlignment="1" applyFont="1" applyNumberFormat="1">
      <alignment readingOrder="0"/>
    </xf>
    <xf borderId="0" fillId="0" fontId="1" numFmtId="10" xfId="0" applyAlignment="1" applyFont="1" applyNumberFormat="1">
      <alignment horizontal="center"/>
    </xf>
    <xf borderId="0" fillId="0" fontId="1" numFmtId="3" xfId="0" applyFont="1" applyNumberFormat="1"/>
    <xf borderId="0" fillId="6" fontId="1" numFmtId="0" xfId="0" applyAlignment="1" applyFill="1" applyFont="1">
      <alignment readingOrder="0"/>
    </xf>
    <xf borderId="0" fillId="6" fontId="1" numFmtId="3" xfId="0" applyFill="1" applyFont="1" applyNumberFormat="1"/>
    <xf borderId="0" fillId="6" fontId="1" numFmtId="3" xfId="0" applyAlignment="1" applyFill="1" applyFont="1" applyNumberFormat="1">
      <alignment readingOrder="0"/>
    </xf>
    <xf borderId="0" fillId="6" fontId="1" numFmtId="0" xfId="0" applyFill="1" applyFont="1"/>
    <xf borderId="0" fillId="0" fontId="9" numFmtId="0" xfId="0" applyAlignment="1" applyFont="1">
      <alignment readingOrder="0"/>
    </xf>
    <xf borderId="0" fillId="0" fontId="1" numFmtId="166" xfId="0" applyAlignment="1" applyFont="1" applyNumberFormat="1">
      <alignment horizontal="center" readingOrder="0"/>
    </xf>
    <xf borderId="0" fillId="0" fontId="1" numFmtId="4" xfId="0" applyFont="1" applyNumberFormat="1"/>
    <xf borderId="0" fillId="0" fontId="1" numFmtId="168" xfId="0" applyAlignment="1" applyFont="1" applyNumberFormat="1">
      <alignment readingOrder="0"/>
    </xf>
    <xf borderId="0" fillId="0" fontId="1" numFmtId="169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0" fontId="1" numFmtId="167" xfId="0" applyFont="1" applyNumberFormat="1"/>
    <xf borderId="0" fillId="4" fontId="1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gasto en salud como % del PIB</a:t>
            </a:r>
          </a:p>
        </c:rich>
      </c:tx>
      <c:overlay val="0"/>
    </c:title>
    <c:plotArea>
      <c:layout/>
      <c:barChart>
        <c:barDir val="bar"/>
        <c:varyColors val="0"/>
        <c:ser>
          <c:idx val="0"/>
          <c:order val="0"/>
          <c:tx>
            <c:strRef>
              <c:f>'salud vs pib'!$B$1:$B$2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'salud vs pib'!$A$3:$A$24</c:f>
            </c:strRef>
          </c:cat>
          <c:val>
            <c:numRef>
              <c:f>'salud vs pib'!$B$3:$B$24</c:f>
              <c:numCache/>
            </c:numRef>
          </c:val>
        </c:ser>
        <c:axId val="1520758230"/>
        <c:axId val="457946324"/>
      </c:barChart>
      <c:catAx>
        <c:axId val="152075823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% del PIB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7946324"/>
      </c:catAx>
      <c:valAx>
        <c:axId val="457946324"/>
        <c:scaling>
          <c:orientation val="minMax"/>
          <c:min val="0.04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075823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grouping val="percent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val>
            <c:numRef>
              <c:f>'imss calidad'!$D$3:$D$21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noFill/>
            </a:ln>
          </c:spPr>
          <c:invertIfNegative val="0"/>
          <c:val>
            <c:numRef>
              <c:f>'imss calidad'!$E$3:$E$21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noFill/>
            </a:ln>
          </c:spPr>
          <c:invertIfNegative val="0"/>
          <c:val>
            <c:numRef>
              <c:f>'imss calidad'!$F$3:$F$21</c:f>
              <c:numCache/>
            </c:numRef>
          </c:val>
        </c:ser>
        <c:overlap val="100"/>
        <c:axId val="1321862213"/>
        <c:axId val="131407510"/>
      </c:barChart>
      <c:catAx>
        <c:axId val="132186221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407510"/>
      </c:catAx>
      <c:valAx>
        <c:axId val="13140751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186221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Nivel de satisfacción con el IMSS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'inegi satisfacción'!$B$1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'inegi satisfacción'!$A$2:$A$8</c:f>
            </c:strRef>
          </c:cat>
          <c:val>
            <c:numRef>
              <c:f>'inegi satisfacción'!$B$2:$B$8</c:f>
              <c:numCache/>
            </c:numRef>
          </c:val>
        </c:ser>
        <c:axId val="1340776193"/>
        <c:axId val="665694580"/>
      </c:barChart>
      <c:catAx>
        <c:axId val="13407761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Año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5694580"/>
      </c:catAx>
      <c:valAx>
        <c:axId val="6656945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Estimaciones puntuales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07761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2015, 2017, 2019, 2021, 2023…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'satisfacción x estado'!$A$2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estado'!$B$2:$G$2</c:f>
              <c:numCache/>
            </c:numRef>
          </c:val>
          <c:smooth val="0"/>
        </c:ser>
        <c:ser>
          <c:idx val="1"/>
          <c:order val="1"/>
          <c:tx>
            <c:strRef>
              <c:f>'satisfacción x estado'!$A$3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estado'!$B$3:$G$3</c:f>
              <c:numCache/>
            </c:numRef>
          </c:val>
          <c:smooth val="0"/>
        </c:ser>
        <c:ser>
          <c:idx val="2"/>
          <c:order val="2"/>
          <c:tx>
            <c:strRef>
              <c:f>'satisfacción x estado'!$A$4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estado'!$B$4:$G$4</c:f>
              <c:numCache/>
            </c:numRef>
          </c:val>
          <c:smooth val="0"/>
        </c:ser>
        <c:ser>
          <c:idx val="3"/>
          <c:order val="3"/>
          <c:tx>
            <c:strRef>
              <c:f>'satisfacción x estado'!$A$5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estado'!$B$5:$G$5</c:f>
              <c:numCache/>
            </c:numRef>
          </c:val>
          <c:smooth val="0"/>
        </c:ser>
        <c:ser>
          <c:idx val="4"/>
          <c:order val="4"/>
          <c:tx>
            <c:strRef>
              <c:f>'satisfacción x estado'!$A$6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estado'!$B$6:$G$6</c:f>
              <c:numCache/>
            </c:numRef>
          </c:val>
          <c:smooth val="0"/>
        </c:ser>
        <c:ser>
          <c:idx val="5"/>
          <c:order val="5"/>
          <c:tx>
            <c:strRef>
              <c:f>'satisfacción x estado'!$A$7</c:f>
            </c:strRef>
          </c:tx>
          <c:spPr>
            <a:ln cmpd="sng">
              <a:solidFill>
                <a:srgbClr val="46BDC6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estado'!$B$7:$G$7</c:f>
              <c:numCache/>
            </c:numRef>
          </c:val>
          <c:smooth val="0"/>
        </c:ser>
        <c:ser>
          <c:idx val="6"/>
          <c:order val="6"/>
          <c:tx>
            <c:strRef>
              <c:f>'satisfacción x estado'!$A$8</c:f>
            </c:strRef>
          </c:tx>
          <c:spPr>
            <a:ln cmpd="sng">
              <a:solidFill>
                <a:srgbClr val="7BAAF7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estado'!$B$8:$G$8</c:f>
              <c:numCache/>
            </c:numRef>
          </c:val>
          <c:smooth val="0"/>
        </c:ser>
        <c:ser>
          <c:idx val="7"/>
          <c:order val="7"/>
          <c:tx>
            <c:strRef>
              <c:f>'satisfacción x estado'!$A$9</c:f>
            </c:strRef>
          </c:tx>
          <c:spPr>
            <a:ln cmpd="sng">
              <a:solidFill>
                <a:srgbClr val="F07B72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estado'!$B$9:$G$9</c:f>
              <c:numCache/>
            </c:numRef>
          </c:val>
          <c:smooth val="0"/>
        </c:ser>
        <c:ser>
          <c:idx val="8"/>
          <c:order val="8"/>
          <c:tx>
            <c:strRef>
              <c:f>'satisfacción x estado'!$A$10</c:f>
            </c:strRef>
          </c:tx>
          <c:spPr>
            <a:ln cmpd="sng">
              <a:solidFill>
                <a:srgbClr val="FCD04F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estado'!$B$10:$G$10</c:f>
              <c:numCache/>
            </c:numRef>
          </c:val>
          <c:smooth val="0"/>
        </c:ser>
        <c:ser>
          <c:idx val="9"/>
          <c:order val="9"/>
          <c:tx>
            <c:strRef>
              <c:f>'satisfacción x estado'!$A$11</c:f>
            </c:strRef>
          </c:tx>
          <c:spPr>
            <a:ln cmpd="sng">
              <a:solidFill>
                <a:srgbClr val="71C287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estado'!$B$11:$G$11</c:f>
              <c:numCache/>
            </c:numRef>
          </c:val>
          <c:smooth val="0"/>
        </c:ser>
        <c:ser>
          <c:idx val="10"/>
          <c:order val="10"/>
          <c:tx>
            <c:strRef>
              <c:f>'satisfacción x estado'!$A$12</c:f>
            </c:strRef>
          </c:tx>
          <c:spPr>
            <a:ln cmpd="sng">
              <a:solidFill>
                <a:srgbClr val="FF994D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estado'!$B$12:$G$12</c:f>
              <c:numCache/>
            </c:numRef>
          </c:val>
          <c:smooth val="0"/>
        </c:ser>
        <c:ser>
          <c:idx val="11"/>
          <c:order val="11"/>
          <c:tx>
            <c:strRef>
              <c:f>'satisfacción x estado'!$A$13</c:f>
            </c:strRef>
          </c:tx>
          <c:spPr>
            <a:ln cmpd="sng">
              <a:solidFill>
                <a:srgbClr val="7ED1D7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estado'!$B$13:$G$13</c:f>
              <c:numCache/>
            </c:numRef>
          </c:val>
          <c:smooth val="0"/>
        </c:ser>
        <c:ser>
          <c:idx val="12"/>
          <c:order val="12"/>
          <c:tx>
            <c:strRef>
              <c:f>'satisfacción x estado'!$A$14</c:f>
            </c:strRef>
          </c:tx>
          <c:spPr>
            <a:ln cmpd="sng">
              <a:solidFill>
                <a:srgbClr val="B3CEFB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estado'!$B$14:$G$14</c:f>
              <c:numCache/>
            </c:numRef>
          </c:val>
          <c:smooth val="0"/>
        </c:ser>
        <c:ser>
          <c:idx val="13"/>
          <c:order val="13"/>
          <c:tx>
            <c:strRef>
              <c:f>'satisfacción x estado'!$A$15</c:f>
            </c:strRef>
          </c:tx>
          <c:spPr>
            <a:ln cmpd="sng">
              <a:solidFill>
                <a:srgbClr val="F7B4AE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estado'!$B$15:$G$15</c:f>
              <c:numCache/>
            </c:numRef>
          </c:val>
          <c:smooth val="0"/>
        </c:ser>
        <c:ser>
          <c:idx val="14"/>
          <c:order val="14"/>
          <c:tx>
            <c:strRef>
              <c:f>'satisfacción x estado'!$A$16</c:f>
            </c:strRef>
          </c:tx>
          <c:spPr>
            <a:ln cmpd="sng">
              <a:solidFill>
                <a:srgbClr val="FDE49B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estado'!$B$16:$G$16</c:f>
              <c:numCache/>
            </c:numRef>
          </c:val>
          <c:smooth val="0"/>
        </c:ser>
        <c:ser>
          <c:idx val="15"/>
          <c:order val="15"/>
          <c:tx>
            <c:strRef>
              <c:f>'satisfacción x estado'!$A$17</c:f>
            </c:strRef>
          </c:tx>
          <c:spPr>
            <a:ln cmpd="sng">
              <a:solidFill>
                <a:srgbClr val="AEDCBA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estado'!$B$17:$G$17</c:f>
              <c:numCache/>
            </c:numRef>
          </c:val>
          <c:smooth val="0"/>
        </c:ser>
        <c:ser>
          <c:idx val="16"/>
          <c:order val="16"/>
          <c:tx>
            <c:strRef>
              <c:f>'satisfacción x estado'!$A$18</c:f>
            </c:strRef>
          </c:tx>
          <c:spPr>
            <a:ln cmpd="sng">
              <a:solidFill>
                <a:srgbClr val="FFC599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estado'!$B$18:$G$18</c:f>
              <c:numCache/>
            </c:numRef>
          </c:val>
          <c:smooth val="0"/>
        </c:ser>
        <c:ser>
          <c:idx val="17"/>
          <c:order val="17"/>
          <c:tx>
            <c:strRef>
              <c:f>'satisfacción x estado'!$A$19</c:f>
            </c:strRef>
          </c:tx>
          <c:spPr>
            <a:ln cmpd="sng">
              <a:solidFill>
                <a:srgbClr val="B5E5E8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estado'!$B$19:$G$19</c:f>
              <c:numCache/>
            </c:numRef>
          </c:val>
          <c:smooth val="0"/>
        </c:ser>
        <c:ser>
          <c:idx val="18"/>
          <c:order val="18"/>
          <c:tx>
            <c:strRef>
              <c:f>'satisfacción x estado'!$A$20</c:f>
            </c:strRef>
          </c:tx>
          <c:spPr>
            <a:ln cmpd="sng">
              <a:solidFill>
                <a:srgbClr val="ECF3FE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estado'!$B$20:$G$20</c:f>
              <c:numCache/>
            </c:numRef>
          </c:val>
          <c:smooth val="0"/>
        </c:ser>
        <c:ser>
          <c:idx val="19"/>
          <c:order val="19"/>
          <c:tx>
            <c:strRef>
              <c:f>'satisfacción x estado'!$A$21</c:f>
            </c:strRef>
          </c:tx>
          <c:spPr>
            <a:ln cmpd="sng">
              <a:solidFill>
                <a:srgbClr val="FDECEB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estado'!$B$21:$G$21</c:f>
              <c:numCache/>
            </c:numRef>
          </c:val>
          <c:smooth val="0"/>
        </c:ser>
        <c:ser>
          <c:idx val="20"/>
          <c:order val="20"/>
          <c:tx>
            <c:strRef>
              <c:f>'satisfacción x estado'!$A$22</c:f>
            </c:strRef>
          </c:tx>
          <c:spPr>
            <a:ln cmpd="sng">
              <a:solidFill>
                <a:srgbClr val="FFF8E6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estado'!$B$22:$G$22</c:f>
              <c:numCache/>
            </c:numRef>
          </c:val>
          <c:smooth val="0"/>
        </c:ser>
        <c:ser>
          <c:idx val="21"/>
          <c:order val="21"/>
          <c:tx>
            <c:strRef>
              <c:f>'satisfacción x estado'!$A$23</c:f>
            </c:strRef>
          </c:tx>
          <c:spPr>
            <a:ln cmpd="sng">
              <a:solidFill>
                <a:srgbClr val="EBF6EE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estado'!$B$23:$G$23</c:f>
              <c:numCache/>
            </c:numRef>
          </c:val>
          <c:smooth val="0"/>
        </c:ser>
        <c:ser>
          <c:idx val="22"/>
          <c:order val="22"/>
          <c:tx>
            <c:strRef>
              <c:f>'satisfacción x estado'!$A$24</c:f>
            </c:strRef>
          </c:tx>
          <c:spPr>
            <a:ln cmpd="sng">
              <a:solidFill>
                <a:srgbClr val="FFF0E6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estado'!$B$24:$G$24</c:f>
              <c:numCache/>
            </c:numRef>
          </c:val>
          <c:smooth val="0"/>
        </c:ser>
        <c:ser>
          <c:idx val="23"/>
          <c:order val="23"/>
          <c:tx>
            <c:strRef>
              <c:f>'satisfacción x estado'!$A$25</c:f>
            </c:strRef>
          </c:tx>
          <c:spPr>
            <a:ln cmpd="sng">
              <a:solidFill>
                <a:srgbClr val="EDF8F9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estado'!$B$25:$G$25</c:f>
              <c:numCache/>
            </c:numRef>
          </c:val>
          <c:smooth val="0"/>
        </c:ser>
        <c:ser>
          <c:idx val="24"/>
          <c:order val="24"/>
          <c:tx>
            <c:strRef>
              <c:f>'satisfacción x estado'!$A$26</c:f>
            </c:strRef>
          </c:tx>
          <c:spPr>
            <a:ln cmpd="sng">
              <a:solidFill>
                <a:srgbClr val="251701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estado'!$B$26:$G$26</c:f>
              <c:numCache/>
            </c:numRef>
          </c:val>
          <c:smooth val="0"/>
        </c:ser>
        <c:ser>
          <c:idx val="25"/>
          <c:order val="25"/>
          <c:tx>
            <c:strRef>
              <c:f>'satisfacción x estado'!$A$27</c:f>
            </c:strRef>
          </c:tx>
          <c:spPr>
            <a:ln cmpd="sng">
              <a:solidFill>
                <a:srgbClr val="032527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estado'!$B$27:$G$27</c:f>
              <c:numCache/>
            </c:numRef>
          </c:val>
          <c:smooth val="0"/>
        </c:ser>
        <c:ser>
          <c:idx val="26"/>
          <c:order val="26"/>
          <c:tx>
            <c:strRef>
              <c:f>'satisfacción x estado'!$A$28</c:f>
            </c:strRef>
          </c:tx>
          <c:spPr>
            <a:ln cmpd="sng">
              <a:solidFill>
                <a:srgbClr val="000C31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estado'!$B$28:$G$28</c:f>
              <c:numCache/>
            </c:numRef>
          </c:val>
          <c:smooth val="0"/>
        </c:ser>
        <c:ser>
          <c:idx val="27"/>
          <c:order val="27"/>
          <c:tx>
            <c:strRef>
              <c:f>'satisfacción x estado'!$A$29</c:f>
            </c:strRef>
          </c:tx>
          <c:spPr>
            <a:ln cmpd="sng">
              <a:solidFill>
                <a:srgbClr val="281021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estado'!$B$29:$G$29</c:f>
              <c:numCache/>
            </c:numRef>
          </c:val>
          <c:smooth val="0"/>
        </c:ser>
        <c:ser>
          <c:idx val="28"/>
          <c:order val="28"/>
          <c:tx>
            <c:strRef>
              <c:f>'satisfacción x estado'!$A$30</c:f>
            </c:strRef>
          </c:tx>
          <c:spPr>
            <a:ln cmpd="sng">
              <a:solidFill>
                <a:srgbClr val="FF1C32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estado'!$B$30:$G$30</c:f>
              <c:numCache/>
            </c:numRef>
          </c:val>
          <c:smooth val="0"/>
        </c:ser>
        <c:ser>
          <c:idx val="29"/>
          <c:order val="29"/>
          <c:tx>
            <c:strRef>
              <c:f>'satisfacción x estado'!$A$31</c:f>
            </c:strRef>
          </c:tx>
          <c:spPr>
            <a:ln cmpd="sng">
              <a:solidFill>
                <a:srgbClr val="240C0A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estado'!$B$31:$G$31</c:f>
              <c:numCache/>
            </c:numRef>
          </c:val>
          <c:smooth val="0"/>
        </c:ser>
        <c:ser>
          <c:idx val="30"/>
          <c:order val="30"/>
          <c:tx>
            <c:strRef>
              <c:f>'satisfacción x estado'!$A$32</c:f>
            </c:strRef>
          </c:tx>
          <c:spPr>
            <a:ln cmpd="sng">
              <a:solidFill>
                <a:srgbClr val="5E3C05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estado'!$B$32:$G$32</c:f>
              <c:numCache/>
            </c:numRef>
          </c:val>
          <c:smooth val="0"/>
        </c:ser>
        <c:ser>
          <c:idx val="31"/>
          <c:order val="31"/>
          <c:tx>
            <c:strRef>
              <c:f>'satisfacción x estado'!$A$33</c:f>
            </c:strRef>
          </c:tx>
          <c:spPr>
            <a:ln cmpd="sng">
              <a:solidFill>
                <a:srgbClr val="0A5D64"/>
              </a:solidFill>
            </a:ln>
          </c:spPr>
          <c:marker>
            <c:symbol val="none"/>
          </c:marker>
          <c:cat>
            <c:strRef>
              <c:f>'satisfacción x estado'!$B$1:$G$1</c:f>
            </c:strRef>
          </c:cat>
          <c:val>
            <c:numRef>
              <c:f>'satisfacción x estado'!$B$33:$G$33</c:f>
              <c:numCache/>
            </c:numRef>
          </c:val>
          <c:smooth val="0"/>
        </c:ser>
        <c:axId val="1015033636"/>
        <c:axId val="257143405"/>
      </c:lineChart>
      <c:catAx>
        <c:axId val="10150336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Entidad federativa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7143405"/>
      </c:catAx>
      <c:valAx>
        <c:axId val="2571434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50336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gasto real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'pefs deflactados'!$I$1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'pefs deflactados'!$M$2:$M$1000</c:f>
            </c:strRef>
          </c:cat>
          <c:val>
            <c:numRef>
              <c:f>'pefs deflactados'!$I$2:$I$1000</c:f>
              <c:numCache/>
            </c:numRef>
          </c:val>
        </c:ser>
        <c:ser>
          <c:idx val="1"/>
          <c:order val="1"/>
          <c:tx>
            <c:strRef>
              <c:f>'pefs deflactados'!$J$1</c:f>
            </c:strRef>
          </c:tx>
          <c:spPr>
            <a:solidFill>
              <a:schemeClr val="accent2"/>
            </a:solidFill>
            <a:ln cmpd="sng">
              <a:noFill/>
            </a:ln>
          </c:spPr>
          <c:invertIfNegative val="0"/>
          <c:cat>
            <c:strRef>
              <c:f>'pefs deflactados'!$M$2:$M$1000</c:f>
            </c:strRef>
          </c:cat>
          <c:val>
            <c:numRef>
              <c:f>'pefs deflactados'!$J$2:$J$1000</c:f>
              <c:numCache/>
            </c:numRef>
          </c:val>
        </c:ser>
        <c:ser>
          <c:idx val="2"/>
          <c:order val="2"/>
          <c:tx>
            <c:strRef>
              <c:f>'pefs deflactados'!$K$1</c:f>
            </c:strRef>
          </c:tx>
          <c:spPr>
            <a:solidFill>
              <a:schemeClr val="accent3"/>
            </a:solidFill>
            <a:ln cmpd="sng">
              <a:noFill/>
            </a:ln>
          </c:spPr>
          <c:invertIfNegative val="0"/>
          <c:cat>
            <c:strRef>
              <c:f>'pefs deflactados'!$M$2:$M$1000</c:f>
            </c:strRef>
          </c:cat>
          <c:val>
            <c:numRef>
              <c:f>'pefs deflactados'!$K$2:$K$1000</c:f>
              <c:numCache/>
            </c:numRef>
          </c:val>
        </c:ser>
        <c:ser>
          <c:idx val="3"/>
          <c:order val="3"/>
          <c:tx>
            <c:strRef>
              <c:f>'pefs deflactados'!$L$1</c:f>
            </c:strRef>
          </c:tx>
          <c:spPr>
            <a:solidFill>
              <a:schemeClr val="accent4"/>
            </a:solidFill>
            <a:ln cmpd="sng">
              <a:noFill/>
            </a:ln>
          </c:spPr>
          <c:invertIfNegative val="0"/>
          <c:cat>
            <c:strRef>
              <c:f>'pefs deflactados'!$M$2:$M$1000</c:f>
            </c:strRef>
          </c:cat>
          <c:val>
            <c:numRef>
              <c:f>'pefs deflactados'!$L$2:$L$1000</c:f>
              <c:numCache/>
            </c:numRef>
          </c:val>
        </c:ser>
        <c:overlap val="100"/>
        <c:axId val="591198775"/>
        <c:axId val="1778721919"/>
      </c:barChart>
      <c:catAx>
        <c:axId val="591198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pef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8721919"/>
      </c:catAx>
      <c:valAx>
        <c:axId val="17787219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11987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gasto imss 2027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'solo imss 2027'!$A$3:$A$6</c:f>
            </c:strRef>
          </c:cat>
          <c:val>
            <c:numRef>
              <c:f>'solo imss 2027'!$B$3:$B$6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pensiones, % sueldos base, % medicinas y % otros</a:t>
            </a:r>
          </a:p>
        </c:rich>
      </c:tx>
      <c:overlay val="0"/>
    </c:title>
    <c:plotArea>
      <c:layout/>
      <c:barChart>
        <c:barDir val="col"/>
        <c:grouping val="percentStacked"/>
        <c:ser>
          <c:idx val="0"/>
          <c:order val="0"/>
          <c:tx>
            <c:strRef>
              <c:f>'imss anual'!$H$2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'imss anual'!$L$3:$L$23</c:f>
            </c:strRef>
          </c:cat>
          <c:val>
            <c:numRef>
              <c:f>'imss anual'!$H$3:$H$23</c:f>
              <c:numCache/>
            </c:numRef>
          </c:val>
        </c:ser>
        <c:ser>
          <c:idx val="1"/>
          <c:order val="1"/>
          <c:tx>
            <c:strRef>
              <c:f>'imss anual'!$I$2</c:f>
            </c:strRef>
          </c:tx>
          <c:spPr>
            <a:solidFill>
              <a:schemeClr val="accent2"/>
            </a:solidFill>
            <a:ln cmpd="sng">
              <a:noFill/>
            </a:ln>
          </c:spPr>
          <c:invertIfNegative val="0"/>
          <c:cat>
            <c:strRef>
              <c:f>'imss anual'!$L$3:$L$23</c:f>
            </c:strRef>
          </c:cat>
          <c:val>
            <c:numRef>
              <c:f>'imss anual'!$I$3:$I$23</c:f>
              <c:numCache/>
            </c:numRef>
          </c:val>
        </c:ser>
        <c:ser>
          <c:idx val="2"/>
          <c:order val="2"/>
          <c:tx>
            <c:strRef>
              <c:f>'imss anual'!$J$2</c:f>
            </c:strRef>
          </c:tx>
          <c:spPr>
            <a:solidFill>
              <a:schemeClr val="accent3"/>
            </a:solidFill>
            <a:ln cmpd="sng">
              <a:noFill/>
            </a:ln>
          </c:spPr>
          <c:invertIfNegative val="0"/>
          <c:cat>
            <c:strRef>
              <c:f>'imss anual'!$L$3:$L$23</c:f>
            </c:strRef>
          </c:cat>
          <c:val>
            <c:numRef>
              <c:f>'imss anual'!$J$3:$J$23</c:f>
              <c:numCache/>
            </c:numRef>
          </c:val>
        </c:ser>
        <c:ser>
          <c:idx val="3"/>
          <c:order val="3"/>
          <c:tx>
            <c:strRef>
              <c:f>'imss anual'!$K$2</c:f>
            </c:strRef>
          </c:tx>
          <c:spPr>
            <a:solidFill>
              <a:schemeClr val="accent4"/>
            </a:solidFill>
            <a:ln cmpd="sng">
              <a:noFill/>
            </a:ln>
          </c:spPr>
          <c:invertIfNegative val="0"/>
          <c:cat>
            <c:strRef>
              <c:f>'imss anual'!$L$3:$L$23</c:f>
            </c:strRef>
          </c:cat>
          <c:val>
            <c:numRef>
              <c:f>'imss anual'!$K$3:$K$23</c:f>
              <c:numCache/>
            </c:numRef>
          </c:val>
        </c:ser>
        <c:overlap val="100"/>
        <c:axId val="2097335319"/>
        <c:axId val="387409875"/>
      </c:barChart>
      <c:catAx>
        <c:axId val="2097335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gasto imss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7409875"/>
      </c:catAx>
      <c:valAx>
        <c:axId val="3874098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73353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aumento gasto total vs pensiones y jubilaciones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'imss anual'!$E$27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dPt>
            <c:idx val="1"/>
            <c:spPr>
              <a:solidFill>
                <a:srgbClr val="FF0000"/>
              </a:solidFill>
              <a:ln cmpd="sng">
                <a:noFill/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'imss anual'!$D$28:$D$29</c:f>
            </c:strRef>
          </c:cat>
          <c:val>
            <c:numRef>
              <c:f>'imss anual'!$E$28:$E$29</c:f>
              <c:numCache/>
            </c:numRef>
          </c:val>
        </c:ser>
        <c:axId val="420299743"/>
        <c:axId val="1331935357"/>
      </c:barChart>
      <c:catAx>
        <c:axId val="420299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1935357"/>
      </c:catAx>
      <c:valAx>
        <c:axId val="13319353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2025-2026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02997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PDA potenciales vs PDA adscritos a UMF</a:t>
            </a:r>
          </a:p>
        </c:rich>
      </c:tx>
      <c:overlay val="0"/>
    </c:title>
    <c:plotArea>
      <c:layout/>
      <c:lineChart>
        <c:ser>
          <c:idx val="0"/>
          <c:order val="0"/>
          <c:tx>
            <c:v>potenciales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pda!$A$61:$A$83</c:f>
            </c:strRef>
          </c:cat>
          <c:val>
            <c:numRef>
              <c:f>pda!$B$61:$B$83</c:f>
              <c:numCache/>
            </c:numRef>
          </c:val>
          <c:smooth val="0"/>
        </c:ser>
        <c:ser>
          <c:idx val="1"/>
          <c:order val="1"/>
          <c:tx>
            <c:v>adscritos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pda!$A$61:$A$83</c:f>
            </c:strRef>
          </c:cat>
          <c:val>
            <c:numRef>
              <c:f>pda!$C$61:$C$83</c:f>
              <c:numCache/>
            </c:numRef>
          </c:val>
          <c:smooth val="0"/>
        </c:ser>
        <c:axId val="899808666"/>
        <c:axId val="890627854"/>
      </c:lineChart>
      <c:catAx>
        <c:axId val="8998086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año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0627854"/>
      </c:catAx>
      <c:valAx>
        <c:axId val="8906278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98086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recursos x cada mil pacientes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'imss recursos '!$I$1:$I$2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'imss recursos '!$H$3:$H$21</c:f>
            </c:strRef>
          </c:cat>
          <c:val>
            <c:numRef>
              <c:f>'imss recursos '!$I$3:$I$21</c:f>
              <c:numCache/>
            </c:numRef>
          </c:val>
          <c:smooth val="0"/>
        </c:ser>
        <c:ser>
          <c:idx val="1"/>
          <c:order val="1"/>
          <c:tx>
            <c:strRef>
              <c:f>'imss recursos '!$J$1:$J$2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'imss recursos '!$H$3:$H$21</c:f>
            </c:strRef>
          </c:cat>
          <c:val>
            <c:numRef>
              <c:f>'imss recursos '!$J$3:$J$21</c:f>
              <c:numCache/>
            </c:numRef>
          </c:val>
          <c:smooth val="0"/>
        </c:ser>
        <c:ser>
          <c:idx val="2"/>
          <c:order val="2"/>
          <c:tx>
            <c:strRef>
              <c:f>'imss recursos '!$K$1:$K$2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'imss recursos '!$H$3:$H$21</c:f>
            </c:strRef>
          </c:cat>
          <c:val>
            <c:numRef>
              <c:f>'imss recursos '!$K$3:$K$21</c:f>
              <c:numCache/>
            </c:numRef>
          </c:val>
          <c:smooth val="0"/>
        </c:ser>
        <c:ser>
          <c:idx val="3"/>
          <c:order val="3"/>
          <c:tx>
            <c:strRef>
              <c:f>'imss recursos '!$L$1:$L$2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'imss recursos '!$H$3:$H$21</c:f>
            </c:strRef>
          </c:cat>
          <c:val>
            <c:numRef>
              <c:f>'imss recursos '!$L$3:$L$21</c:f>
              <c:numCache/>
            </c:numRef>
          </c:val>
          <c:smooth val="0"/>
        </c:ser>
        <c:axId val="921821512"/>
        <c:axId val="1652262018"/>
      </c:lineChart>
      <c:catAx>
        <c:axId val="921821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año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2262018"/>
      </c:catAx>
      <c:valAx>
        <c:axId val="16522620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18215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consultas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consultas!$B$1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consultas!$A$2:$A$22</c:f>
            </c:strRef>
          </c:cat>
          <c:val>
            <c:numRef>
              <c:f>consultas!$B$2:$B$22</c:f>
              <c:numCache/>
            </c:numRef>
          </c:val>
          <c:smooth val="0"/>
        </c:ser>
        <c:axId val="863782358"/>
        <c:axId val="738882948"/>
      </c:lineChart>
      <c:catAx>
        <c:axId val="8637823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año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8882948"/>
      </c:catAx>
      <c:valAx>
        <c:axId val="7388829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consultas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37823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aumento salarial vs inflación acumulada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salarios!$B$1:$B$2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salarios!$A$3:$A$20</c:f>
            </c:strRef>
          </c:cat>
          <c:val>
            <c:numRef>
              <c:f>salarios!$B$3:$B$20</c:f>
              <c:numCache/>
            </c:numRef>
          </c:val>
          <c:smooth val="0"/>
        </c:ser>
        <c:ser>
          <c:idx val="1"/>
          <c:order val="1"/>
          <c:tx>
            <c:v>inflación oct-oct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salarios!$A$3:$A$20</c:f>
            </c:strRef>
          </c:cat>
          <c:val>
            <c:numRef>
              <c:f>salarios!$C$3:$C$20</c:f>
              <c:numCache/>
            </c:numRef>
          </c:val>
          <c:smooth val="0"/>
        </c:ser>
        <c:axId val="785471110"/>
        <c:axId val="1198339140"/>
      </c:lineChart>
      <c:catAx>
        <c:axId val="7854711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año de acuerdo
se aplica siempre en oct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8339140"/>
      </c:catAx>
      <c:valAx>
        <c:axId val="11983391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54711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déficit seguro de enfermedad y maternidad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'déficit'!$B$1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'déficit'!$A$2:$A$28</c:f>
            </c:strRef>
          </c:cat>
          <c:val>
            <c:numRef>
              <c:f>'déficit'!$B$2:$B$28</c:f>
              <c:numCache/>
            </c:numRef>
          </c:val>
          <c:smooth val="0"/>
        </c:ser>
        <c:axId val="585355059"/>
        <c:axId val="280633033"/>
      </c:lineChart>
      <c:catAx>
        <c:axId val="5853550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seguro de enfermedad y maternidad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0633033"/>
      </c:catAx>
      <c:valAx>
        <c:axId val="2806330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miles de pesos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53550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952500</xdr:colOff>
      <xdr:row>7</xdr:row>
      <xdr:rowOff>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95250</xdr:colOff>
      <xdr:row>8</xdr:row>
      <xdr:rowOff>0</xdr:rowOff>
    </xdr:from>
    <xdr:ext cx="7029450" cy="43529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19050</xdr:colOff>
      <xdr:row>8</xdr:row>
      <xdr:rowOff>142875</xdr:rowOff>
    </xdr:from>
    <xdr:ext cx="5715000" cy="35337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171450</xdr:colOff>
      <xdr:row>23</xdr:row>
      <xdr:rowOff>161925</xdr:rowOff>
    </xdr:from>
    <xdr:ext cx="10058400" cy="6229350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</xdr:colOff>
      <xdr:row>0</xdr:row>
      <xdr:rowOff>123825</xdr:rowOff>
    </xdr:from>
    <xdr:ext cx="5715000" cy="3533775"/>
    <xdr:graphicFrame>
      <xdr:nvGraphicFramePr>
        <xdr:cNvPr id="8" name="Chart 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828675</xdr:colOff>
      <xdr:row>6</xdr:row>
      <xdr:rowOff>123825</xdr:rowOff>
    </xdr:from>
    <xdr:ext cx="5715000" cy="3533775"/>
    <xdr:graphicFrame>
      <xdr:nvGraphicFramePr>
        <xdr:cNvPr id="5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190500</xdr:colOff>
      <xdr:row>6</xdr:row>
      <xdr:rowOff>19050</xdr:rowOff>
    </xdr:from>
    <xdr:ext cx="5715000" cy="3533775"/>
    <xdr:graphicFrame>
      <xdr:nvGraphicFramePr>
        <xdr:cNvPr id="6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190500</xdr:colOff>
      <xdr:row>31</xdr:row>
      <xdr:rowOff>171450</xdr:rowOff>
    </xdr:from>
    <xdr:ext cx="5715000" cy="3533775"/>
    <xdr:graphicFrame>
      <xdr:nvGraphicFramePr>
        <xdr:cNvPr id="7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19050</xdr:colOff>
      <xdr:row>1</xdr:row>
      <xdr:rowOff>142875</xdr:rowOff>
    </xdr:from>
    <xdr:ext cx="5715000" cy="3533775"/>
    <xdr:graphicFrame>
      <xdr:nvGraphicFramePr>
        <xdr:cNvPr id="9" name="Chart 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142875</xdr:colOff>
      <xdr:row>25</xdr:row>
      <xdr:rowOff>123825</xdr:rowOff>
    </xdr:from>
    <xdr:ext cx="5715000" cy="3533775"/>
    <xdr:graphicFrame>
      <xdr:nvGraphicFramePr>
        <xdr:cNvPr id="10" name="Chart 1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628650</xdr:colOff>
      <xdr:row>1</xdr:row>
      <xdr:rowOff>28575</xdr:rowOff>
    </xdr:from>
    <xdr:ext cx="5715000" cy="3533775"/>
    <xdr:graphicFrame>
      <xdr:nvGraphicFramePr>
        <xdr:cNvPr id="11" name="Chart 1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1362075</xdr:colOff>
      <xdr:row>3</xdr:row>
      <xdr:rowOff>200025</xdr:rowOff>
    </xdr:from>
    <xdr:ext cx="5715000" cy="3533775"/>
    <xdr:graphicFrame>
      <xdr:nvGraphicFramePr>
        <xdr:cNvPr id="12" name="Chart 1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485775</xdr:colOff>
      <xdr:row>1</xdr:row>
      <xdr:rowOff>19050</xdr:rowOff>
    </xdr:from>
    <xdr:ext cx="5715000" cy="3533775"/>
    <xdr:graphicFrame>
      <xdr:nvGraphicFramePr>
        <xdr:cNvPr id="13" name="Chart 1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cefp.gob.mx/intr/edocumentos/pdf/cefp/cefp1032007.pdf" TargetMode="External"/><Relationship Id="rId2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6</v>
      </c>
      <c r="B1" s="1"/>
      <c r="C1" s="1"/>
      <c r="D1" s="1"/>
    </row>
    <row r="2">
      <c r="A2" s="1" t="s">
        <v>8</v>
      </c>
      <c r="B2" s="1" t="s">
        <v>9</v>
      </c>
      <c r="C2" s="1" t="s">
        <v>11</v>
      </c>
      <c r="D2" s="1" t="s">
        <v>12</v>
      </c>
    </row>
    <row r="3">
      <c r="A3" s="1">
        <v>2003.0</v>
      </c>
      <c r="B3" s="8">
        <f t="shared" ref="B3:B24" si="1">D3/C3</f>
        <v>0.04328997339</v>
      </c>
      <c r="C3" s="2">
        <v>1.7899318E7</v>
      </c>
      <c r="D3" s="2">
        <v>774861.0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>
      <c r="A4" s="1">
        <v>2004.0</v>
      </c>
      <c r="B4" s="8">
        <f t="shared" si="1"/>
        <v>0.04329476217</v>
      </c>
      <c r="C4" s="2">
        <v>1.8537508E7</v>
      </c>
      <c r="D4" s="2">
        <v>802577.0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1">
        <v>2005.0</v>
      </c>
      <c r="B5" s="8">
        <f t="shared" si="1"/>
        <v>0.04410465052</v>
      </c>
      <c r="C5" s="2">
        <v>1.8929251E7</v>
      </c>
      <c r="D5" s="2">
        <v>834868.0</v>
      </c>
    </row>
    <row r="6">
      <c r="A6" s="1">
        <v>2006.0</v>
      </c>
      <c r="B6" s="8">
        <f t="shared" si="1"/>
        <v>0.04567462837</v>
      </c>
      <c r="C6" s="2">
        <v>1.9838804E7</v>
      </c>
      <c r="D6" s="2">
        <v>906130.0</v>
      </c>
    </row>
    <row r="7">
      <c r="A7" s="1">
        <v>2007.0</v>
      </c>
      <c r="B7" s="8">
        <f t="shared" si="1"/>
        <v>0.0465570956</v>
      </c>
      <c r="C7" s="2">
        <v>2.0251027E7</v>
      </c>
      <c r="D7" s="2">
        <v>942829.0</v>
      </c>
    </row>
    <row r="8">
      <c r="A8" s="1">
        <v>2008.0</v>
      </c>
      <c r="B8" s="8">
        <f t="shared" si="1"/>
        <v>0.04881865636</v>
      </c>
      <c r="C8" s="2">
        <v>2.0442062E7</v>
      </c>
      <c r="D8" s="2">
        <v>997954.0</v>
      </c>
    </row>
    <row r="9">
      <c r="A9" s="1">
        <v>2009.0</v>
      </c>
      <c r="B9" s="8">
        <f t="shared" si="1"/>
        <v>0.05218149051</v>
      </c>
      <c r="C9" s="2">
        <v>1.9155183E7</v>
      </c>
      <c r="D9" s="2">
        <v>999546.0</v>
      </c>
    </row>
    <row r="10">
      <c r="A10" s="1">
        <v>2010.0</v>
      </c>
      <c r="B10" s="8">
        <f t="shared" si="1"/>
        <v>0.05055344907</v>
      </c>
      <c r="C10" s="2">
        <v>2.0107451E7</v>
      </c>
      <c r="D10" s="2">
        <v>1016501.0</v>
      </c>
    </row>
    <row r="11">
      <c r="A11" s="1">
        <v>2011.0</v>
      </c>
      <c r="B11" s="8">
        <f t="shared" si="1"/>
        <v>0.05038297908</v>
      </c>
      <c r="C11" s="2">
        <v>2.0799961E7</v>
      </c>
      <c r="D11" s="2">
        <v>1047964.0</v>
      </c>
    </row>
    <row r="12">
      <c r="A12" s="1">
        <v>2012.0</v>
      </c>
      <c r="B12" s="8">
        <f t="shared" si="1"/>
        <v>0.05053789106</v>
      </c>
      <c r="C12" s="2">
        <v>2.1539027E7</v>
      </c>
      <c r="D12" s="2">
        <v>1088537.0</v>
      </c>
    </row>
    <row r="13">
      <c r="A13" s="1">
        <v>2013.0</v>
      </c>
      <c r="B13" s="8">
        <f t="shared" si="1"/>
        <v>0.0501085024</v>
      </c>
      <c r="C13" s="2">
        <v>2.1722561E7</v>
      </c>
      <c r="D13" s="2">
        <v>1088485.0</v>
      </c>
    </row>
    <row r="14">
      <c r="A14" s="1">
        <v>2014.0</v>
      </c>
      <c r="B14" s="8">
        <f t="shared" si="1"/>
        <v>0.04904901066</v>
      </c>
      <c r="C14" s="2">
        <v>2.2266443E7</v>
      </c>
      <c r="D14" s="2">
        <v>1092147.0</v>
      </c>
      <c r="I14" s="1" t="s">
        <v>25</v>
      </c>
      <c r="J14" s="21">
        <v>0.06</v>
      </c>
    </row>
    <row r="15">
      <c r="A15" s="1">
        <v>2015.0</v>
      </c>
      <c r="B15" s="8">
        <f t="shared" si="1"/>
        <v>0.04791864704</v>
      </c>
      <c r="C15" s="2">
        <v>2.2868154E7</v>
      </c>
      <c r="D15" s="2">
        <v>1095811.0</v>
      </c>
      <c r="I15" s="1" t="s">
        <v>26</v>
      </c>
      <c r="J15" s="21">
        <v>0.09</v>
      </c>
    </row>
    <row r="16">
      <c r="A16" s="1">
        <v>2016.0</v>
      </c>
      <c r="B16" s="8">
        <f t="shared" si="1"/>
        <v>0.04788392081</v>
      </c>
      <c r="C16" s="2">
        <v>2.3273491E7</v>
      </c>
      <c r="D16" s="2">
        <v>1114426.0</v>
      </c>
    </row>
    <row r="17">
      <c r="A17" s="1">
        <v>2017.0</v>
      </c>
      <c r="B17" s="8">
        <f t="shared" si="1"/>
        <v>0.04738360665</v>
      </c>
      <c r="C17" s="2">
        <v>2.3709107E7</v>
      </c>
      <c r="D17" s="2">
        <v>1123423.0</v>
      </c>
    </row>
    <row r="18">
      <c r="A18" s="1">
        <v>2018.0</v>
      </c>
      <c r="B18" s="8">
        <f t="shared" si="1"/>
        <v>0.04800698359</v>
      </c>
      <c r="C18" s="2">
        <v>2.417667E7</v>
      </c>
      <c r="D18" s="2">
        <v>1160649.0</v>
      </c>
    </row>
    <row r="19">
      <c r="A19" s="1">
        <v>2019.0</v>
      </c>
      <c r="B19" s="8">
        <f t="shared" si="1"/>
        <v>0.04858915665</v>
      </c>
      <c r="C19" s="2">
        <v>2.4081731E7</v>
      </c>
      <c r="D19" s="2">
        <v>1170111.0</v>
      </c>
    </row>
    <row r="20">
      <c r="A20" s="1">
        <v>2020.0</v>
      </c>
      <c r="B20" s="8">
        <f t="shared" si="1"/>
        <v>0.05277754556</v>
      </c>
      <c r="C20" s="2">
        <v>2.2069935E7</v>
      </c>
      <c r="D20" s="2">
        <v>1164797.0</v>
      </c>
    </row>
    <row r="21">
      <c r="A21" s="1">
        <v>2021.0</v>
      </c>
      <c r="B21" s="8">
        <f t="shared" si="1"/>
        <v>0.05228937564</v>
      </c>
      <c r="C21" s="2">
        <v>2.3404831E7</v>
      </c>
      <c r="D21" s="2">
        <v>1223824.0</v>
      </c>
    </row>
    <row r="22">
      <c r="A22" s="1">
        <v>2022.0</v>
      </c>
      <c r="B22" s="8">
        <f t="shared" si="1"/>
        <v>0.05168941593</v>
      </c>
      <c r="C22" s="2">
        <v>2.4273093E7</v>
      </c>
      <c r="D22" s="2">
        <v>1254662.0</v>
      </c>
    </row>
    <row r="23">
      <c r="A23" s="1" t="s">
        <v>29</v>
      </c>
      <c r="B23" s="8">
        <f t="shared" si="1"/>
        <v>0.05175966685</v>
      </c>
      <c r="C23" s="2">
        <v>2.5027209E7</v>
      </c>
      <c r="D23" s="2">
        <v>1295400.0</v>
      </c>
    </row>
    <row r="24">
      <c r="A24" s="1" t="s">
        <v>30</v>
      </c>
      <c r="B24" s="8">
        <f t="shared" si="1"/>
        <v>0.05191147359</v>
      </c>
      <c r="C24" s="2">
        <v>2.5365221E7</v>
      </c>
      <c r="D24" s="2">
        <v>1316746.0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 t="s">
        <v>7</v>
      </c>
    </row>
    <row r="3">
      <c r="A3" s="1" t="s">
        <v>10</v>
      </c>
      <c r="D3" s="6" t="s">
        <v>13</v>
      </c>
      <c r="E3" s="6" t="s">
        <v>14</v>
      </c>
      <c r="F3" s="6" t="s">
        <v>15</v>
      </c>
    </row>
    <row r="4">
      <c r="A4" s="7" t="s">
        <v>16</v>
      </c>
      <c r="B4" s="9">
        <v>2023.0</v>
      </c>
      <c r="C4" s="9" t="s">
        <v>18</v>
      </c>
      <c r="D4" s="10">
        <v>48.8</v>
      </c>
      <c r="E4" s="10">
        <v>46.7</v>
      </c>
      <c r="F4" s="11">
        <v>4.5</v>
      </c>
    </row>
    <row r="5">
      <c r="A5" s="12"/>
      <c r="B5" s="1">
        <v>2022.0</v>
      </c>
      <c r="D5" s="6">
        <v>47.7</v>
      </c>
      <c r="E5" s="6">
        <v>43.4</v>
      </c>
      <c r="F5" s="13">
        <v>8.9</v>
      </c>
    </row>
    <row r="6">
      <c r="A6" s="12"/>
      <c r="B6" s="1">
        <v>2023.0</v>
      </c>
      <c r="C6" s="1" t="s">
        <v>19</v>
      </c>
      <c r="D6" s="6">
        <v>46.3</v>
      </c>
      <c r="E6" s="6">
        <v>48.6</v>
      </c>
      <c r="F6" s="13">
        <v>5.1</v>
      </c>
    </row>
    <row r="7">
      <c r="A7" s="12"/>
      <c r="B7" s="1">
        <v>2022.0</v>
      </c>
      <c r="D7" s="6">
        <v>49.3</v>
      </c>
      <c r="E7" s="6">
        <v>41.3</v>
      </c>
      <c r="F7" s="13">
        <v>9.4</v>
      </c>
    </row>
    <row r="8">
      <c r="A8" s="12"/>
      <c r="B8" s="1">
        <v>2023.0</v>
      </c>
      <c r="C8" s="1" t="s">
        <v>20</v>
      </c>
      <c r="D8" s="6">
        <v>41.0</v>
      </c>
      <c r="E8" s="6">
        <v>55.0</v>
      </c>
      <c r="F8" s="13">
        <v>4.0</v>
      </c>
    </row>
    <row r="9">
      <c r="A9" s="14"/>
      <c r="B9" s="15">
        <v>2022.0</v>
      </c>
      <c r="C9" s="16"/>
      <c r="D9" s="17">
        <v>45.1</v>
      </c>
      <c r="E9" s="17">
        <v>48.0</v>
      </c>
      <c r="F9" s="18">
        <v>6.9</v>
      </c>
    </row>
    <row r="10">
      <c r="A10" s="7" t="s">
        <v>22</v>
      </c>
      <c r="B10" s="9">
        <v>2023.0</v>
      </c>
      <c r="C10" s="9" t="s">
        <v>18</v>
      </c>
      <c r="D10" s="10">
        <v>42.3</v>
      </c>
      <c r="E10" s="10">
        <v>52.1</v>
      </c>
      <c r="F10" s="11">
        <v>5.6</v>
      </c>
    </row>
    <row r="11">
      <c r="A11" s="12"/>
      <c r="B11" s="1">
        <v>2022.0</v>
      </c>
      <c r="D11" s="6">
        <v>42.5</v>
      </c>
      <c r="E11" s="6">
        <v>47.0</v>
      </c>
      <c r="F11" s="13">
        <v>10.5</v>
      </c>
    </row>
    <row r="12">
      <c r="A12" s="12"/>
      <c r="B12" s="1">
        <v>2023.0</v>
      </c>
      <c r="C12" s="1" t="s">
        <v>19</v>
      </c>
      <c r="D12" s="6">
        <v>30.8</v>
      </c>
      <c r="E12" s="6">
        <v>58.9</v>
      </c>
      <c r="F12" s="13">
        <v>10.3</v>
      </c>
    </row>
    <row r="13">
      <c r="A13" s="12"/>
      <c r="B13" s="1">
        <v>2022.0</v>
      </c>
      <c r="D13" s="6">
        <v>30.0</v>
      </c>
      <c r="E13" s="6">
        <v>56.4</v>
      </c>
      <c r="F13" s="13">
        <v>13.6</v>
      </c>
    </row>
    <row r="14">
      <c r="A14" s="12"/>
      <c r="B14" s="1">
        <v>2023.0</v>
      </c>
      <c r="C14" s="1" t="s">
        <v>20</v>
      </c>
      <c r="D14" s="6">
        <v>36.3</v>
      </c>
      <c r="E14" s="6">
        <v>59.5</v>
      </c>
      <c r="F14" s="13">
        <v>4.2</v>
      </c>
    </row>
    <row r="15">
      <c r="A15" s="14"/>
      <c r="B15" s="15">
        <v>2022.0</v>
      </c>
      <c r="C15" s="16"/>
      <c r="D15" s="17">
        <v>38.2</v>
      </c>
      <c r="E15" s="17">
        <v>52.3</v>
      </c>
      <c r="F15" s="18">
        <v>9.5</v>
      </c>
    </row>
    <row r="16">
      <c r="A16" s="7" t="s">
        <v>23</v>
      </c>
      <c r="B16" s="9">
        <v>2023.0</v>
      </c>
      <c r="C16" s="9" t="s">
        <v>18</v>
      </c>
      <c r="D16" s="10">
        <v>55.6</v>
      </c>
      <c r="E16" s="10">
        <v>44.4</v>
      </c>
      <c r="F16" s="19"/>
    </row>
    <row r="17">
      <c r="A17" s="12"/>
      <c r="B17" s="1">
        <v>2022.0</v>
      </c>
      <c r="D17" s="6">
        <v>44.4</v>
      </c>
      <c r="E17" s="6">
        <v>55.6</v>
      </c>
      <c r="F17" s="20"/>
    </row>
    <row r="18">
      <c r="A18" s="12"/>
      <c r="B18" s="1">
        <v>2023.0</v>
      </c>
      <c r="C18" s="1" t="s">
        <v>19</v>
      </c>
      <c r="D18" s="6">
        <v>44.4</v>
      </c>
      <c r="E18" s="6">
        <v>55.6</v>
      </c>
      <c r="F18" s="20"/>
    </row>
    <row r="19">
      <c r="A19" s="12"/>
      <c r="B19" s="1">
        <v>2022.0</v>
      </c>
      <c r="D19" s="6">
        <v>48.1</v>
      </c>
      <c r="E19" s="6">
        <v>51.9</v>
      </c>
      <c r="F19" s="20"/>
    </row>
    <row r="20">
      <c r="A20" s="12"/>
      <c r="B20" s="1">
        <v>2023.0</v>
      </c>
      <c r="C20" s="1" t="s">
        <v>20</v>
      </c>
      <c r="D20" s="6">
        <v>44.4</v>
      </c>
      <c r="E20" s="6">
        <v>48.1</v>
      </c>
      <c r="F20" s="13">
        <v>7.4</v>
      </c>
    </row>
    <row r="21">
      <c r="A21" s="14"/>
      <c r="B21" s="15">
        <v>2022.0</v>
      </c>
      <c r="C21" s="16"/>
      <c r="D21" s="17">
        <v>33.3</v>
      </c>
      <c r="E21" s="17">
        <v>66.7</v>
      </c>
      <c r="F21" s="22"/>
    </row>
    <row r="23">
      <c r="A23" s="1" t="s">
        <v>27</v>
      </c>
    </row>
  </sheetData>
  <mergeCells count="12">
    <mergeCell ref="A10:A15"/>
    <mergeCell ref="A16:A21"/>
    <mergeCell ref="C16:C17"/>
    <mergeCell ref="C18:C19"/>
    <mergeCell ref="C20:C21"/>
    <mergeCell ref="A4:A9"/>
    <mergeCell ref="C4:C5"/>
    <mergeCell ref="C6:C7"/>
    <mergeCell ref="C8:C9"/>
    <mergeCell ref="C10:C11"/>
    <mergeCell ref="C12:C13"/>
    <mergeCell ref="C14:C1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C1" s="1">
        <v>2016.0</v>
      </c>
      <c r="D1" s="1">
        <v>2017.0</v>
      </c>
      <c r="E1" s="1">
        <v>2018.0</v>
      </c>
      <c r="F1" s="1">
        <v>2019.0</v>
      </c>
      <c r="G1" s="1">
        <v>2020.0</v>
      </c>
      <c r="H1" s="1">
        <v>2021.0</v>
      </c>
      <c r="I1" s="1">
        <v>2022.0</v>
      </c>
      <c r="J1" s="1">
        <v>2023.0</v>
      </c>
      <c r="K1" s="1">
        <v>2024.0</v>
      </c>
      <c r="L1" s="1">
        <v>2025.0</v>
      </c>
    </row>
    <row r="2">
      <c r="A2" s="1"/>
      <c r="B2" s="1" t="s">
        <v>0</v>
      </c>
      <c r="C2" s="2">
        <v>24638.0</v>
      </c>
      <c r="D2" s="2">
        <v>24924.0</v>
      </c>
      <c r="E2" s="2">
        <v>25292.0</v>
      </c>
      <c r="F2" s="2">
        <v>25577.0</v>
      </c>
      <c r="G2" s="2">
        <v>26669.0</v>
      </c>
      <c r="H2" s="2">
        <v>27053.0</v>
      </c>
      <c r="I2" s="2">
        <v>27876.0</v>
      </c>
      <c r="J2" s="2">
        <v>28317.0</v>
      </c>
      <c r="K2" s="2">
        <v>28951.0</v>
      </c>
      <c r="L2" s="2">
        <v>32026.0</v>
      </c>
    </row>
    <row r="3">
      <c r="A3" s="1"/>
      <c r="B3" s="1" t="s">
        <v>1</v>
      </c>
      <c r="C3" s="1">
        <v>107.0</v>
      </c>
      <c r="D3" s="1">
        <v>109.0</v>
      </c>
      <c r="E3" s="1">
        <v>113.0</v>
      </c>
      <c r="F3" s="1">
        <v>113.0</v>
      </c>
      <c r="G3" s="1">
        <v>117.0</v>
      </c>
      <c r="H3" s="1">
        <v>115.0</v>
      </c>
      <c r="I3" s="1">
        <v>118.0</v>
      </c>
      <c r="J3" s="1">
        <v>120.0</v>
      </c>
      <c r="K3" s="1">
        <v>125.0</v>
      </c>
      <c r="L3" s="1">
        <v>129.0</v>
      </c>
    </row>
    <row r="4" hidden="1">
      <c r="A4" s="3" t="str">
        <f>B3</f>
        <v>Alergia e Inmunología (Laboratorio)</v>
      </c>
      <c r="B4" s="3" t="s">
        <v>2</v>
      </c>
      <c r="C4" s="4">
        <f t="shared" ref="C4:L4" si="1">(C3/C$2)*1000</f>
        <v>4.342884974</v>
      </c>
      <c r="D4" s="4">
        <f t="shared" si="1"/>
        <v>4.373294816</v>
      </c>
      <c r="E4" s="4">
        <f t="shared" si="1"/>
        <v>4.46781591</v>
      </c>
      <c r="F4" s="4">
        <f t="shared" si="1"/>
        <v>4.418031825</v>
      </c>
      <c r="G4" s="4">
        <f t="shared" si="1"/>
        <v>4.387116127</v>
      </c>
      <c r="H4" s="4">
        <f t="shared" si="1"/>
        <v>4.250914871</v>
      </c>
      <c r="I4" s="4">
        <f t="shared" si="1"/>
        <v>4.233031999</v>
      </c>
      <c r="J4" s="4">
        <f t="shared" si="1"/>
        <v>4.237737048</v>
      </c>
      <c r="K4" s="4">
        <f t="shared" si="1"/>
        <v>4.317640151</v>
      </c>
      <c r="L4" s="4">
        <f t="shared" si="1"/>
        <v>4.027977268</v>
      </c>
      <c r="M4" s="3" t="s">
        <v>1</v>
      </c>
    </row>
    <row r="5">
      <c r="A5" s="1"/>
      <c r="B5" s="1" t="s">
        <v>5</v>
      </c>
      <c r="C5" s="1"/>
      <c r="D5" s="1"/>
      <c r="E5" s="1"/>
      <c r="F5" s="1"/>
      <c r="G5" s="1"/>
      <c r="H5" s="1"/>
      <c r="I5" s="1">
        <v>1.0</v>
      </c>
      <c r="J5" s="1">
        <v>2.0</v>
      </c>
      <c r="K5" s="1">
        <v>4.0</v>
      </c>
      <c r="L5" s="1">
        <v>10.0</v>
      </c>
    </row>
    <row r="6" hidden="1">
      <c r="A6" s="3" t="str">
        <f>B5</f>
        <v>Alergia e Inmunología Clínica Pediátrica</v>
      </c>
      <c r="B6" s="3" t="s">
        <v>2</v>
      </c>
      <c r="C6" s="4">
        <f t="shared" ref="C6:L6" si="2">(C5/C$2)*1000</f>
        <v>0</v>
      </c>
      <c r="D6" s="4">
        <f t="shared" si="2"/>
        <v>0</v>
      </c>
      <c r="E6" s="4">
        <f t="shared" si="2"/>
        <v>0</v>
      </c>
      <c r="F6" s="4">
        <f t="shared" si="2"/>
        <v>0</v>
      </c>
      <c r="G6" s="4">
        <f t="shared" si="2"/>
        <v>0</v>
      </c>
      <c r="H6" s="4">
        <f t="shared" si="2"/>
        <v>0</v>
      </c>
      <c r="I6" s="4">
        <f t="shared" si="2"/>
        <v>0.03587315253</v>
      </c>
      <c r="J6" s="4">
        <f t="shared" si="2"/>
        <v>0.07062895081</v>
      </c>
      <c r="K6" s="4">
        <f t="shared" si="2"/>
        <v>0.1381644848</v>
      </c>
      <c r="L6" s="4">
        <f t="shared" si="2"/>
        <v>0.3122462999</v>
      </c>
      <c r="M6" s="3" t="s">
        <v>5</v>
      </c>
    </row>
    <row r="7">
      <c r="A7" s="1"/>
      <c r="B7" s="1" t="s">
        <v>24</v>
      </c>
      <c r="C7" s="1">
        <v>169.0</v>
      </c>
      <c r="D7" s="1">
        <v>179.0</v>
      </c>
      <c r="E7" s="1">
        <v>176.0</v>
      </c>
      <c r="F7" s="1">
        <v>176.0</v>
      </c>
      <c r="G7" s="1">
        <v>183.0</v>
      </c>
      <c r="H7" s="1">
        <v>194.0</v>
      </c>
      <c r="I7" s="1">
        <v>196.0</v>
      </c>
      <c r="J7" s="1">
        <v>196.0</v>
      </c>
      <c r="K7" s="1">
        <v>202.0</v>
      </c>
      <c r="L7" s="1">
        <v>211.0</v>
      </c>
    </row>
    <row r="8" hidden="1">
      <c r="A8" s="3" t="str">
        <f>B7</f>
        <v>Angiología</v>
      </c>
      <c r="B8" s="3" t="s">
        <v>2</v>
      </c>
      <c r="C8" s="4">
        <f t="shared" ref="C8:L8" si="3">(C7/C$2)*1000</f>
        <v>6.859322997</v>
      </c>
      <c r="D8" s="4">
        <f t="shared" si="3"/>
        <v>7.181832772</v>
      </c>
      <c r="E8" s="4">
        <f t="shared" si="3"/>
        <v>6.958722126</v>
      </c>
      <c r="F8" s="4">
        <f t="shared" si="3"/>
        <v>6.881182312</v>
      </c>
      <c r="G8" s="4">
        <f t="shared" si="3"/>
        <v>6.861899584</v>
      </c>
      <c r="H8" s="4">
        <f t="shared" si="3"/>
        <v>7.171108565</v>
      </c>
      <c r="I8" s="4">
        <f t="shared" si="3"/>
        <v>7.031137896</v>
      </c>
      <c r="J8" s="4">
        <f t="shared" si="3"/>
        <v>6.921637179</v>
      </c>
      <c r="K8" s="4">
        <f t="shared" si="3"/>
        <v>6.977306483</v>
      </c>
      <c r="L8" s="4">
        <f t="shared" si="3"/>
        <v>6.588396927</v>
      </c>
      <c r="M8" s="3" t="s">
        <v>24</v>
      </c>
    </row>
    <row r="9">
      <c r="A9" s="1"/>
      <c r="B9" s="1" t="s">
        <v>28</v>
      </c>
      <c r="C9" s="1">
        <v>100.0</v>
      </c>
      <c r="D9" s="1">
        <v>104.0</v>
      </c>
      <c r="E9" s="1">
        <v>112.0</v>
      </c>
      <c r="F9" s="1">
        <v>109.0</v>
      </c>
      <c r="G9" s="1">
        <v>117.0</v>
      </c>
      <c r="H9" s="1">
        <v>120.0</v>
      </c>
      <c r="I9" s="1">
        <v>128.0</v>
      </c>
      <c r="J9" s="1">
        <v>129.0</v>
      </c>
      <c r="K9" s="1">
        <v>130.0</v>
      </c>
      <c r="L9" s="1">
        <v>138.0</v>
      </c>
    </row>
    <row r="10" hidden="1">
      <c r="A10" s="3" t="str">
        <f>B9</f>
        <v>Audiología</v>
      </c>
      <c r="B10" s="3" t="s">
        <v>2</v>
      </c>
      <c r="C10" s="23">
        <f t="shared" ref="C10:L10" si="4">(C9/C$2)*1000</f>
        <v>4.058771004</v>
      </c>
      <c r="D10" s="23">
        <f t="shared" si="4"/>
        <v>4.172684962</v>
      </c>
      <c r="E10" s="23">
        <f t="shared" si="4"/>
        <v>4.428277716</v>
      </c>
      <c r="F10" s="23">
        <f t="shared" si="4"/>
        <v>4.261641318</v>
      </c>
      <c r="G10" s="23">
        <f t="shared" si="4"/>
        <v>4.387116127</v>
      </c>
      <c r="H10" s="23">
        <f t="shared" si="4"/>
        <v>4.435737256</v>
      </c>
      <c r="I10" s="23">
        <f t="shared" si="4"/>
        <v>4.591763524</v>
      </c>
      <c r="J10" s="23">
        <f t="shared" si="4"/>
        <v>4.555567327</v>
      </c>
      <c r="K10" s="23">
        <f t="shared" si="4"/>
        <v>4.490345757</v>
      </c>
      <c r="L10" s="23">
        <f t="shared" si="4"/>
        <v>4.308998938</v>
      </c>
      <c r="M10" s="3" t="s">
        <v>28</v>
      </c>
    </row>
    <row r="11">
      <c r="A11" s="1"/>
      <c r="B11" s="1" t="s">
        <v>31</v>
      </c>
      <c r="C11" s="24"/>
      <c r="D11" s="24"/>
      <c r="E11" s="24"/>
      <c r="F11" s="24"/>
      <c r="G11" s="24"/>
      <c r="H11" s="24"/>
      <c r="I11" s="25">
        <v>12.0</v>
      </c>
      <c r="J11" s="25">
        <v>17.0</v>
      </c>
      <c r="K11" s="25">
        <v>25.0</v>
      </c>
      <c r="L11" s="25">
        <v>32.0</v>
      </c>
    </row>
    <row r="12" hidden="1">
      <c r="A12" s="3" t="str">
        <f>B11</f>
        <v>Calidad de la Atención Clínica</v>
      </c>
      <c r="B12" s="3" t="s">
        <v>2</v>
      </c>
      <c r="C12" s="4">
        <f t="shared" ref="C12:L12" si="5">(C11/C$2)*1000</f>
        <v>0</v>
      </c>
      <c r="D12" s="4">
        <f t="shared" si="5"/>
        <v>0</v>
      </c>
      <c r="E12" s="4">
        <f t="shared" si="5"/>
        <v>0</v>
      </c>
      <c r="F12" s="4">
        <f t="shared" si="5"/>
        <v>0</v>
      </c>
      <c r="G12" s="4">
        <f t="shared" si="5"/>
        <v>0</v>
      </c>
      <c r="H12" s="4">
        <f t="shared" si="5"/>
        <v>0</v>
      </c>
      <c r="I12" s="4">
        <f t="shared" si="5"/>
        <v>0.4304778304</v>
      </c>
      <c r="J12" s="4">
        <f t="shared" si="5"/>
        <v>0.6003460819</v>
      </c>
      <c r="K12" s="4">
        <f t="shared" si="5"/>
        <v>0.8635280301</v>
      </c>
      <c r="L12" s="4">
        <f t="shared" si="5"/>
        <v>0.9991881596</v>
      </c>
      <c r="M12" s="3" t="s">
        <v>31</v>
      </c>
    </row>
    <row r="13">
      <c r="A13" s="1"/>
      <c r="B13" s="1" t="s">
        <v>32</v>
      </c>
      <c r="C13" s="1">
        <v>675.0</v>
      </c>
      <c r="D13" s="1">
        <v>656.0</v>
      </c>
      <c r="E13" s="1">
        <v>667.0</v>
      </c>
      <c r="F13" s="1">
        <v>655.0</v>
      </c>
      <c r="G13" s="1">
        <v>685.0</v>
      </c>
      <c r="H13" s="1">
        <v>701.0</v>
      </c>
      <c r="I13" s="1">
        <v>702.0</v>
      </c>
      <c r="J13" s="1">
        <v>717.0</v>
      </c>
      <c r="K13" s="1">
        <v>714.0</v>
      </c>
      <c r="L13" s="1">
        <v>724.0</v>
      </c>
    </row>
    <row r="14" hidden="1">
      <c r="A14" s="3" t="str">
        <f>B13</f>
        <v>Cardiología</v>
      </c>
      <c r="B14" s="3" t="s">
        <v>2</v>
      </c>
      <c r="C14" s="4">
        <f t="shared" ref="C14:L14" si="6">(C13/C$2)*1000</f>
        <v>27.39670428</v>
      </c>
      <c r="D14" s="4">
        <f t="shared" si="6"/>
        <v>26.32001284</v>
      </c>
      <c r="E14" s="4">
        <f t="shared" si="6"/>
        <v>26.37197533</v>
      </c>
      <c r="F14" s="4">
        <f t="shared" si="6"/>
        <v>25.60894554</v>
      </c>
      <c r="G14" s="4">
        <f t="shared" si="6"/>
        <v>25.68525254</v>
      </c>
      <c r="H14" s="4">
        <f t="shared" si="6"/>
        <v>25.91209847</v>
      </c>
      <c r="I14" s="4">
        <f t="shared" si="6"/>
        <v>25.18295308</v>
      </c>
      <c r="J14" s="4">
        <f t="shared" si="6"/>
        <v>25.32047886</v>
      </c>
      <c r="K14" s="4">
        <f t="shared" si="6"/>
        <v>24.66236054</v>
      </c>
      <c r="L14" s="4">
        <f t="shared" si="6"/>
        <v>22.60663211</v>
      </c>
      <c r="M14" s="3" t="s">
        <v>32</v>
      </c>
    </row>
    <row r="15">
      <c r="A15" s="1"/>
      <c r="B15" s="1" t="s">
        <v>33</v>
      </c>
      <c r="C15" s="1">
        <v>22.0</v>
      </c>
      <c r="D15" s="1">
        <v>31.0</v>
      </c>
      <c r="E15" s="1">
        <v>42.0</v>
      </c>
      <c r="F15" s="1">
        <v>43.0</v>
      </c>
      <c r="G15" s="1">
        <v>56.0</v>
      </c>
      <c r="H15" s="1">
        <v>61.0</v>
      </c>
      <c r="I15" s="1">
        <v>69.0</v>
      </c>
      <c r="J15" s="1">
        <v>73.0</v>
      </c>
      <c r="K15" s="1">
        <v>86.0</v>
      </c>
      <c r="L15" s="1">
        <v>105.0</v>
      </c>
    </row>
    <row r="16" hidden="1">
      <c r="A16" s="3" t="str">
        <f>B15</f>
        <v>Cardiología Pediátrica</v>
      </c>
      <c r="B16" s="3" t="s">
        <v>2</v>
      </c>
      <c r="C16" s="4">
        <f t="shared" ref="C16:L16" si="7">(C15/C$2)*1000</f>
        <v>0.8929296209</v>
      </c>
      <c r="D16" s="4">
        <f t="shared" si="7"/>
        <v>1.243781095</v>
      </c>
      <c r="E16" s="4">
        <f t="shared" si="7"/>
        <v>1.660604144</v>
      </c>
      <c r="F16" s="4">
        <f t="shared" si="7"/>
        <v>1.681197951</v>
      </c>
      <c r="G16" s="4">
        <f t="shared" si="7"/>
        <v>2.099816266</v>
      </c>
      <c r="H16" s="4">
        <f t="shared" si="7"/>
        <v>2.254833105</v>
      </c>
      <c r="I16" s="4">
        <f t="shared" si="7"/>
        <v>2.475247525</v>
      </c>
      <c r="J16" s="4">
        <f t="shared" si="7"/>
        <v>2.577956704</v>
      </c>
      <c r="K16" s="4">
        <f t="shared" si="7"/>
        <v>2.970536424</v>
      </c>
      <c r="L16" s="4">
        <f t="shared" si="7"/>
        <v>3.278586149</v>
      </c>
      <c r="M16" s="3" t="s">
        <v>33</v>
      </c>
    </row>
    <row r="17">
      <c r="A17" s="1"/>
      <c r="B17" s="1" t="s">
        <v>34</v>
      </c>
      <c r="C17" s="1">
        <v>101.0</v>
      </c>
      <c r="D17" s="1">
        <v>106.0</v>
      </c>
      <c r="E17" s="1">
        <v>106.0</v>
      </c>
      <c r="F17" s="1">
        <v>112.0</v>
      </c>
      <c r="G17" s="1">
        <v>120.0</v>
      </c>
      <c r="H17" s="1">
        <v>120.0</v>
      </c>
      <c r="I17" s="1">
        <v>125.0</v>
      </c>
      <c r="J17" s="1">
        <v>133.0</v>
      </c>
      <c r="K17" s="1">
        <v>125.0</v>
      </c>
      <c r="L17" s="1">
        <v>136.0</v>
      </c>
    </row>
    <row r="18" hidden="1">
      <c r="A18" s="3" t="str">
        <f>B17</f>
        <v>Cirugía Cardiovascular Torácica</v>
      </c>
      <c r="B18" s="3" t="s">
        <v>2</v>
      </c>
      <c r="C18" s="23">
        <f t="shared" ref="C18:L18" si="8">(C17/C$2)*1000</f>
        <v>4.099358714</v>
      </c>
      <c r="D18" s="23">
        <f t="shared" si="8"/>
        <v>4.252928904</v>
      </c>
      <c r="E18" s="23">
        <f t="shared" si="8"/>
        <v>4.191048553</v>
      </c>
      <c r="F18" s="23">
        <f t="shared" si="8"/>
        <v>4.378934199</v>
      </c>
      <c r="G18" s="23">
        <f t="shared" si="8"/>
        <v>4.499606284</v>
      </c>
      <c r="H18" s="23">
        <f t="shared" si="8"/>
        <v>4.435737256</v>
      </c>
      <c r="I18" s="23">
        <f t="shared" si="8"/>
        <v>4.484144067</v>
      </c>
      <c r="J18" s="23">
        <f t="shared" si="8"/>
        <v>4.696825229</v>
      </c>
      <c r="K18" s="23">
        <f t="shared" si="8"/>
        <v>4.317640151</v>
      </c>
      <c r="L18" s="23">
        <f t="shared" si="8"/>
        <v>4.246549678</v>
      </c>
      <c r="M18" s="3" t="s">
        <v>34</v>
      </c>
    </row>
    <row r="19">
      <c r="A19" s="1"/>
      <c r="B19" s="1" t="s">
        <v>35</v>
      </c>
      <c r="C19" s="2">
        <v>2529.0</v>
      </c>
      <c r="D19" s="2">
        <v>2537.0</v>
      </c>
      <c r="E19" s="2">
        <v>2569.0</v>
      </c>
      <c r="F19" s="2">
        <v>2607.0</v>
      </c>
      <c r="G19" s="2">
        <v>2666.0</v>
      </c>
      <c r="H19" s="2">
        <v>2665.0</v>
      </c>
      <c r="I19" s="2">
        <v>2709.0</v>
      </c>
      <c r="J19" s="2">
        <v>2712.0</v>
      </c>
      <c r="K19" s="2">
        <v>2748.0</v>
      </c>
      <c r="L19" s="2">
        <v>3427.0</v>
      </c>
    </row>
    <row r="20" hidden="1">
      <c r="A20" s="3" t="str">
        <f>B19</f>
        <v>Cirugía General</v>
      </c>
      <c r="B20" s="3" t="s">
        <v>2</v>
      </c>
      <c r="C20" s="4">
        <f t="shared" ref="C20:L20" si="9">(C19/C$2)*1000</f>
        <v>102.6463187</v>
      </c>
      <c r="D20" s="4">
        <f t="shared" si="9"/>
        <v>101.7894399</v>
      </c>
      <c r="E20" s="4">
        <f t="shared" si="9"/>
        <v>101.5736201</v>
      </c>
      <c r="F20" s="4">
        <f t="shared" si="9"/>
        <v>101.927513</v>
      </c>
      <c r="G20" s="4">
        <f t="shared" si="9"/>
        <v>99.96625295</v>
      </c>
      <c r="H20" s="4">
        <f t="shared" si="9"/>
        <v>98.51033157</v>
      </c>
      <c r="I20" s="4">
        <f t="shared" si="9"/>
        <v>97.18037021</v>
      </c>
      <c r="J20" s="4">
        <f t="shared" si="9"/>
        <v>95.77285729</v>
      </c>
      <c r="K20" s="4">
        <f t="shared" si="9"/>
        <v>94.91900107</v>
      </c>
      <c r="L20" s="4">
        <f t="shared" si="9"/>
        <v>107.006807</v>
      </c>
      <c r="M20" s="3" t="s">
        <v>35</v>
      </c>
    </row>
    <row r="21">
      <c r="A21" s="1"/>
      <c r="B21" s="1" t="s">
        <v>36</v>
      </c>
      <c r="C21" s="1">
        <v>9.0</v>
      </c>
      <c r="D21" s="1">
        <v>8.0</v>
      </c>
      <c r="E21" s="1">
        <v>7.0</v>
      </c>
      <c r="F21" s="1">
        <v>7.0</v>
      </c>
      <c r="G21" s="1">
        <v>6.0</v>
      </c>
      <c r="H21" s="1">
        <v>5.0</v>
      </c>
      <c r="I21" s="1">
        <v>5.0</v>
      </c>
      <c r="J21" s="1">
        <v>4.0</v>
      </c>
      <c r="K21" s="1">
        <v>3.0</v>
      </c>
      <c r="L21" s="1">
        <v>2.0</v>
      </c>
    </row>
    <row r="22" hidden="1">
      <c r="A22" s="3" t="str">
        <f>B21</f>
        <v>Cirugía Maxilofacial</v>
      </c>
      <c r="B22" s="3" t="s">
        <v>2</v>
      </c>
      <c r="C22" s="4">
        <f t="shared" ref="C22:L22" si="10">(C21/C$2)*1000</f>
        <v>0.3652893904</v>
      </c>
      <c r="D22" s="4">
        <f t="shared" si="10"/>
        <v>0.3209757663</v>
      </c>
      <c r="E22" s="4">
        <f t="shared" si="10"/>
        <v>0.2767673573</v>
      </c>
      <c r="F22" s="4">
        <f t="shared" si="10"/>
        <v>0.2736833874</v>
      </c>
      <c r="G22" s="4">
        <f t="shared" si="10"/>
        <v>0.2249803142</v>
      </c>
      <c r="H22" s="4">
        <f t="shared" si="10"/>
        <v>0.1848223857</v>
      </c>
      <c r="I22" s="4">
        <f t="shared" si="10"/>
        <v>0.1793657627</v>
      </c>
      <c r="J22" s="4">
        <f t="shared" si="10"/>
        <v>0.1412579016</v>
      </c>
      <c r="K22" s="4">
        <f t="shared" si="10"/>
        <v>0.1036233636</v>
      </c>
      <c r="L22" s="4">
        <f t="shared" si="10"/>
        <v>0.06244925998</v>
      </c>
      <c r="M22" s="3" t="s">
        <v>36</v>
      </c>
    </row>
    <row r="23">
      <c r="A23" s="1"/>
      <c r="B23" s="1" t="s">
        <v>37</v>
      </c>
      <c r="C23" s="1">
        <v>266.0</v>
      </c>
      <c r="D23" s="1">
        <v>263.0</v>
      </c>
      <c r="E23" s="1">
        <v>275.0</v>
      </c>
      <c r="F23" s="1">
        <v>289.0</v>
      </c>
      <c r="G23" s="1">
        <v>315.0</v>
      </c>
      <c r="H23" s="1">
        <v>325.0</v>
      </c>
      <c r="I23" s="1">
        <v>332.0</v>
      </c>
      <c r="J23" s="1">
        <v>334.0</v>
      </c>
      <c r="K23" s="1">
        <v>375.0</v>
      </c>
      <c r="L23" s="1">
        <v>406.0</v>
      </c>
    </row>
    <row r="24" hidden="1">
      <c r="A24" s="3" t="str">
        <f>B23</f>
        <v>Cirugía Pediátrica</v>
      </c>
      <c r="B24" s="3" t="s">
        <v>2</v>
      </c>
      <c r="C24" s="4">
        <f t="shared" ref="C24:L24" si="11">(C23/C$2)*1000</f>
        <v>10.79633087</v>
      </c>
      <c r="D24" s="4">
        <f t="shared" si="11"/>
        <v>10.55207832</v>
      </c>
      <c r="E24" s="4">
        <f t="shared" si="11"/>
        <v>10.87300332</v>
      </c>
      <c r="F24" s="4">
        <f t="shared" si="11"/>
        <v>11.29921414</v>
      </c>
      <c r="G24" s="4">
        <f t="shared" si="11"/>
        <v>11.8114665</v>
      </c>
      <c r="H24" s="4">
        <f t="shared" si="11"/>
        <v>12.01345507</v>
      </c>
      <c r="I24" s="4">
        <f t="shared" si="11"/>
        <v>11.90988664</v>
      </c>
      <c r="J24" s="4">
        <f t="shared" si="11"/>
        <v>11.79503478</v>
      </c>
      <c r="K24" s="4">
        <f t="shared" si="11"/>
        <v>12.95292045</v>
      </c>
      <c r="L24" s="4">
        <f t="shared" si="11"/>
        <v>12.67719978</v>
      </c>
      <c r="M24" s="3" t="s">
        <v>37</v>
      </c>
    </row>
    <row r="25">
      <c r="A25" s="1"/>
      <c r="B25" s="1" t="s">
        <v>50</v>
      </c>
      <c r="C25" s="1">
        <v>241.0</v>
      </c>
      <c r="D25" s="1">
        <v>229.0</v>
      </c>
      <c r="E25" s="1">
        <v>223.0</v>
      </c>
      <c r="F25" s="1">
        <v>218.0</v>
      </c>
      <c r="G25" s="1">
        <v>220.0</v>
      </c>
      <c r="H25" s="1">
        <v>228.0</v>
      </c>
      <c r="I25" s="1">
        <v>205.0</v>
      </c>
      <c r="J25" s="1">
        <v>199.0</v>
      </c>
      <c r="K25" s="1">
        <v>192.0</v>
      </c>
      <c r="L25" s="1">
        <v>207.0</v>
      </c>
    </row>
    <row r="26" hidden="1">
      <c r="A26" s="3" t="str">
        <f>B25</f>
        <v>Cirugía Plástica y Reconstructiva</v>
      </c>
      <c r="B26" s="3" t="s">
        <v>2</v>
      </c>
      <c r="C26" s="23">
        <f t="shared" ref="C26:L26" si="12">(C25/C$2)*1000</f>
        <v>9.78163812</v>
      </c>
      <c r="D26" s="23">
        <f t="shared" si="12"/>
        <v>9.187931311</v>
      </c>
      <c r="E26" s="23">
        <f t="shared" si="12"/>
        <v>8.817017239</v>
      </c>
      <c r="F26" s="23">
        <f t="shared" si="12"/>
        <v>8.523282637</v>
      </c>
      <c r="G26" s="23">
        <f t="shared" si="12"/>
        <v>8.249278188</v>
      </c>
      <c r="H26" s="23">
        <f t="shared" si="12"/>
        <v>8.427900787</v>
      </c>
      <c r="I26" s="23">
        <f t="shared" si="12"/>
        <v>7.353996269</v>
      </c>
      <c r="J26" s="23">
        <f t="shared" si="12"/>
        <v>7.027580605</v>
      </c>
      <c r="K26" s="23">
        <f t="shared" si="12"/>
        <v>6.631895271</v>
      </c>
      <c r="L26" s="23">
        <f t="shared" si="12"/>
        <v>6.463498408</v>
      </c>
      <c r="M26" s="3" t="s">
        <v>50</v>
      </c>
    </row>
    <row r="27">
      <c r="A27" s="1"/>
      <c r="B27" s="1" t="s">
        <v>111</v>
      </c>
      <c r="C27" s="1">
        <v>190.0</v>
      </c>
      <c r="D27" s="1">
        <v>189.0</v>
      </c>
      <c r="E27" s="1">
        <v>186.0</v>
      </c>
      <c r="F27" s="1">
        <v>175.0</v>
      </c>
      <c r="G27" s="1">
        <v>174.0</v>
      </c>
      <c r="H27" s="1">
        <v>173.0</v>
      </c>
      <c r="I27" s="1">
        <v>166.0</v>
      </c>
      <c r="J27" s="1">
        <v>160.0</v>
      </c>
      <c r="K27" s="1">
        <v>151.0</v>
      </c>
      <c r="L27" s="1">
        <v>140.0</v>
      </c>
    </row>
    <row r="28" hidden="1">
      <c r="A28" s="3" t="str">
        <f>B27</f>
        <v>Dermatología</v>
      </c>
      <c r="B28" s="3" t="s">
        <v>2</v>
      </c>
      <c r="C28" s="4">
        <f t="shared" ref="C28:L28" si="13">(C27/C$2)*1000</f>
        <v>7.711664908</v>
      </c>
      <c r="D28" s="4">
        <f t="shared" si="13"/>
        <v>7.58305248</v>
      </c>
      <c r="E28" s="4">
        <f t="shared" si="13"/>
        <v>7.354104065</v>
      </c>
      <c r="F28" s="4">
        <f t="shared" si="13"/>
        <v>6.842084685</v>
      </c>
      <c r="G28" s="4">
        <f t="shared" si="13"/>
        <v>6.524429112</v>
      </c>
      <c r="H28" s="4">
        <f t="shared" si="13"/>
        <v>6.394854545</v>
      </c>
      <c r="I28" s="4">
        <f t="shared" si="13"/>
        <v>5.95494332</v>
      </c>
      <c r="J28" s="4">
        <f t="shared" si="13"/>
        <v>5.650316065</v>
      </c>
      <c r="K28" s="4">
        <f t="shared" si="13"/>
        <v>5.215709302</v>
      </c>
      <c r="L28" s="4">
        <f t="shared" si="13"/>
        <v>4.371448198</v>
      </c>
      <c r="M28" s="3" t="s">
        <v>111</v>
      </c>
    </row>
    <row r="29">
      <c r="A29" s="1"/>
      <c r="B29" s="1" t="s">
        <v>255</v>
      </c>
      <c r="C29" s="1">
        <v>148.0</v>
      </c>
      <c r="D29" s="1">
        <v>149.0</v>
      </c>
      <c r="E29" s="1">
        <v>149.0</v>
      </c>
      <c r="F29" s="1">
        <v>152.0</v>
      </c>
      <c r="G29" s="1">
        <v>159.0</v>
      </c>
      <c r="H29" s="1">
        <v>166.0</v>
      </c>
      <c r="I29" s="1">
        <v>169.0</v>
      </c>
      <c r="J29" s="1">
        <v>163.0</v>
      </c>
      <c r="K29" s="1">
        <v>154.0</v>
      </c>
      <c r="L29" s="1">
        <v>140.0</v>
      </c>
    </row>
    <row r="30" hidden="1">
      <c r="A30" s="3" t="str">
        <f>B29</f>
        <v>Endocrinología</v>
      </c>
      <c r="B30" s="3" t="s">
        <v>2</v>
      </c>
      <c r="C30" s="4">
        <f t="shared" ref="C30:L30" si="14">(C29/C$2)*1000</f>
        <v>6.006981086</v>
      </c>
      <c r="D30" s="4">
        <f t="shared" si="14"/>
        <v>5.978173648</v>
      </c>
      <c r="E30" s="4">
        <f t="shared" si="14"/>
        <v>5.89119089</v>
      </c>
      <c r="F30" s="4">
        <f t="shared" si="14"/>
        <v>5.94283927</v>
      </c>
      <c r="G30" s="4">
        <f t="shared" si="14"/>
        <v>5.961978327</v>
      </c>
      <c r="H30" s="4">
        <f t="shared" si="14"/>
        <v>6.136103205</v>
      </c>
      <c r="I30" s="4">
        <f t="shared" si="14"/>
        <v>6.062562778</v>
      </c>
      <c r="J30" s="4">
        <f t="shared" si="14"/>
        <v>5.756259491</v>
      </c>
      <c r="K30" s="4">
        <f t="shared" si="14"/>
        <v>5.319332666</v>
      </c>
      <c r="L30" s="4">
        <f t="shared" si="14"/>
        <v>4.371448198</v>
      </c>
      <c r="M30" s="3" t="s">
        <v>255</v>
      </c>
    </row>
    <row r="31">
      <c r="A31" s="1"/>
      <c r="B31" s="1" t="s">
        <v>269</v>
      </c>
      <c r="C31" s="1">
        <v>18.0</v>
      </c>
      <c r="D31" s="1">
        <v>21.0</v>
      </c>
      <c r="E31" s="1">
        <v>23.0</v>
      </c>
      <c r="F31" s="1">
        <v>28.0</v>
      </c>
      <c r="G31" s="1">
        <v>32.0</v>
      </c>
      <c r="H31" s="1">
        <v>36.0</v>
      </c>
      <c r="I31" s="1">
        <v>39.0</v>
      </c>
      <c r="J31" s="1">
        <v>39.0</v>
      </c>
      <c r="K31" s="1">
        <v>42.0</v>
      </c>
      <c r="L31" s="1">
        <v>49.0</v>
      </c>
    </row>
    <row r="32" hidden="1">
      <c r="A32" s="3" t="str">
        <f>B31</f>
        <v>Endocrinología Pediátrica</v>
      </c>
      <c r="B32" s="3" t="s">
        <v>2</v>
      </c>
      <c r="C32" s="4">
        <f t="shared" ref="C32:L32" si="15">(C31/C$2)*1000</f>
        <v>0.7305787807</v>
      </c>
      <c r="D32" s="4">
        <f t="shared" si="15"/>
        <v>0.8425613866</v>
      </c>
      <c r="E32" s="4">
        <f t="shared" si="15"/>
        <v>0.9093784596</v>
      </c>
      <c r="F32" s="4">
        <f t="shared" si="15"/>
        <v>1.09473355</v>
      </c>
      <c r="G32" s="4">
        <f t="shared" si="15"/>
        <v>1.199895009</v>
      </c>
      <c r="H32" s="4">
        <f t="shared" si="15"/>
        <v>1.330721177</v>
      </c>
      <c r="I32" s="4">
        <f t="shared" si="15"/>
        <v>1.399052949</v>
      </c>
      <c r="J32" s="4">
        <f t="shared" si="15"/>
        <v>1.377264541</v>
      </c>
      <c r="K32" s="4">
        <f t="shared" si="15"/>
        <v>1.450727091</v>
      </c>
      <c r="L32" s="4">
        <f t="shared" si="15"/>
        <v>1.530006869</v>
      </c>
      <c r="M32" s="3" t="s">
        <v>269</v>
      </c>
    </row>
    <row r="33">
      <c r="A33" s="1"/>
      <c r="B33" s="1" t="s">
        <v>280</v>
      </c>
      <c r="C33" s="1">
        <v>177.0</v>
      </c>
      <c r="D33" s="1">
        <v>168.0</v>
      </c>
      <c r="E33" s="1">
        <v>169.0</v>
      </c>
      <c r="F33" s="1">
        <v>167.0</v>
      </c>
      <c r="G33" s="1">
        <v>175.0</v>
      </c>
      <c r="H33" s="1">
        <v>178.0</v>
      </c>
      <c r="I33" s="1">
        <v>181.0</v>
      </c>
      <c r="J33" s="1">
        <v>175.0</v>
      </c>
      <c r="K33" s="1">
        <v>160.0</v>
      </c>
      <c r="L33" s="1">
        <v>168.0</v>
      </c>
    </row>
    <row r="34" hidden="1">
      <c r="A34" s="3" t="str">
        <f>B33</f>
        <v>Gastroenterología</v>
      </c>
      <c r="B34" s="3" t="s">
        <v>2</v>
      </c>
      <c r="C34" s="23">
        <f t="shared" ref="C34:L34" si="16">(C33/C$2)*1000</f>
        <v>7.184024677</v>
      </c>
      <c r="D34" s="23">
        <f t="shared" si="16"/>
        <v>6.740491093</v>
      </c>
      <c r="E34" s="23">
        <f t="shared" si="16"/>
        <v>6.681954768</v>
      </c>
      <c r="F34" s="23">
        <f t="shared" si="16"/>
        <v>6.529303671</v>
      </c>
      <c r="G34" s="23">
        <f t="shared" si="16"/>
        <v>6.561925831</v>
      </c>
      <c r="H34" s="23">
        <f t="shared" si="16"/>
        <v>6.57967693</v>
      </c>
      <c r="I34" s="23">
        <f t="shared" si="16"/>
        <v>6.493040608</v>
      </c>
      <c r="J34" s="23">
        <f t="shared" si="16"/>
        <v>6.180033196</v>
      </c>
      <c r="K34" s="23">
        <f t="shared" si="16"/>
        <v>5.526579393</v>
      </c>
      <c r="L34" s="23">
        <f t="shared" si="16"/>
        <v>5.245737838</v>
      </c>
      <c r="M34" s="3" t="s">
        <v>280</v>
      </c>
    </row>
    <row r="35">
      <c r="A35" s="1"/>
      <c r="B35" s="1" t="s">
        <v>283</v>
      </c>
      <c r="C35" s="1">
        <v>13.0</v>
      </c>
      <c r="D35" s="1">
        <v>13.0</v>
      </c>
      <c r="E35" s="1">
        <v>16.0</v>
      </c>
      <c r="F35" s="1">
        <v>21.0</v>
      </c>
      <c r="G35" s="1">
        <v>23.0</v>
      </c>
      <c r="H35" s="1">
        <v>22.0</v>
      </c>
      <c r="I35" s="1">
        <v>25.0</v>
      </c>
      <c r="J35" s="1">
        <v>25.0</v>
      </c>
      <c r="K35" s="1">
        <v>34.0</v>
      </c>
      <c r="L35" s="1">
        <v>44.0</v>
      </c>
    </row>
    <row r="36" hidden="1">
      <c r="A36" s="3" t="str">
        <f>B35</f>
        <v>Gastroenterología Pediátrica</v>
      </c>
      <c r="B36" s="3" t="s">
        <v>2</v>
      </c>
      <c r="C36" s="4">
        <f t="shared" ref="C36:L36" si="17">(C35/C$2)*1000</f>
        <v>0.5276402305</v>
      </c>
      <c r="D36" s="4">
        <f t="shared" si="17"/>
        <v>0.5215856203</v>
      </c>
      <c r="E36" s="4">
        <f t="shared" si="17"/>
        <v>0.6326111023</v>
      </c>
      <c r="F36" s="4">
        <f t="shared" si="17"/>
        <v>0.8210501623</v>
      </c>
      <c r="G36" s="4">
        <f t="shared" si="17"/>
        <v>0.8624245379</v>
      </c>
      <c r="H36" s="4">
        <f t="shared" si="17"/>
        <v>0.813218497</v>
      </c>
      <c r="I36" s="4">
        <f t="shared" si="17"/>
        <v>0.8968288133</v>
      </c>
      <c r="J36" s="4">
        <f t="shared" si="17"/>
        <v>0.8828618851</v>
      </c>
      <c r="K36" s="4">
        <f t="shared" si="17"/>
        <v>1.174398121</v>
      </c>
      <c r="L36" s="4">
        <f t="shared" si="17"/>
        <v>1.373883719</v>
      </c>
      <c r="M36" s="3" t="s">
        <v>283</v>
      </c>
    </row>
    <row r="37">
      <c r="A37" s="1"/>
      <c r="B37" s="1" t="s">
        <v>288</v>
      </c>
      <c r="C37" s="1">
        <v>13.0</v>
      </c>
      <c r="D37" s="1">
        <v>16.0</v>
      </c>
      <c r="E37" s="1">
        <v>17.0</v>
      </c>
      <c r="F37" s="1">
        <v>19.0</v>
      </c>
      <c r="G37" s="1">
        <v>18.0</v>
      </c>
      <c r="H37" s="1">
        <v>20.0</v>
      </c>
      <c r="I37" s="1">
        <v>20.0</v>
      </c>
      <c r="J37" s="1">
        <v>21.0</v>
      </c>
      <c r="K37" s="1">
        <v>22.0</v>
      </c>
      <c r="L37" s="1">
        <v>27.0</v>
      </c>
    </row>
    <row r="38" hidden="1">
      <c r="A38" s="3" t="str">
        <f>B37</f>
        <v>Genética</v>
      </c>
      <c r="B38" s="3" t="s">
        <v>2</v>
      </c>
      <c r="C38" s="4">
        <f t="shared" ref="C38:L38" si="18">(C37/C$2)*1000</f>
        <v>0.5276402305</v>
      </c>
      <c r="D38" s="4">
        <f t="shared" si="18"/>
        <v>0.6419515327</v>
      </c>
      <c r="E38" s="4">
        <f t="shared" si="18"/>
        <v>0.6721492962</v>
      </c>
      <c r="F38" s="4">
        <f t="shared" si="18"/>
        <v>0.7428549087</v>
      </c>
      <c r="G38" s="4">
        <f t="shared" si="18"/>
        <v>0.6749409427</v>
      </c>
      <c r="H38" s="4">
        <f t="shared" si="18"/>
        <v>0.7392895427</v>
      </c>
      <c r="I38" s="4">
        <f t="shared" si="18"/>
        <v>0.7174630507</v>
      </c>
      <c r="J38" s="4">
        <f t="shared" si="18"/>
        <v>0.7416039835</v>
      </c>
      <c r="K38" s="4">
        <f t="shared" si="18"/>
        <v>0.7599046665</v>
      </c>
      <c r="L38" s="4">
        <f t="shared" si="18"/>
        <v>0.8430650097</v>
      </c>
      <c r="M38" s="3" t="s">
        <v>288</v>
      </c>
    </row>
    <row r="39">
      <c r="A39" s="1"/>
      <c r="B39" s="1" t="s">
        <v>296</v>
      </c>
      <c r="C39" s="1">
        <v>98.0</v>
      </c>
      <c r="D39" s="1">
        <v>139.0</v>
      </c>
      <c r="E39" s="1">
        <v>168.0</v>
      </c>
      <c r="F39" s="1">
        <v>173.0</v>
      </c>
      <c r="G39" s="1">
        <v>261.0</v>
      </c>
      <c r="H39" s="1">
        <v>302.0</v>
      </c>
      <c r="I39" s="1">
        <v>332.0</v>
      </c>
      <c r="J39" s="1">
        <v>427.0</v>
      </c>
      <c r="K39" s="1">
        <v>491.0</v>
      </c>
      <c r="L39" s="1">
        <v>609.0</v>
      </c>
    </row>
    <row r="40" hidden="1">
      <c r="A40" s="3" t="str">
        <f>B39</f>
        <v>Geriatría</v>
      </c>
      <c r="B40" s="3" t="s">
        <v>2</v>
      </c>
      <c r="C40" s="4">
        <f t="shared" ref="C40:L40" si="19">(C39/C$2)*1000</f>
        <v>3.977595584</v>
      </c>
      <c r="D40" s="4">
        <f t="shared" si="19"/>
        <v>5.57695394</v>
      </c>
      <c r="E40" s="4">
        <f t="shared" si="19"/>
        <v>6.642416574</v>
      </c>
      <c r="F40" s="4">
        <f t="shared" si="19"/>
        <v>6.763889432</v>
      </c>
      <c r="G40" s="4">
        <f t="shared" si="19"/>
        <v>9.786643669</v>
      </c>
      <c r="H40" s="4">
        <f t="shared" si="19"/>
        <v>11.1632721</v>
      </c>
      <c r="I40" s="4">
        <f t="shared" si="19"/>
        <v>11.90988664</v>
      </c>
      <c r="J40" s="4">
        <f t="shared" si="19"/>
        <v>15.079281</v>
      </c>
      <c r="K40" s="4">
        <f t="shared" si="19"/>
        <v>16.95969051</v>
      </c>
      <c r="L40" s="4">
        <f t="shared" si="19"/>
        <v>19.01579966</v>
      </c>
      <c r="M40" s="3" t="s">
        <v>296</v>
      </c>
    </row>
    <row r="41">
      <c r="A41" s="1"/>
      <c r="B41" s="1" t="s">
        <v>300</v>
      </c>
      <c r="C41" s="1">
        <v>4.0</v>
      </c>
      <c r="D41" s="1">
        <v>7.0</v>
      </c>
      <c r="E41" s="1">
        <v>14.0</v>
      </c>
      <c r="F41" s="1">
        <v>26.0</v>
      </c>
      <c r="G41" s="1">
        <v>38.0</v>
      </c>
      <c r="H41" s="1">
        <v>44.0</v>
      </c>
      <c r="I41" s="1">
        <v>48.0</v>
      </c>
      <c r="J41" s="1">
        <v>50.0</v>
      </c>
      <c r="K41" s="1">
        <v>53.0</v>
      </c>
      <c r="L41" s="1">
        <v>61.0</v>
      </c>
    </row>
    <row r="42" hidden="1">
      <c r="A42" s="3" t="str">
        <f>B41</f>
        <v>Ginecología Oncológica</v>
      </c>
      <c r="B42" s="3" t="s">
        <v>2</v>
      </c>
      <c r="C42" s="23">
        <f t="shared" ref="C42:L42" si="20">(C41/C$2)*1000</f>
        <v>0.1623508402</v>
      </c>
      <c r="D42" s="23">
        <f t="shared" si="20"/>
        <v>0.2808537955</v>
      </c>
      <c r="E42" s="23">
        <f t="shared" si="20"/>
        <v>0.5535347145</v>
      </c>
      <c r="F42" s="23">
        <f t="shared" si="20"/>
        <v>1.016538296</v>
      </c>
      <c r="G42" s="23">
        <f t="shared" si="20"/>
        <v>1.424875323</v>
      </c>
      <c r="H42" s="23">
        <f t="shared" si="20"/>
        <v>1.626436994</v>
      </c>
      <c r="I42" s="23">
        <f t="shared" si="20"/>
        <v>1.721911322</v>
      </c>
      <c r="J42" s="23">
        <f t="shared" si="20"/>
        <v>1.76572377</v>
      </c>
      <c r="K42" s="23">
        <f t="shared" si="20"/>
        <v>1.830679424</v>
      </c>
      <c r="L42" s="23">
        <f t="shared" si="20"/>
        <v>1.904702429</v>
      </c>
      <c r="M42" s="3" t="s">
        <v>300</v>
      </c>
    </row>
    <row r="43">
      <c r="A43" s="1"/>
      <c r="B43" s="1" t="s">
        <v>306</v>
      </c>
      <c r="C43" s="2">
        <v>3927.0</v>
      </c>
      <c r="D43" s="2">
        <v>3956.0</v>
      </c>
      <c r="E43" s="2">
        <v>3994.0</v>
      </c>
      <c r="F43" s="2">
        <v>4043.0</v>
      </c>
      <c r="G43" s="2">
        <v>4175.0</v>
      </c>
      <c r="H43" s="2">
        <v>4207.0</v>
      </c>
      <c r="I43" s="2">
        <v>4310.0</v>
      </c>
      <c r="J43" s="2">
        <v>4321.0</v>
      </c>
      <c r="K43" s="2">
        <v>4310.0</v>
      </c>
      <c r="L43" s="2">
        <v>4813.0</v>
      </c>
    </row>
    <row r="44" hidden="1">
      <c r="A44" s="3" t="str">
        <f>B43</f>
        <v>Ginecología y Obstetricia</v>
      </c>
      <c r="B44" s="3" t="s">
        <v>2</v>
      </c>
      <c r="C44" s="4">
        <f t="shared" ref="C44:L44" si="21">(C43/C$2)*1000</f>
        <v>159.3879373</v>
      </c>
      <c r="D44" s="4">
        <f t="shared" si="21"/>
        <v>158.7225165</v>
      </c>
      <c r="E44" s="4">
        <f t="shared" si="21"/>
        <v>157.9155464</v>
      </c>
      <c r="F44" s="4">
        <f t="shared" si="21"/>
        <v>158.071705</v>
      </c>
      <c r="G44" s="4">
        <f t="shared" si="21"/>
        <v>156.548802</v>
      </c>
      <c r="H44" s="4">
        <f t="shared" si="21"/>
        <v>155.5095553</v>
      </c>
      <c r="I44" s="4">
        <f t="shared" si="21"/>
        <v>154.6132874</v>
      </c>
      <c r="J44" s="4">
        <f t="shared" si="21"/>
        <v>152.5938482</v>
      </c>
      <c r="K44" s="4">
        <f t="shared" si="21"/>
        <v>148.8722324</v>
      </c>
      <c r="L44" s="4">
        <f t="shared" si="21"/>
        <v>150.2841441</v>
      </c>
      <c r="M44" s="3" t="s">
        <v>306</v>
      </c>
    </row>
    <row r="45">
      <c r="A45" s="1"/>
      <c r="B45" s="1" t="s">
        <v>309</v>
      </c>
      <c r="C45" s="1">
        <v>214.0</v>
      </c>
      <c r="D45" s="1">
        <v>216.0</v>
      </c>
      <c r="E45" s="1">
        <v>212.0</v>
      </c>
      <c r="F45" s="1">
        <v>217.0</v>
      </c>
      <c r="G45" s="1">
        <v>232.0</v>
      </c>
      <c r="H45" s="1">
        <v>234.0</v>
      </c>
      <c r="I45" s="1">
        <v>241.0</v>
      </c>
      <c r="J45" s="1">
        <v>244.0</v>
      </c>
      <c r="K45" s="1">
        <v>249.0</v>
      </c>
      <c r="L45" s="1">
        <v>264.0</v>
      </c>
    </row>
    <row r="46" hidden="1">
      <c r="A46" s="3" t="str">
        <f>B45</f>
        <v>Hematología</v>
      </c>
      <c r="B46" s="3" t="s">
        <v>2</v>
      </c>
      <c r="C46" s="4">
        <f t="shared" ref="C46:L46" si="22">(C45/C$2)*1000</f>
        <v>8.685769949</v>
      </c>
      <c r="D46" s="4">
        <f t="shared" si="22"/>
        <v>8.666345691</v>
      </c>
      <c r="E46" s="4">
        <f t="shared" si="22"/>
        <v>8.382097106</v>
      </c>
      <c r="F46" s="4">
        <f t="shared" si="22"/>
        <v>8.48418501</v>
      </c>
      <c r="G46" s="4">
        <f t="shared" si="22"/>
        <v>8.699238817</v>
      </c>
      <c r="H46" s="4">
        <f t="shared" si="22"/>
        <v>8.64968765</v>
      </c>
      <c r="I46" s="4">
        <f t="shared" si="22"/>
        <v>8.64542976</v>
      </c>
      <c r="J46" s="4">
        <f t="shared" si="22"/>
        <v>8.616731998</v>
      </c>
      <c r="K46" s="4">
        <f t="shared" si="22"/>
        <v>8.60073918</v>
      </c>
      <c r="L46" s="4">
        <f t="shared" si="22"/>
        <v>8.243302317</v>
      </c>
      <c r="M46" s="3" t="s">
        <v>309</v>
      </c>
    </row>
    <row r="47">
      <c r="A47" s="1"/>
      <c r="B47" s="1" t="s">
        <v>311</v>
      </c>
      <c r="C47" s="1">
        <v>10.0</v>
      </c>
      <c r="D47" s="1">
        <v>16.0</v>
      </c>
      <c r="E47" s="1">
        <v>24.0</v>
      </c>
      <c r="F47" s="1">
        <v>28.0</v>
      </c>
      <c r="G47" s="1">
        <v>35.0</v>
      </c>
      <c r="H47" s="1">
        <v>38.0</v>
      </c>
      <c r="I47" s="1">
        <v>52.0</v>
      </c>
      <c r="J47" s="1">
        <v>57.0</v>
      </c>
      <c r="K47" s="1">
        <v>69.0</v>
      </c>
      <c r="L47" s="1">
        <v>80.0</v>
      </c>
    </row>
    <row r="48" hidden="1">
      <c r="A48" s="3" t="str">
        <f>B47</f>
        <v>Hematología Pediátrica</v>
      </c>
      <c r="B48" s="3" t="s">
        <v>2</v>
      </c>
      <c r="C48" s="4">
        <f t="shared" ref="C48:L48" si="23">(C47/C$2)*1000</f>
        <v>0.4058771004</v>
      </c>
      <c r="D48" s="4">
        <f t="shared" si="23"/>
        <v>0.6419515327</v>
      </c>
      <c r="E48" s="4">
        <f t="shared" si="23"/>
        <v>0.9489166535</v>
      </c>
      <c r="F48" s="4">
        <f t="shared" si="23"/>
        <v>1.09473355</v>
      </c>
      <c r="G48" s="4">
        <f t="shared" si="23"/>
        <v>1.312385166</v>
      </c>
      <c r="H48" s="4">
        <f t="shared" si="23"/>
        <v>1.404650131</v>
      </c>
      <c r="I48" s="4">
        <f t="shared" si="23"/>
        <v>1.865403932</v>
      </c>
      <c r="J48" s="4">
        <f t="shared" si="23"/>
        <v>2.012925098</v>
      </c>
      <c r="K48" s="4">
        <f t="shared" si="23"/>
        <v>2.383337363</v>
      </c>
      <c r="L48" s="4">
        <f t="shared" si="23"/>
        <v>2.497970399</v>
      </c>
      <c r="M48" s="3" t="s">
        <v>311</v>
      </c>
    </row>
    <row r="49">
      <c r="A49" s="1"/>
      <c r="B49" s="1" t="s">
        <v>316</v>
      </c>
      <c r="C49" s="1">
        <v>115.0</v>
      </c>
      <c r="D49" s="1">
        <v>117.0</v>
      </c>
      <c r="E49" s="1">
        <v>117.0</v>
      </c>
      <c r="F49" s="1">
        <v>122.0</v>
      </c>
      <c r="G49" s="1">
        <v>140.0</v>
      </c>
      <c r="H49" s="1">
        <v>143.0</v>
      </c>
      <c r="I49" s="1">
        <v>147.0</v>
      </c>
      <c r="J49" s="1">
        <v>142.0</v>
      </c>
      <c r="K49" s="1">
        <v>142.0</v>
      </c>
      <c r="L49" s="1">
        <v>154.0</v>
      </c>
    </row>
    <row r="50" hidden="1">
      <c r="A50" s="3" t="str">
        <f>B49</f>
        <v>Infectología</v>
      </c>
      <c r="B50" s="3" t="s">
        <v>2</v>
      </c>
      <c r="C50" s="23">
        <f t="shared" ref="C50:L50" si="24">(C49/C$2)*1000</f>
        <v>4.667586655</v>
      </c>
      <c r="D50" s="23">
        <f t="shared" si="24"/>
        <v>4.694270583</v>
      </c>
      <c r="E50" s="23">
        <f t="shared" si="24"/>
        <v>4.625968686</v>
      </c>
      <c r="F50" s="23">
        <f t="shared" si="24"/>
        <v>4.769910466</v>
      </c>
      <c r="G50" s="23">
        <f t="shared" si="24"/>
        <v>5.249540665</v>
      </c>
      <c r="H50" s="23">
        <f t="shared" si="24"/>
        <v>5.285920231</v>
      </c>
      <c r="I50" s="23">
        <f t="shared" si="24"/>
        <v>5.273353422</v>
      </c>
      <c r="J50" s="23">
        <f t="shared" si="24"/>
        <v>5.014655507</v>
      </c>
      <c r="K50" s="23">
        <f t="shared" si="24"/>
        <v>4.904839211</v>
      </c>
      <c r="L50" s="23">
        <f t="shared" si="24"/>
        <v>4.808593018</v>
      </c>
      <c r="M50" s="3" t="s">
        <v>316</v>
      </c>
    </row>
    <row r="51">
      <c r="A51" s="1"/>
      <c r="B51" s="1" t="s">
        <v>322</v>
      </c>
      <c r="I51" s="1">
        <v>2.0</v>
      </c>
      <c r="J51" s="1">
        <v>16.0</v>
      </c>
      <c r="K51" s="1">
        <v>22.0</v>
      </c>
      <c r="L51" s="1">
        <v>28.0</v>
      </c>
    </row>
    <row r="52" hidden="1">
      <c r="A52" s="3" t="str">
        <f>B51</f>
        <v>Infectología Pediátrica</v>
      </c>
      <c r="B52" s="3" t="s">
        <v>2</v>
      </c>
      <c r="C52" s="4">
        <f t="shared" ref="C52:L52" si="25">(C51/C$2)*1000</f>
        <v>0</v>
      </c>
      <c r="D52" s="4">
        <f t="shared" si="25"/>
        <v>0</v>
      </c>
      <c r="E52" s="4">
        <f t="shared" si="25"/>
        <v>0</v>
      </c>
      <c r="F52" s="4">
        <f t="shared" si="25"/>
        <v>0</v>
      </c>
      <c r="G52" s="4">
        <f t="shared" si="25"/>
        <v>0</v>
      </c>
      <c r="H52" s="4">
        <f t="shared" si="25"/>
        <v>0</v>
      </c>
      <c r="I52" s="4">
        <f t="shared" si="25"/>
        <v>0.07174630507</v>
      </c>
      <c r="J52" s="4">
        <f t="shared" si="25"/>
        <v>0.5650316065</v>
      </c>
      <c r="K52" s="4">
        <f t="shared" si="25"/>
        <v>0.7599046665</v>
      </c>
      <c r="L52" s="4">
        <f t="shared" si="25"/>
        <v>0.8742896397</v>
      </c>
      <c r="M52" s="3" t="s">
        <v>322</v>
      </c>
    </row>
    <row r="53">
      <c r="A53" s="1"/>
      <c r="B53" s="1" t="s">
        <v>333</v>
      </c>
      <c r="C53" s="1">
        <v>24.0</v>
      </c>
      <c r="D53" s="1">
        <v>53.0</v>
      </c>
      <c r="E53" s="1">
        <v>79.0</v>
      </c>
      <c r="F53" s="1">
        <v>106.0</v>
      </c>
      <c r="G53" s="1">
        <v>126.0</v>
      </c>
      <c r="H53" s="1">
        <v>141.0</v>
      </c>
      <c r="I53" s="1">
        <v>148.0</v>
      </c>
      <c r="J53" s="1">
        <v>153.0</v>
      </c>
      <c r="K53" s="1">
        <v>184.0</v>
      </c>
      <c r="L53" s="1">
        <v>203.0</v>
      </c>
    </row>
    <row r="54" hidden="1">
      <c r="A54" s="3" t="str">
        <f>B53</f>
        <v>Médico del Enfermo Pediátrico en Estado Crítico</v>
      </c>
      <c r="B54" s="3" t="s">
        <v>2</v>
      </c>
      <c r="C54" s="4">
        <f t="shared" ref="C54:L54" si="26">(C53/C$2)*1000</f>
        <v>0.974105041</v>
      </c>
      <c r="D54" s="4">
        <f t="shared" si="26"/>
        <v>2.126464452</v>
      </c>
      <c r="E54" s="4">
        <f t="shared" si="26"/>
        <v>3.123517318</v>
      </c>
      <c r="F54" s="4">
        <f t="shared" si="26"/>
        <v>4.144348438</v>
      </c>
      <c r="G54" s="4">
        <f t="shared" si="26"/>
        <v>4.724586599</v>
      </c>
      <c r="H54" s="4">
        <f t="shared" si="26"/>
        <v>5.211991276</v>
      </c>
      <c r="I54" s="4">
        <f t="shared" si="26"/>
        <v>5.309226575</v>
      </c>
      <c r="J54" s="4">
        <f t="shared" si="26"/>
        <v>5.403114737</v>
      </c>
      <c r="K54" s="4">
        <f t="shared" si="26"/>
        <v>6.355566302</v>
      </c>
      <c r="L54" s="4">
        <f t="shared" si="26"/>
        <v>6.338599888</v>
      </c>
      <c r="M54" s="3" t="s">
        <v>333</v>
      </c>
    </row>
    <row r="55">
      <c r="A55" s="1"/>
      <c r="B55" s="1" t="s">
        <v>343</v>
      </c>
      <c r="C55" s="1">
        <v>430.0</v>
      </c>
      <c r="D55" s="1">
        <v>437.0</v>
      </c>
      <c r="E55" s="1">
        <v>441.0</v>
      </c>
      <c r="F55" s="1">
        <v>444.0</v>
      </c>
      <c r="G55" s="1">
        <v>461.0</v>
      </c>
      <c r="H55" s="1">
        <v>475.0</v>
      </c>
      <c r="I55" s="1">
        <v>491.0</v>
      </c>
      <c r="J55" s="1">
        <v>508.0</v>
      </c>
      <c r="K55" s="1">
        <v>515.0</v>
      </c>
      <c r="L55" s="1">
        <v>574.0</v>
      </c>
    </row>
    <row r="56" hidden="1">
      <c r="A56" s="3" t="str">
        <f>B55</f>
        <v>Medicina Física y Rehabilitación</v>
      </c>
      <c r="B56" s="3" t="s">
        <v>2</v>
      </c>
      <c r="C56" s="4">
        <f t="shared" ref="C56:L56" si="27">(C55/C$2)*1000</f>
        <v>17.45271532</v>
      </c>
      <c r="D56" s="4">
        <f t="shared" si="27"/>
        <v>17.53330124</v>
      </c>
      <c r="E56" s="4">
        <f t="shared" si="27"/>
        <v>17.43634351</v>
      </c>
      <c r="F56" s="4">
        <f t="shared" si="27"/>
        <v>17.35934629</v>
      </c>
      <c r="G56" s="4">
        <f t="shared" si="27"/>
        <v>17.28598748</v>
      </c>
      <c r="H56" s="4">
        <f t="shared" si="27"/>
        <v>17.55812664</v>
      </c>
      <c r="I56" s="4">
        <f t="shared" si="27"/>
        <v>17.61371789</v>
      </c>
      <c r="J56" s="4">
        <f t="shared" si="27"/>
        <v>17.9397535</v>
      </c>
      <c r="K56" s="4">
        <f t="shared" si="27"/>
        <v>17.78867742</v>
      </c>
      <c r="L56" s="4">
        <f t="shared" si="27"/>
        <v>17.92293761</v>
      </c>
      <c r="M56" s="3" t="s">
        <v>343</v>
      </c>
    </row>
    <row r="57">
      <c r="A57" s="1"/>
      <c r="B57" s="1" t="s">
        <v>353</v>
      </c>
      <c r="C57" s="2">
        <v>3016.0</v>
      </c>
      <c r="D57" s="2">
        <v>2993.0</v>
      </c>
      <c r="E57" s="2">
        <v>2980.0</v>
      </c>
      <c r="F57" s="2">
        <v>2921.0</v>
      </c>
      <c r="G57" s="2">
        <v>2946.0</v>
      </c>
      <c r="H57" s="2">
        <v>2953.0</v>
      </c>
      <c r="I57" s="2">
        <v>3007.0</v>
      </c>
      <c r="J57" s="2">
        <v>3084.0</v>
      </c>
      <c r="K57" s="2">
        <v>3187.0</v>
      </c>
      <c r="L57" s="2">
        <v>3598.0</v>
      </c>
    </row>
    <row r="58" hidden="1">
      <c r="A58" s="3" t="str">
        <f>B57</f>
        <v>Medicina Interna</v>
      </c>
      <c r="B58" s="3" t="s">
        <v>2</v>
      </c>
      <c r="C58" s="23">
        <f t="shared" ref="C58:L58" si="28">(C57/C$2)*1000</f>
        <v>122.4125335</v>
      </c>
      <c r="D58" s="23">
        <f t="shared" si="28"/>
        <v>120.0850586</v>
      </c>
      <c r="E58" s="23">
        <f t="shared" si="28"/>
        <v>117.8238178</v>
      </c>
      <c r="F58" s="23">
        <f t="shared" si="28"/>
        <v>114.2041678</v>
      </c>
      <c r="G58" s="23">
        <f t="shared" si="28"/>
        <v>110.4653343</v>
      </c>
      <c r="H58" s="23">
        <f t="shared" si="28"/>
        <v>109.156101</v>
      </c>
      <c r="I58" s="23">
        <f t="shared" si="28"/>
        <v>107.8705697</v>
      </c>
      <c r="J58" s="23">
        <f t="shared" si="28"/>
        <v>108.9098421</v>
      </c>
      <c r="K58" s="23">
        <f t="shared" si="28"/>
        <v>110.0825533</v>
      </c>
      <c r="L58" s="23">
        <f t="shared" si="28"/>
        <v>112.3462187</v>
      </c>
      <c r="M58" s="3" t="s">
        <v>353</v>
      </c>
    </row>
    <row r="59">
      <c r="A59" s="1"/>
      <c r="B59" s="1" t="s">
        <v>366</v>
      </c>
      <c r="C59" s="1">
        <v>1.0</v>
      </c>
      <c r="D59" s="1">
        <v>3.0</v>
      </c>
      <c r="E59" s="1">
        <v>4.0</v>
      </c>
      <c r="F59" s="1">
        <v>4.0</v>
      </c>
      <c r="G59" s="1">
        <v>8.0</v>
      </c>
      <c r="H59" s="1">
        <v>9.0</v>
      </c>
      <c r="I59" s="1">
        <v>30.0</v>
      </c>
      <c r="J59" s="1">
        <v>48.0</v>
      </c>
      <c r="K59" s="1">
        <v>48.0</v>
      </c>
      <c r="L59" s="1">
        <v>56.0</v>
      </c>
    </row>
    <row r="60" hidden="1">
      <c r="A60" s="3" t="str">
        <f>B59</f>
        <v>Medicina Materno Fetal</v>
      </c>
      <c r="B60" s="3" t="s">
        <v>2</v>
      </c>
      <c r="C60" s="4">
        <f t="shared" ref="C60:L60" si="29">(C59/C$2)*1000</f>
        <v>0.04058771004</v>
      </c>
      <c r="D60" s="4">
        <f t="shared" si="29"/>
        <v>0.1203659124</v>
      </c>
      <c r="E60" s="4">
        <f t="shared" si="29"/>
        <v>0.1581527756</v>
      </c>
      <c r="F60" s="4">
        <f t="shared" si="29"/>
        <v>0.1563905071</v>
      </c>
      <c r="G60" s="4">
        <f t="shared" si="29"/>
        <v>0.2999737523</v>
      </c>
      <c r="H60" s="4">
        <f t="shared" si="29"/>
        <v>0.3326802942</v>
      </c>
      <c r="I60" s="4">
        <f t="shared" si="29"/>
        <v>1.076194576</v>
      </c>
      <c r="J60" s="4">
        <f t="shared" si="29"/>
        <v>1.695094819</v>
      </c>
      <c r="K60" s="4">
        <f t="shared" si="29"/>
        <v>1.657973818</v>
      </c>
      <c r="L60" s="4">
        <f t="shared" si="29"/>
        <v>1.748579279</v>
      </c>
      <c r="M60" s="3" t="s">
        <v>366</v>
      </c>
    </row>
    <row r="61">
      <c r="A61" s="1"/>
      <c r="B61" s="1" t="s">
        <v>373</v>
      </c>
      <c r="H61" s="1">
        <v>6.0</v>
      </c>
      <c r="I61" s="1">
        <v>15.0</v>
      </c>
      <c r="J61" s="1">
        <v>24.0</v>
      </c>
      <c r="K61" s="1">
        <v>36.0</v>
      </c>
      <c r="L61" s="1">
        <v>49.0</v>
      </c>
    </row>
    <row r="62" hidden="1">
      <c r="A62" s="3" t="str">
        <f>B61</f>
        <v>Medicina Paliativa</v>
      </c>
      <c r="B62" s="3" t="s">
        <v>2</v>
      </c>
      <c r="C62" s="4">
        <f t="shared" ref="C62:L62" si="30">(C61/C$2)*1000</f>
        <v>0</v>
      </c>
      <c r="D62" s="4">
        <f t="shared" si="30"/>
        <v>0</v>
      </c>
      <c r="E62" s="4">
        <f t="shared" si="30"/>
        <v>0</v>
      </c>
      <c r="F62" s="4">
        <f t="shared" si="30"/>
        <v>0</v>
      </c>
      <c r="G62" s="4">
        <f t="shared" si="30"/>
        <v>0</v>
      </c>
      <c r="H62" s="4">
        <f t="shared" si="30"/>
        <v>0.2217868628</v>
      </c>
      <c r="I62" s="4">
        <f t="shared" si="30"/>
        <v>0.538097288</v>
      </c>
      <c r="J62" s="4">
        <f t="shared" si="30"/>
        <v>0.8475474097</v>
      </c>
      <c r="K62" s="4">
        <f t="shared" si="30"/>
        <v>1.243480363</v>
      </c>
      <c r="L62" s="4">
        <f t="shared" si="30"/>
        <v>1.530006869</v>
      </c>
      <c r="M62" s="3" t="s">
        <v>373</v>
      </c>
    </row>
    <row r="63">
      <c r="A63" s="1"/>
      <c r="B63" s="1" t="s">
        <v>377</v>
      </c>
      <c r="C63" s="1">
        <v>460.0</v>
      </c>
      <c r="D63" s="1">
        <v>495.0</v>
      </c>
      <c r="E63" s="1">
        <v>503.0</v>
      </c>
      <c r="F63" s="1">
        <v>523.0</v>
      </c>
      <c r="G63" s="1">
        <v>581.0</v>
      </c>
      <c r="H63" s="1">
        <v>592.0</v>
      </c>
      <c r="I63" s="1">
        <v>610.0</v>
      </c>
      <c r="J63" s="1">
        <v>638.0</v>
      </c>
      <c r="K63" s="1">
        <v>662.0</v>
      </c>
      <c r="L63" s="1">
        <v>714.0</v>
      </c>
    </row>
    <row r="64" hidden="1">
      <c r="A64" s="3" t="str">
        <f>B63</f>
        <v>Nefrología</v>
      </c>
      <c r="B64" s="3" t="s">
        <v>2</v>
      </c>
      <c r="C64" s="4">
        <f t="shared" ref="C64:L64" si="31">(C63/C$2)*1000</f>
        <v>18.67034662</v>
      </c>
      <c r="D64" s="4">
        <f t="shared" si="31"/>
        <v>19.86037554</v>
      </c>
      <c r="E64" s="4">
        <f t="shared" si="31"/>
        <v>19.88771153</v>
      </c>
      <c r="F64" s="4">
        <f t="shared" si="31"/>
        <v>20.4480588</v>
      </c>
      <c r="G64" s="4">
        <f t="shared" si="31"/>
        <v>21.78559376</v>
      </c>
      <c r="H64" s="4">
        <f t="shared" si="31"/>
        <v>21.88297047</v>
      </c>
      <c r="I64" s="4">
        <f t="shared" si="31"/>
        <v>21.88262304</v>
      </c>
      <c r="J64" s="4">
        <f t="shared" si="31"/>
        <v>22.53063531</v>
      </c>
      <c r="K64" s="4">
        <f t="shared" si="31"/>
        <v>22.86622224</v>
      </c>
      <c r="L64" s="4">
        <f t="shared" si="31"/>
        <v>22.29438581</v>
      </c>
      <c r="M64" s="3" t="s">
        <v>377</v>
      </c>
    </row>
    <row r="65">
      <c r="A65" s="1"/>
      <c r="B65" s="1" t="s">
        <v>385</v>
      </c>
      <c r="C65" s="1">
        <v>21.0</v>
      </c>
      <c r="D65" s="1">
        <v>22.0</v>
      </c>
      <c r="E65" s="1">
        <v>25.0</v>
      </c>
      <c r="F65" s="1">
        <v>29.0</v>
      </c>
      <c r="G65" s="1">
        <v>34.0</v>
      </c>
      <c r="H65" s="1">
        <v>35.0</v>
      </c>
      <c r="I65" s="1">
        <v>38.0</v>
      </c>
      <c r="J65" s="1">
        <v>40.0</v>
      </c>
      <c r="K65" s="1">
        <v>46.0</v>
      </c>
      <c r="L65" s="1">
        <v>53.0</v>
      </c>
    </row>
    <row r="66" hidden="1">
      <c r="A66" s="3" t="str">
        <f>B65</f>
        <v>Nefrología Pediátrica</v>
      </c>
      <c r="B66" s="3" t="s">
        <v>2</v>
      </c>
      <c r="C66" s="23">
        <f t="shared" ref="C66:L66" si="32">(C65/C$2)*1000</f>
        <v>0.8523419109</v>
      </c>
      <c r="D66" s="23">
        <f t="shared" si="32"/>
        <v>0.8826833574</v>
      </c>
      <c r="E66" s="23">
        <f t="shared" si="32"/>
        <v>0.9884548474</v>
      </c>
      <c r="F66" s="23">
        <f t="shared" si="32"/>
        <v>1.133831176</v>
      </c>
      <c r="G66" s="23">
        <f t="shared" si="32"/>
        <v>1.274888447</v>
      </c>
      <c r="H66" s="23">
        <f t="shared" si="32"/>
        <v>1.2937567</v>
      </c>
      <c r="I66" s="23">
        <f t="shared" si="32"/>
        <v>1.363179796</v>
      </c>
      <c r="J66" s="23">
        <f t="shared" si="32"/>
        <v>1.412579016</v>
      </c>
      <c r="K66" s="23">
        <f t="shared" si="32"/>
        <v>1.588891575</v>
      </c>
      <c r="L66" s="23">
        <f t="shared" si="32"/>
        <v>1.654905389</v>
      </c>
      <c r="M66" s="3" t="s">
        <v>385</v>
      </c>
    </row>
    <row r="67">
      <c r="A67" s="1"/>
      <c r="B67" s="1" t="s">
        <v>393</v>
      </c>
      <c r="C67" s="1">
        <v>522.0</v>
      </c>
      <c r="D67" s="1">
        <v>559.0</v>
      </c>
      <c r="E67" s="1">
        <v>597.0</v>
      </c>
      <c r="F67" s="1">
        <v>650.0</v>
      </c>
      <c r="G67" s="1">
        <v>710.0</v>
      </c>
      <c r="H67" s="1">
        <v>752.0</v>
      </c>
      <c r="I67" s="1">
        <v>790.0</v>
      </c>
      <c r="J67" s="1">
        <v>797.0</v>
      </c>
      <c r="K67" s="1">
        <v>862.0</v>
      </c>
      <c r="L67" s="1">
        <v>923.0</v>
      </c>
    </row>
    <row r="68" hidden="1">
      <c r="A68" s="3" t="str">
        <f>B67</f>
        <v>Neonatología</v>
      </c>
      <c r="B68" s="3" t="s">
        <v>2</v>
      </c>
      <c r="C68" s="4">
        <f t="shared" ref="C68:L68" si="33">(C67/C$2)*1000</f>
        <v>21.18678464</v>
      </c>
      <c r="D68" s="4">
        <f t="shared" si="33"/>
        <v>22.42818167</v>
      </c>
      <c r="E68" s="4">
        <f t="shared" si="33"/>
        <v>23.60430176</v>
      </c>
      <c r="F68" s="4">
        <f t="shared" si="33"/>
        <v>25.4134574</v>
      </c>
      <c r="G68" s="4">
        <f t="shared" si="33"/>
        <v>26.62267052</v>
      </c>
      <c r="H68" s="4">
        <f t="shared" si="33"/>
        <v>27.79728681</v>
      </c>
      <c r="I68" s="4">
        <f t="shared" si="33"/>
        <v>28.3397905</v>
      </c>
      <c r="J68" s="4">
        <f t="shared" si="33"/>
        <v>28.1456369</v>
      </c>
      <c r="K68" s="4">
        <f t="shared" si="33"/>
        <v>29.77444648</v>
      </c>
      <c r="L68" s="4">
        <f t="shared" si="33"/>
        <v>28.82033348</v>
      </c>
      <c r="M68" s="3" t="s">
        <v>393</v>
      </c>
    </row>
    <row r="69">
      <c r="A69" s="1"/>
      <c r="B69" s="1" t="s">
        <v>399</v>
      </c>
      <c r="C69" s="1">
        <v>214.0</v>
      </c>
      <c r="D69" s="1">
        <v>212.0</v>
      </c>
      <c r="E69" s="1">
        <v>208.0</v>
      </c>
      <c r="F69" s="1">
        <v>221.0</v>
      </c>
      <c r="G69" s="1">
        <v>232.0</v>
      </c>
      <c r="H69" s="1">
        <v>237.0</v>
      </c>
      <c r="I69" s="1">
        <v>248.0</v>
      </c>
      <c r="J69" s="1">
        <v>249.0</v>
      </c>
      <c r="K69" s="1">
        <v>248.0</v>
      </c>
      <c r="L69" s="1">
        <v>277.0</v>
      </c>
    </row>
    <row r="70" hidden="1">
      <c r="A70" s="3" t="str">
        <f>B69</f>
        <v>Neumología</v>
      </c>
      <c r="B70" s="3" t="s">
        <v>2</v>
      </c>
      <c r="C70" s="4">
        <f t="shared" ref="C70:L70" si="34">(C69/C$2)*1000</f>
        <v>8.685769949</v>
      </c>
      <c r="D70" s="4">
        <f t="shared" si="34"/>
        <v>8.505857808</v>
      </c>
      <c r="E70" s="4">
        <f t="shared" si="34"/>
        <v>8.22394433</v>
      </c>
      <c r="F70" s="4">
        <f t="shared" si="34"/>
        <v>8.640575517</v>
      </c>
      <c r="G70" s="4">
        <f t="shared" si="34"/>
        <v>8.699238817</v>
      </c>
      <c r="H70" s="4">
        <f t="shared" si="34"/>
        <v>8.760581082</v>
      </c>
      <c r="I70" s="4">
        <f t="shared" si="34"/>
        <v>8.896541828</v>
      </c>
      <c r="J70" s="4">
        <f t="shared" si="34"/>
        <v>8.793304375</v>
      </c>
      <c r="K70" s="4">
        <f t="shared" si="34"/>
        <v>8.566198059</v>
      </c>
      <c r="L70" s="4">
        <f t="shared" si="34"/>
        <v>8.649222507</v>
      </c>
      <c r="M70" s="3" t="s">
        <v>399</v>
      </c>
    </row>
    <row r="71">
      <c r="A71" s="1"/>
      <c r="B71" s="1" t="s">
        <v>402</v>
      </c>
      <c r="C71" s="1">
        <v>11.0</v>
      </c>
      <c r="D71" s="1">
        <v>20.0</v>
      </c>
      <c r="E71" s="1">
        <v>24.0</v>
      </c>
      <c r="F71" s="1">
        <v>25.0</v>
      </c>
      <c r="G71" s="1">
        <v>30.0</v>
      </c>
      <c r="H71" s="1">
        <v>30.0</v>
      </c>
      <c r="I71" s="1">
        <v>30.0</v>
      </c>
      <c r="J71" s="1">
        <v>31.0</v>
      </c>
      <c r="K71" s="1">
        <v>32.0</v>
      </c>
      <c r="L71" s="1">
        <v>41.0</v>
      </c>
    </row>
    <row r="72" hidden="1">
      <c r="A72" s="3" t="str">
        <f>B71</f>
        <v>Neumología Pediátrica</v>
      </c>
      <c r="B72" s="3" t="s">
        <v>2</v>
      </c>
      <c r="C72" s="4">
        <f t="shared" ref="C72:L72" si="35">(C71/C$2)*1000</f>
        <v>0.4464648105</v>
      </c>
      <c r="D72" s="4">
        <f t="shared" si="35"/>
        <v>0.8024394158</v>
      </c>
      <c r="E72" s="4">
        <f t="shared" si="35"/>
        <v>0.9489166535</v>
      </c>
      <c r="F72" s="4">
        <f t="shared" si="35"/>
        <v>0.9774406694</v>
      </c>
      <c r="G72" s="4">
        <f t="shared" si="35"/>
        <v>1.124901571</v>
      </c>
      <c r="H72" s="4">
        <f t="shared" si="35"/>
        <v>1.108934314</v>
      </c>
      <c r="I72" s="4">
        <f t="shared" si="35"/>
        <v>1.076194576</v>
      </c>
      <c r="J72" s="4">
        <f t="shared" si="35"/>
        <v>1.094748738</v>
      </c>
      <c r="K72" s="4">
        <f t="shared" si="35"/>
        <v>1.105315879</v>
      </c>
      <c r="L72" s="4">
        <f t="shared" si="35"/>
        <v>1.28020983</v>
      </c>
      <c r="M72" s="3" t="s">
        <v>402</v>
      </c>
    </row>
    <row r="73">
      <c r="A73" s="1"/>
      <c r="B73" s="1" t="s">
        <v>411</v>
      </c>
      <c r="C73" s="1">
        <v>313.0</v>
      </c>
      <c r="D73" s="1">
        <v>314.0</v>
      </c>
      <c r="E73" s="1">
        <v>320.0</v>
      </c>
      <c r="F73" s="1">
        <v>312.0</v>
      </c>
      <c r="G73" s="1">
        <v>330.0</v>
      </c>
      <c r="H73" s="1">
        <v>332.0</v>
      </c>
      <c r="I73" s="1">
        <v>338.0</v>
      </c>
      <c r="J73" s="1">
        <v>348.0</v>
      </c>
      <c r="K73" s="1">
        <v>353.0</v>
      </c>
      <c r="L73" s="1">
        <v>352.0</v>
      </c>
    </row>
    <row r="74" hidden="1">
      <c r="A74" s="3" t="str">
        <f>B73</f>
        <v>Neurocirugía</v>
      </c>
      <c r="B74" s="3" t="s">
        <v>2</v>
      </c>
      <c r="C74" s="23">
        <f t="shared" ref="C74:L74" si="36">(C73/C$2)*1000</f>
        <v>12.70395324</v>
      </c>
      <c r="D74" s="23">
        <f t="shared" si="36"/>
        <v>12.59829883</v>
      </c>
      <c r="E74" s="23">
        <f t="shared" si="36"/>
        <v>12.65222205</v>
      </c>
      <c r="F74" s="23">
        <f t="shared" si="36"/>
        <v>12.19845955</v>
      </c>
      <c r="G74" s="23">
        <f t="shared" si="36"/>
        <v>12.37391728</v>
      </c>
      <c r="H74" s="23">
        <f t="shared" si="36"/>
        <v>12.27220641</v>
      </c>
      <c r="I74" s="23">
        <f t="shared" si="36"/>
        <v>12.12512556</v>
      </c>
      <c r="J74" s="23">
        <f t="shared" si="36"/>
        <v>12.28943744</v>
      </c>
      <c r="K74" s="23">
        <f t="shared" si="36"/>
        <v>12.19301579</v>
      </c>
      <c r="L74" s="23">
        <f t="shared" si="36"/>
        <v>10.99106976</v>
      </c>
      <c r="M74" s="3" t="s">
        <v>411</v>
      </c>
    </row>
    <row r="75">
      <c r="A75" s="1"/>
      <c r="B75" s="1" t="s">
        <v>426</v>
      </c>
      <c r="I75" s="1">
        <v>1.0</v>
      </c>
      <c r="J75" s="1">
        <v>1.0</v>
      </c>
      <c r="K75" s="1">
        <v>3.0</v>
      </c>
      <c r="L75" s="1">
        <v>4.0</v>
      </c>
    </row>
    <row r="76" hidden="1">
      <c r="A76" s="3" t="str">
        <f>B75</f>
        <v>Neurocirugía Pediátrica</v>
      </c>
      <c r="B76" s="3" t="s">
        <v>2</v>
      </c>
      <c r="C76" s="4">
        <f t="shared" ref="C76:L76" si="37">(C75/C$2)*1000</f>
        <v>0</v>
      </c>
      <c r="D76" s="4">
        <f t="shared" si="37"/>
        <v>0</v>
      </c>
      <c r="E76" s="4">
        <f t="shared" si="37"/>
        <v>0</v>
      </c>
      <c r="F76" s="4">
        <f t="shared" si="37"/>
        <v>0</v>
      </c>
      <c r="G76" s="4">
        <f t="shared" si="37"/>
        <v>0</v>
      </c>
      <c r="H76" s="4">
        <f t="shared" si="37"/>
        <v>0</v>
      </c>
      <c r="I76" s="4">
        <f t="shared" si="37"/>
        <v>0.03587315253</v>
      </c>
      <c r="J76" s="4">
        <f t="shared" si="37"/>
        <v>0.0353144754</v>
      </c>
      <c r="K76" s="4">
        <f t="shared" si="37"/>
        <v>0.1036233636</v>
      </c>
      <c r="L76" s="4">
        <f t="shared" si="37"/>
        <v>0.12489852</v>
      </c>
      <c r="M76" s="3" t="s">
        <v>426</v>
      </c>
    </row>
    <row r="77">
      <c r="A77" s="1"/>
      <c r="B77" s="1" t="s">
        <v>427</v>
      </c>
      <c r="C77" s="2"/>
      <c r="D77" s="2"/>
      <c r="E77" s="2"/>
      <c r="F77" s="2"/>
      <c r="G77" s="2"/>
      <c r="H77" s="2"/>
      <c r="I77" s="2"/>
      <c r="J77" s="2"/>
      <c r="K77" s="2"/>
      <c r="L77" s="2">
        <v>5.0</v>
      </c>
    </row>
    <row r="78" hidden="1">
      <c r="A78" s="3" t="str">
        <f>B77</f>
        <v>Neurofisiología Clínica</v>
      </c>
      <c r="B78" s="3" t="s">
        <v>2</v>
      </c>
      <c r="C78" s="4">
        <f t="shared" ref="C78:L78" si="38">(C77/C$2)*1000</f>
        <v>0</v>
      </c>
      <c r="D78" s="4">
        <f t="shared" si="38"/>
        <v>0</v>
      </c>
      <c r="E78" s="4">
        <f t="shared" si="38"/>
        <v>0</v>
      </c>
      <c r="F78" s="4">
        <f t="shared" si="38"/>
        <v>0</v>
      </c>
      <c r="G78" s="4">
        <f t="shared" si="38"/>
        <v>0</v>
      </c>
      <c r="H78" s="4">
        <f t="shared" si="38"/>
        <v>0</v>
      </c>
      <c r="I78" s="4">
        <f t="shared" si="38"/>
        <v>0</v>
      </c>
      <c r="J78" s="4">
        <f t="shared" si="38"/>
        <v>0</v>
      </c>
      <c r="K78" s="4">
        <f t="shared" si="38"/>
        <v>0</v>
      </c>
      <c r="L78" s="4">
        <f t="shared" si="38"/>
        <v>0.1561231499</v>
      </c>
      <c r="M78" s="3" t="s">
        <v>427</v>
      </c>
    </row>
    <row r="79">
      <c r="A79" s="1"/>
      <c r="B79" s="1" t="s">
        <v>428</v>
      </c>
      <c r="C79" s="1">
        <v>221.0</v>
      </c>
      <c r="D79" s="1">
        <v>222.0</v>
      </c>
      <c r="E79" s="1">
        <v>224.0</v>
      </c>
      <c r="F79" s="1">
        <v>221.0</v>
      </c>
      <c r="G79" s="1">
        <v>222.0</v>
      </c>
      <c r="H79" s="1">
        <v>222.0</v>
      </c>
      <c r="I79" s="1">
        <v>220.0</v>
      </c>
      <c r="J79" s="1">
        <v>222.0</v>
      </c>
      <c r="K79" s="1">
        <v>221.0</v>
      </c>
      <c r="L79" s="1">
        <v>216.0</v>
      </c>
    </row>
    <row r="80" hidden="1">
      <c r="A80" s="3" t="str">
        <f>B79</f>
        <v>Neurología</v>
      </c>
      <c r="B80" s="3" t="s">
        <v>2</v>
      </c>
      <c r="C80" s="4">
        <f t="shared" ref="C80:L80" si="39">(C79/C$2)*1000</f>
        <v>8.969883919</v>
      </c>
      <c r="D80" s="4">
        <f t="shared" si="39"/>
        <v>8.907077516</v>
      </c>
      <c r="E80" s="4">
        <f t="shared" si="39"/>
        <v>8.856555433</v>
      </c>
      <c r="F80" s="4">
        <f t="shared" si="39"/>
        <v>8.640575517</v>
      </c>
      <c r="G80" s="4">
        <f t="shared" si="39"/>
        <v>8.324271626</v>
      </c>
      <c r="H80" s="4">
        <f t="shared" si="39"/>
        <v>8.206113925</v>
      </c>
      <c r="I80" s="4">
        <f t="shared" si="39"/>
        <v>7.892093557</v>
      </c>
      <c r="J80" s="4">
        <f t="shared" si="39"/>
        <v>7.83981354</v>
      </c>
      <c r="K80" s="4">
        <f t="shared" si="39"/>
        <v>7.633587786</v>
      </c>
      <c r="L80" s="4">
        <f t="shared" si="39"/>
        <v>6.744520077</v>
      </c>
      <c r="M80" s="3" t="s">
        <v>428</v>
      </c>
    </row>
    <row r="81">
      <c r="A81" s="1"/>
      <c r="B81" s="1" t="s">
        <v>431</v>
      </c>
      <c r="C81" s="1">
        <v>37.0</v>
      </c>
      <c r="D81" s="1">
        <v>42.0</v>
      </c>
      <c r="E81" s="1">
        <v>47.0</v>
      </c>
      <c r="F81" s="1">
        <v>49.0</v>
      </c>
      <c r="G81" s="1">
        <v>64.0</v>
      </c>
      <c r="H81" s="1">
        <v>62.0</v>
      </c>
      <c r="I81" s="1">
        <v>64.0</v>
      </c>
      <c r="J81" s="1">
        <v>72.0</v>
      </c>
      <c r="K81" s="1">
        <v>74.0</v>
      </c>
      <c r="L81" s="1">
        <v>74.0</v>
      </c>
    </row>
    <row r="82" hidden="1">
      <c r="A82" s="3" t="str">
        <f>B81</f>
        <v>Neurología Pediátrica</v>
      </c>
      <c r="B82" s="3" t="s">
        <v>2</v>
      </c>
      <c r="C82" s="23">
        <f t="shared" ref="C82:L82" si="40">(C81/C$2)*1000</f>
        <v>1.501745272</v>
      </c>
      <c r="D82" s="23">
        <f t="shared" si="40"/>
        <v>1.685122773</v>
      </c>
      <c r="E82" s="23">
        <f t="shared" si="40"/>
        <v>1.858295113</v>
      </c>
      <c r="F82" s="23">
        <f t="shared" si="40"/>
        <v>1.915783712</v>
      </c>
      <c r="G82" s="23">
        <f t="shared" si="40"/>
        <v>2.399790018</v>
      </c>
      <c r="H82" s="23">
        <f t="shared" si="40"/>
        <v>2.291797583</v>
      </c>
      <c r="I82" s="23">
        <f t="shared" si="40"/>
        <v>2.295881762</v>
      </c>
      <c r="J82" s="23">
        <f t="shared" si="40"/>
        <v>2.542642229</v>
      </c>
      <c r="K82" s="23">
        <f t="shared" si="40"/>
        <v>2.556042969</v>
      </c>
      <c r="L82" s="23">
        <f t="shared" si="40"/>
        <v>2.310622619</v>
      </c>
      <c r="M82" s="3" t="s">
        <v>431</v>
      </c>
    </row>
    <row r="83">
      <c r="A83" s="1"/>
      <c r="B83" s="1" t="s">
        <v>435</v>
      </c>
      <c r="C83" s="1">
        <v>747.0</v>
      </c>
      <c r="D83" s="1">
        <v>766.0</v>
      </c>
      <c r="E83" s="1">
        <v>766.0</v>
      </c>
      <c r="F83" s="1">
        <v>746.0</v>
      </c>
      <c r="G83" s="1">
        <v>771.0</v>
      </c>
      <c r="H83" s="1">
        <v>799.0</v>
      </c>
      <c r="I83" s="1">
        <v>780.0</v>
      </c>
      <c r="J83" s="1">
        <v>777.0</v>
      </c>
      <c r="K83" s="1">
        <v>776.0</v>
      </c>
      <c r="L83" s="1">
        <v>809.0</v>
      </c>
    </row>
    <row r="84" hidden="1">
      <c r="A84" s="3" t="str">
        <f>B83</f>
        <v>Oftalmología</v>
      </c>
      <c r="B84" s="3" t="s">
        <v>2</v>
      </c>
      <c r="C84" s="4">
        <f t="shared" ref="C84:L84" si="41">(C83/C$2)*1000</f>
        <v>30.3190194</v>
      </c>
      <c r="D84" s="4">
        <f t="shared" si="41"/>
        <v>30.73342963</v>
      </c>
      <c r="E84" s="4">
        <f t="shared" si="41"/>
        <v>30.28625652</v>
      </c>
      <c r="F84" s="4">
        <f t="shared" si="41"/>
        <v>29.16682957</v>
      </c>
      <c r="G84" s="4">
        <f t="shared" si="41"/>
        <v>28.90997038</v>
      </c>
      <c r="H84" s="4">
        <f t="shared" si="41"/>
        <v>29.53461723</v>
      </c>
      <c r="I84" s="4">
        <f t="shared" si="41"/>
        <v>27.98105898</v>
      </c>
      <c r="J84" s="4">
        <f t="shared" si="41"/>
        <v>27.43934739</v>
      </c>
      <c r="K84" s="4">
        <f t="shared" si="41"/>
        <v>26.80391005</v>
      </c>
      <c r="L84" s="4">
        <f t="shared" si="41"/>
        <v>25.26072566</v>
      </c>
      <c r="M84" s="3" t="s">
        <v>435</v>
      </c>
    </row>
    <row r="85">
      <c r="A85" s="1"/>
      <c r="B85" s="32" t="s">
        <v>4</v>
      </c>
      <c r="C85" s="32">
        <v>190.0</v>
      </c>
      <c r="D85" s="32">
        <v>192.0</v>
      </c>
      <c r="E85" s="32">
        <v>201.0</v>
      </c>
      <c r="F85" s="32">
        <v>208.0</v>
      </c>
      <c r="G85" s="32">
        <v>222.0</v>
      </c>
      <c r="H85" s="32">
        <v>238.0</v>
      </c>
      <c r="I85" s="32">
        <v>237.0</v>
      </c>
      <c r="J85" s="32">
        <v>242.0</v>
      </c>
      <c r="K85" s="32">
        <v>244.0</v>
      </c>
      <c r="L85" s="32">
        <v>246.0</v>
      </c>
    </row>
    <row r="86" hidden="1">
      <c r="A86" s="3" t="str">
        <f>B85</f>
        <v>Oncología Médica</v>
      </c>
      <c r="B86" s="32" t="s">
        <v>2</v>
      </c>
      <c r="C86" s="33">
        <f t="shared" ref="C86:L86" si="42">(C85/C$2)*1000</f>
        <v>7.711664908</v>
      </c>
      <c r="D86" s="33">
        <f t="shared" si="42"/>
        <v>7.703418392</v>
      </c>
      <c r="E86" s="33">
        <f t="shared" si="42"/>
        <v>7.947176973</v>
      </c>
      <c r="F86" s="33">
        <f t="shared" si="42"/>
        <v>8.132306369</v>
      </c>
      <c r="G86" s="33">
        <f t="shared" si="42"/>
        <v>8.324271626</v>
      </c>
      <c r="H86" s="33">
        <f t="shared" si="42"/>
        <v>8.797545559</v>
      </c>
      <c r="I86" s="33">
        <f t="shared" si="42"/>
        <v>8.50193715</v>
      </c>
      <c r="J86" s="33">
        <f t="shared" si="42"/>
        <v>8.546103048</v>
      </c>
      <c r="K86" s="33">
        <f t="shared" si="42"/>
        <v>8.428033574</v>
      </c>
      <c r="L86" s="33">
        <f t="shared" si="42"/>
        <v>7.681258977</v>
      </c>
      <c r="M86" s="3" t="s">
        <v>4</v>
      </c>
    </row>
    <row r="87">
      <c r="A87" s="1"/>
      <c r="B87" s="32" t="s">
        <v>17</v>
      </c>
      <c r="C87" s="32">
        <v>15.0</v>
      </c>
      <c r="D87" s="32">
        <v>24.0</v>
      </c>
      <c r="E87" s="32">
        <v>27.0</v>
      </c>
      <c r="F87" s="32">
        <v>37.0</v>
      </c>
      <c r="G87" s="32">
        <v>40.0</v>
      </c>
      <c r="H87" s="32">
        <v>46.0</v>
      </c>
      <c r="I87" s="32">
        <v>93.0</v>
      </c>
      <c r="J87" s="32">
        <v>92.0</v>
      </c>
      <c r="K87" s="32">
        <v>98.0</v>
      </c>
      <c r="L87" s="32">
        <v>105.0</v>
      </c>
    </row>
    <row r="88" hidden="1">
      <c r="A88" s="3" t="str">
        <f>B87</f>
        <v>Oncología Pediátrica</v>
      </c>
      <c r="B88" s="32" t="s">
        <v>2</v>
      </c>
      <c r="C88" s="33">
        <f t="shared" ref="C88:L88" si="43">(C87/C$2)*1000</f>
        <v>0.6088156506</v>
      </c>
      <c r="D88" s="33">
        <f t="shared" si="43"/>
        <v>0.962927299</v>
      </c>
      <c r="E88" s="33">
        <f t="shared" si="43"/>
        <v>1.067531235</v>
      </c>
      <c r="F88" s="33">
        <f t="shared" si="43"/>
        <v>1.446612191</v>
      </c>
      <c r="G88" s="33">
        <f t="shared" si="43"/>
        <v>1.499868761</v>
      </c>
      <c r="H88" s="33">
        <f t="shared" si="43"/>
        <v>1.700365948</v>
      </c>
      <c r="I88" s="33">
        <f t="shared" si="43"/>
        <v>3.336203186</v>
      </c>
      <c r="J88" s="33">
        <f t="shared" si="43"/>
        <v>3.248931737</v>
      </c>
      <c r="K88" s="33">
        <f t="shared" si="43"/>
        <v>3.385029878</v>
      </c>
      <c r="L88" s="33">
        <f t="shared" si="43"/>
        <v>3.278586149</v>
      </c>
      <c r="M88" s="3" t="s">
        <v>17</v>
      </c>
    </row>
    <row r="89">
      <c r="A89" s="1"/>
      <c r="B89" s="32" t="s">
        <v>21</v>
      </c>
      <c r="C89" s="32">
        <v>228.0</v>
      </c>
      <c r="D89" s="32">
        <v>238.0</v>
      </c>
      <c r="E89" s="32">
        <v>243.0</v>
      </c>
      <c r="F89" s="32">
        <v>242.0</v>
      </c>
      <c r="G89" s="32">
        <v>270.0</v>
      </c>
      <c r="H89" s="32">
        <v>287.0</v>
      </c>
      <c r="I89" s="32">
        <v>295.0</v>
      </c>
      <c r="J89" s="32">
        <v>287.0</v>
      </c>
      <c r="K89" s="32">
        <v>285.0</v>
      </c>
      <c r="L89" s="32">
        <v>307.0</v>
      </c>
    </row>
    <row r="90" hidden="1">
      <c r="A90" s="3" t="str">
        <f>B89</f>
        <v>Oncología Quirúrgica</v>
      </c>
      <c r="B90" s="32" t="s">
        <v>2</v>
      </c>
      <c r="C90" s="35">
        <f t="shared" ref="C90:L90" si="44">(C89/C$2)*1000</f>
        <v>9.253997889</v>
      </c>
      <c r="D90" s="35">
        <f t="shared" si="44"/>
        <v>9.549029048</v>
      </c>
      <c r="E90" s="35">
        <f t="shared" si="44"/>
        <v>9.607781117</v>
      </c>
      <c r="F90" s="35">
        <f t="shared" si="44"/>
        <v>9.461625679</v>
      </c>
      <c r="G90" s="35">
        <f t="shared" si="44"/>
        <v>10.12411414</v>
      </c>
      <c r="H90" s="35">
        <f t="shared" si="44"/>
        <v>10.60880494</v>
      </c>
      <c r="I90" s="35">
        <f t="shared" si="44"/>
        <v>10.58258</v>
      </c>
      <c r="J90" s="35">
        <f t="shared" si="44"/>
        <v>10.13525444</v>
      </c>
      <c r="K90" s="35">
        <f t="shared" si="44"/>
        <v>9.844219543</v>
      </c>
      <c r="L90" s="35">
        <f t="shared" si="44"/>
        <v>9.585961406</v>
      </c>
      <c r="M90" s="3" t="s">
        <v>21</v>
      </c>
    </row>
    <row r="91">
      <c r="A91" s="1"/>
      <c r="B91" s="1" t="s">
        <v>460</v>
      </c>
      <c r="C91" s="1">
        <v>606.0</v>
      </c>
      <c r="D91" s="1">
        <v>604.0</v>
      </c>
      <c r="E91" s="1">
        <v>606.0</v>
      </c>
      <c r="F91" s="1">
        <v>607.0</v>
      </c>
      <c r="G91" s="1">
        <v>606.0</v>
      </c>
      <c r="H91" s="1">
        <v>608.0</v>
      </c>
      <c r="I91" s="1">
        <v>608.0</v>
      </c>
      <c r="J91" s="1">
        <v>579.0</v>
      </c>
      <c r="K91" s="1">
        <v>562.0</v>
      </c>
      <c r="L91" s="1">
        <v>570.0</v>
      </c>
    </row>
    <row r="92" hidden="1">
      <c r="A92" s="3" t="str">
        <f>B91</f>
        <v>Otorrinolaringología</v>
      </c>
      <c r="B92" s="3" t="s">
        <v>2</v>
      </c>
      <c r="C92" s="4">
        <f t="shared" ref="C92:L92" si="45">(C91/C$2)*1000</f>
        <v>24.59615229</v>
      </c>
      <c r="D92" s="4">
        <f t="shared" si="45"/>
        <v>24.23367036</v>
      </c>
      <c r="E92" s="4">
        <f t="shared" si="45"/>
        <v>23.9601455</v>
      </c>
      <c r="F92" s="4">
        <f t="shared" si="45"/>
        <v>23.73225945</v>
      </c>
      <c r="G92" s="4">
        <f t="shared" si="45"/>
        <v>22.72301174</v>
      </c>
      <c r="H92" s="4">
        <f t="shared" si="45"/>
        <v>22.4744021</v>
      </c>
      <c r="I92" s="4">
        <f t="shared" si="45"/>
        <v>21.81087674</v>
      </c>
      <c r="J92" s="4">
        <f t="shared" si="45"/>
        <v>20.44708126</v>
      </c>
      <c r="K92" s="4">
        <f t="shared" si="45"/>
        <v>19.41211012</v>
      </c>
      <c r="L92" s="4">
        <f t="shared" si="45"/>
        <v>17.79803909</v>
      </c>
      <c r="M92" s="3" t="s">
        <v>460</v>
      </c>
    </row>
    <row r="93">
      <c r="A93" s="1"/>
      <c r="B93" s="1" t="s">
        <v>483</v>
      </c>
      <c r="K93" s="1">
        <v>1.0</v>
      </c>
      <c r="L93" s="1">
        <v>2.0</v>
      </c>
    </row>
    <row r="94" hidden="1">
      <c r="A94" s="3" t="str">
        <f>B93</f>
        <v>Otorrinolaringología Pediátrica</v>
      </c>
      <c r="B94" s="3" t="s">
        <v>2</v>
      </c>
      <c r="C94" s="4">
        <f t="shared" ref="C94:L94" si="46">(C93/C$2)*1000</f>
        <v>0</v>
      </c>
      <c r="D94" s="4">
        <f t="shared" si="46"/>
        <v>0</v>
      </c>
      <c r="E94" s="4">
        <f t="shared" si="46"/>
        <v>0</v>
      </c>
      <c r="F94" s="4">
        <f t="shared" si="46"/>
        <v>0</v>
      </c>
      <c r="G94" s="4">
        <f t="shared" si="46"/>
        <v>0</v>
      </c>
      <c r="H94" s="4">
        <f t="shared" si="46"/>
        <v>0</v>
      </c>
      <c r="I94" s="4">
        <f t="shared" si="46"/>
        <v>0</v>
      </c>
      <c r="J94" s="4">
        <f t="shared" si="46"/>
        <v>0</v>
      </c>
      <c r="K94" s="4">
        <f t="shared" si="46"/>
        <v>0.0345411212</v>
      </c>
      <c r="L94" s="4">
        <f t="shared" si="46"/>
        <v>0.06244925998</v>
      </c>
      <c r="M94" s="3" t="s">
        <v>483</v>
      </c>
    </row>
    <row r="95">
      <c r="A95" s="1"/>
      <c r="B95" s="1" t="s">
        <v>487</v>
      </c>
      <c r="C95" s="1">
        <v>0.0</v>
      </c>
      <c r="D95" s="1">
        <v>0.0</v>
      </c>
      <c r="E95" s="1">
        <v>0.0</v>
      </c>
      <c r="F95" s="1">
        <v>1.0</v>
      </c>
      <c r="G95" s="1">
        <v>4.0</v>
      </c>
      <c r="H95" s="1">
        <v>7.0</v>
      </c>
      <c r="I95" s="1">
        <v>9.0</v>
      </c>
      <c r="J95" s="1">
        <v>19.0</v>
      </c>
      <c r="K95" s="1">
        <v>18.0</v>
      </c>
      <c r="L95" s="1">
        <v>19.0</v>
      </c>
    </row>
    <row r="96" hidden="1">
      <c r="A96" s="3" t="str">
        <f>B95</f>
        <v>Paido Psiquiatría</v>
      </c>
      <c r="B96" s="3" t="s">
        <v>2</v>
      </c>
      <c r="C96" s="4">
        <f t="shared" ref="C96:L96" si="47">(C95/C$2)*1000</f>
        <v>0</v>
      </c>
      <c r="D96" s="4">
        <f t="shared" si="47"/>
        <v>0</v>
      </c>
      <c r="E96" s="4">
        <f t="shared" si="47"/>
        <v>0</v>
      </c>
      <c r="F96" s="4">
        <f t="shared" si="47"/>
        <v>0.03909762677</v>
      </c>
      <c r="G96" s="4">
        <f t="shared" si="47"/>
        <v>0.1499868761</v>
      </c>
      <c r="H96" s="4">
        <f t="shared" si="47"/>
        <v>0.25875134</v>
      </c>
      <c r="I96" s="4">
        <f t="shared" si="47"/>
        <v>0.3228583728</v>
      </c>
      <c r="J96" s="4">
        <f t="shared" si="47"/>
        <v>0.6709750327</v>
      </c>
      <c r="K96" s="4">
        <f t="shared" si="47"/>
        <v>0.6217401817</v>
      </c>
      <c r="L96" s="4">
        <f t="shared" si="47"/>
        <v>0.5932679698</v>
      </c>
      <c r="M96" s="3" t="s">
        <v>487</v>
      </c>
    </row>
    <row r="97">
      <c r="A97" s="1"/>
      <c r="B97" s="1" t="s">
        <v>492</v>
      </c>
      <c r="I97" s="1">
        <v>1.0</v>
      </c>
      <c r="J97" s="1">
        <v>8.0</v>
      </c>
      <c r="K97" s="1">
        <v>10.0</v>
      </c>
      <c r="L97" s="1">
        <v>17.0</v>
      </c>
    </row>
    <row r="98" hidden="1">
      <c r="A98" s="3" t="str">
        <f>B97</f>
        <v>Patología Clínica</v>
      </c>
      <c r="B98" s="3" t="s">
        <v>2</v>
      </c>
      <c r="C98" s="23">
        <f t="shared" ref="C98:L98" si="48">(C97/C$2)*1000</f>
        <v>0</v>
      </c>
      <c r="D98" s="23">
        <f t="shared" si="48"/>
        <v>0</v>
      </c>
      <c r="E98" s="23">
        <f t="shared" si="48"/>
        <v>0</v>
      </c>
      <c r="F98" s="23">
        <f t="shared" si="48"/>
        <v>0</v>
      </c>
      <c r="G98" s="23">
        <f t="shared" si="48"/>
        <v>0</v>
      </c>
      <c r="H98" s="23">
        <f t="shared" si="48"/>
        <v>0</v>
      </c>
      <c r="I98" s="23">
        <f t="shared" si="48"/>
        <v>0.03587315253</v>
      </c>
      <c r="J98" s="23">
        <f t="shared" si="48"/>
        <v>0.2825158032</v>
      </c>
      <c r="K98" s="23">
        <f t="shared" si="48"/>
        <v>0.345411212</v>
      </c>
      <c r="L98" s="23">
        <f t="shared" si="48"/>
        <v>0.5308187098</v>
      </c>
      <c r="M98" s="3" t="s">
        <v>492</v>
      </c>
    </row>
    <row r="99">
      <c r="A99" s="1"/>
      <c r="B99" s="1" t="s">
        <v>501</v>
      </c>
      <c r="K99" s="1">
        <v>1.0</v>
      </c>
      <c r="L99" s="1">
        <v>1.0</v>
      </c>
    </row>
    <row r="100" hidden="1">
      <c r="A100" s="3" t="str">
        <f>B99</f>
        <v>Patología Pediátrica</v>
      </c>
      <c r="B100" s="3" t="s">
        <v>2</v>
      </c>
      <c r="C100" s="4">
        <f t="shared" ref="C100:L100" si="49">(C99/C$2)*1000</f>
        <v>0</v>
      </c>
      <c r="D100" s="4">
        <f t="shared" si="49"/>
        <v>0</v>
      </c>
      <c r="E100" s="4">
        <f t="shared" si="49"/>
        <v>0</v>
      </c>
      <c r="F100" s="4">
        <f t="shared" si="49"/>
        <v>0</v>
      </c>
      <c r="G100" s="4">
        <f t="shared" si="49"/>
        <v>0</v>
      </c>
      <c r="H100" s="4">
        <f t="shared" si="49"/>
        <v>0</v>
      </c>
      <c r="I100" s="4">
        <f t="shared" si="49"/>
        <v>0</v>
      </c>
      <c r="J100" s="4">
        <f t="shared" si="49"/>
        <v>0</v>
      </c>
      <c r="K100" s="4">
        <f t="shared" si="49"/>
        <v>0.0345411212</v>
      </c>
      <c r="L100" s="4">
        <f t="shared" si="49"/>
        <v>0.03122462999</v>
      </c>
      <c r="M100" s="3" t="s">
        <v>501</v>
      </c>
    </row>
    <row r="101">
      <c r="A101" s="1"/>
      <c r="B101" s="1" t="s">
        <v>505</v>
      </c>
      <c r="C101" s="2">
        <v>3372.0</v>
      </c>
      <c r="D101" s="2">
        <v>3374.0</v>
      </c>
      <c r="E101" s="2">
        <v>3396.0</v>
      </c>
      <c r="F101" s="2">
        <v>3399.0</v>
      </c>
      <c r="G101" s="2">
        <v>3455.0</v>
      </c>
      <c r="H101" s="2">
        <v>3477.0</v>
      </c>
      <c r="I101" s="2">
        <v>3643.0</v>
      </c>
      <c r="J101" s="2">
        <v>3669.0</v>
      </c>
      <c r="K101" s="2">
        <v>3681.0</v>
      </c>
      <c r="L101" s="2">
        <v>4069.0</v>
      </c>
    </row>
    <row r="102" hidden="1">
      <c r="A102" s="3" t="str">
        <f>B101</f>
        <v>Pediatría Médica</v>
      </c>
      <c r="B102" s="3" t="s">
        <v>2</v>
      </c>
      <c r="C102" s="4">
        <f t="shared" ref="C102:L102" si="50">(C101/C$2)*1000</f>
        <v>136.8617583</v>
      </c>
      <c r="D102" s="4">
        <f t="shared" si="50"/>
        <v>135.3715294</v>
      </c>
      <c r="E102" s="4">
        <f t="shared" si="50"/>
        <v>134.2717065</v>
      </c>
      <c r="F102" s="4">
        <f t="shared" si="50"/>
        <v>132.8928334</v>
      </c>
      <c r="G102" s="4">
        <f t="shared" si="50"/>
        <v>129.5511643</v>
      </c>
      <c r="H102" s="4">
        <f t="shared" si="50"/>
        <v>128.525487</v>
      </c>
      <c r="I102" s="4">
        <f t="shared" si="50"/>
        <v>130.6858947</v>
      </c>
      <c r="J102" s="4">
        <f t="shared" si="50"/>
        <v>129.5688103</v>
      </c>
      <c r="K102" s="4">
        <f t="shared" si="50"/>
        <v>127.1458672</v>
      </c>
      <c r="L102" s="4">
        <f t="shared" si="50"/>
        <v>127.0530194</v>
      </c>
      <c r="M102" s="3" t="s">
        <v>505</v>
      </c>
    </row>
    <row r="103">
      <c r="A103" s="1"/>
      <c r="B103" s="1" t="s">
        <v>513</v>
      </c>
      <c r="C103" s="1">
        <v>70.0</v>
      </c>
      <c r="D103" s="1">
        <v>76.0</v>
      </c>
      <c r="E103" s="1">
        <v>78.0</v>
      </c>
      <c r="F103" s="1">
        <v>83.0</v>
      </c>
      <c r="G103" s="1">
        <v>97.0</v>
      </c>
      <c r="H103" s="1">
        <v>94.0</v>
      </c>
      <c r="I103" s="1">
        <v>92.0</v>
      </c>
      <c r="J103" s="1">
        <v>91.0</v>
      </c>
      <c r="K103" s="1">
        <v>106.0</v>
      </c>
      <c r="L103" s="1">
        <v>109.0</v>
      </c>
    </row>
    <row r="104" hidden="1">
      <c r="A104" s="3" t="str">
        <f>B103</f>
        <v>Proctología</v>
      </c>
      <c r="B104" s="3" t="s">
        <v>2</v>
      </c>
      <c r="C104" s="4">
        <f t="shared" ref="C104:L104" si="51">(C103/C$2)*1000</f>
        <v>2.841139703</v>
      </c>
      <c r="D104" s="4">
        <f t="shared" si="51"/>
        <v>3.04926978</v>
      </c>
      <c r="E104" s="4">
        <f t="shared" si="51"/>
        <v>3.083979124</v>
      </c>
      <c r="F104" s="4">
        <f t="shared" si="51"/>
        <v>3.245103022</v>
      </c>
      <c r="G104" s="4">
        <f t="shared" si="51"/>
        <v>3.637181747</v>
      </c>
      <c r="H104" s="4">
        <f t="shared" si="51"/>
        <v>3.474660851</v>
      </c>
      <c r="I104" s="4">
        <f t="shared" si="51"/>
        <v>3.300330033</v>
      </c>
      <c r="J104" s="4">
        <f t="shared" si="51"/>
        <v>3.213617262</v>
      </c>
      <c r="K104" s="4">
        <f t="shared" si="51"/>
        <v>3.661358848</v>
      </c>
      <c r="L104" s="4">
        <f t="shared" si="51"/>
        <v>3.403484669</v>
      </c>
      <c r="M104" s="3" t="s">
        <v>513</v>
      </c>
    </row>
    <row r="105">
      <c r="A105" s="1"/>
      <c r="B105" s="1" t="s">
        <v>520</v>
      </c>
      <c r="C105" s="1">
        <v>326.0</v>
      </c>
      <c r="D105" s="1">
        <v>334.0</v>
      </c>
      <c r="E105" s="1">
        <v>334.0</v>
      </c>
      <c r="F105" s="1">
        <v>335.0</v>
      </c>
      <c r="G105" s="1">
        <v>360.0</v>
      </c>
      <c r="H105" s="1">
        <v>359.0</v>
      </c>
      <c r="I105" s="1">
        <v>395.0</v>
      </c>
      <c r="J105" s="1">
        <v>386.0</v>
      </c>
      <c r="K105" s="1">
        <v>383.0</v>
      </c>
      <c r="L105" s="1">
        <v>395.0</v>
      </c>
    </row>
    <row r="106" hidden="1">
      <c r="A106" s="3" t="str">
        <f>B105</f>
        <v>Psiquiatría (Terapia Psicológica)</v>
      </c>
      <c r="B106" s="3" t="s">
        <v>2</v>
      </c>
      <c r="C106" s="23">
        <f t="shared" ref="C106:L106" si="52">(C105/C$2)*1000</f>
        <v>13.23159347</v>
      </c>
      <c r="D106" s="23">
        <f t="shared" si="52"/>
        <v>13.40073824</v>
      </c>
      <c r="E106" s="23">
        <f t="shared" si="52"/>
        <v>13.20575676</v>
      </c>
      <c r="F106" s="23">
        <f t="shared" si="52"/>
        <v>13.09770497</v>
      </c>
      <c r="G106" s="23">
        <f t="shared" si="52"/>
        <v>13.49881885</v>
      </c>
      <c r="H106" s="23">
        <f t="shared" si="52"/>
        <v>13.27024729</v>
      </c>
      <c r="I106" s="23">
        <f t="shared" si="52"/>
        <v>14.16989525</v>
      </c>
      <c r="J106" s="23">
        <f t="shared" si="52"/>
        <v>13.63138751</v>
      </c>
      <c r="K106" s="23">
        <f t="shared" si="52"/>
        <v>13.22924942</v>
      </c>
      <c r="L106" s="23">
        <f t="shared" si="52"/>
        <v>12.33372885</v>
      </c>
      <c r="M106" s="3" t="s">
        <v>520</v>
      </c>
    </row>
    <row r="107">
      <c r="A107" s="1"/>
      <c r="B107" s="1" t="s">
        <v>530</v>
      </c>
      <c r="C107" s="1">
        <v>133.0</v>
      </c>
      <c r="D107" s="1">
        <v>135.0</v>
      </c>
      <c r="E107" s="1">
        <v>147.0</v>
      </c>
      <c r="F107" s="1">
        <v>147.0</v>
      </c>
      <c r="G107" s="1">
        <v>174.0</v>
      </c>
      <c r="H107" s="1">
        <v>170.0</v>
      </c>
      <c r="I107" s="1">
        <v>176.0</v>
      </c>
      <c r="J107" s="1">
        <v>179.0</v>
      </c>
      <c r="K107" s="1">
        <v>188.0</v>
      </c>
      <c r="L107" s="1">
        <v>196.0</v>
      </c>
    </row>
    <row r="108" hidden="1">
      <c r="A108" s="3" t="str">
        <f>B107</f>
        <v>Reumatología</v>
      </c>
      <c r="B108" s="3" t="s">
        <v>2</v>
      </c>
      <c r="C108" s="4">
        <f t="shared" ref="C108:L108" si="53">(C107/C$2)*1000</f>
        <v>5.398165436</v>
      </c>
      <c r="D108" s="4">
        <f t="shared" si="53"/>
        <v>5.416466057</v>
      </c>
      <c r="E108" s="4">
        <f t="shared" si="53"/>
        <v>5.812114503</v>
      </c>
      <c r="F108" s="4">
        <f t="shared" si="53"/>
        <v>5.747351136</v>
      </c>
      <c r="G108" s="4">
        <f t="shared" si="53"/>
        <v>6.524429112</v>
      </c>
      <c r="H108" s="4">
        <f t="shared" si="53"/>
        <v>6.283961113</v>
      </c>
      <c r="I108" s="4">
        <f t="shared" si="53"/>
        <v>6.313674846</v>
      </c>
      <c r="J108" s="4">
        <f t="shared" si="53"/>
        <v>6.321291097</v>
      </c>
      <c r="K108" s="4">
        <f t="shared" si="53"/>
        <v>6.493730787</v>
      </c>
      <c r="L108" s="4">
        <f t="shared" si="53"/>
        <v>6.120027478</v>
      </c>
      <c r="M108" s="3" t="s">
        <v>530</v>
      </c>
    </row>
    <row r="109">
      <c r="A109" s="1"/>
      <c r="B109" s="1" t="s">
        <v>537</v>
      </c>
      <c r="H109" s="1">
        <v>1.0</v>
      </c>
      <c r="I109" s="1">
        <v>3.0</v>
      </c>
      <c r="J109" s="1">
        <v>4.0</v>
      </c>
      <c r="K109" s="1">
        <v>6.0</v>
      </c>
      <c r="L109" s="1">
        <v>7.0</v>
      </c>
    </row>
    <row r="110" hidden="1">
      <c r="A110" s="3" t="str">
        <f>B109</f>
        <v>Reumatología Pediátrica</v>
      </c>
      <c r="B110" s="3" t="s">
        <v>2</v>
      </c>
      <c r="C110" s="4">
        <f t="shared" ref="C110:L110" si="54">(C109/C$2)*1000</f>
        <v>0</v>
      </c>
      <c r="D110" s="4">
        <f t="shared" si="54"/>
        <v>0</v>
      </c>
      <c r="E110" s="4">
        <f t="shared" si="54"/>
        <v>0</v>
      </c>
      <c r="F110" s="4">
        <f t="shared" si="54"/>
        <v>0</v>
      </c>
      <c r="G110" s="4">
        <f t="shared" si="54"/>
        <v>0</v>
      </c>
      <c r="H110" s="4">
        <f t="shared" si="54"/>
        <v>0.03696447714</v>
      </c>
      <c r="I110" s="4">
        <f t="shared" si="54"/>
        <v>0.1076194576</v>
      </c>
      <c r="J110" s="4">
        <f t="shared" si="54"/>
        <v>0.1412579016</v>
      </c>
      <c r="K110" s="4">
        <f t="shared" si="54"/>
        <v>0.2072467272</v>
      </c>
      <c r="L110" s="4">
        <f t="shared" si="54"/>
        <v>0.2185724099</v>
      </c>
      <c r="M110" s="3" t="s">
        <v>537</v>
      </c>
    </row>
    <row r="111">
      <c r="A111" s="1"/>
      <c r="B111" s="1" t="s">
        <v>543</v>
      </c>
      <c r="C111" s="1">
        <v>813.0</v>
      </c>
      <c r="D111" s="1">
        <v>828.0</v>
      </c>
      <c r="E111" s="1">
        <v>845.0</v>
      </c>
      <c r="F111" s="1">
        <v>859.0</v>
      </c>
      <c r="G111" s="1">
        <v>881.0</v>
      </c>
      <c r="H111" s="1">
        <v>887.0</v>
      </c>
      <c r="I111" s="1">
        <v>921.0</v>
      </c>
      <c r="J111" s="1">
        <v>947.0</v>
      </c>
      <c r="K111" s="2">
        <v>1022.0</v>
      </c>
      <c r="L111" s="2">
        <v>1084.0</v>
      </c>
    </row>
    <row r="112" hidden="1">
      <c r="A112" s="3" t="str">
        <f>B111</f>
        <v>Salud en el Trabajo</v>
      </c>
      <c r="B112" s="3" t="s">
        <v>2</v>
      </c>
      <c r="C112" s="4">
        <f t="shared" ref="C112:L112" si="55">(C111/C$2)*1000</f>
        <v>32.99780826</v>
      </c>
      <c r="D112" s="4">
        <f t="shared" si="55"/>
        <v>33.22099182</v>
      </c>
      <c r="E112" s="4">
        <f t="shared" si="55"/>
        <v>33.40977384</v>
      </c>
      <c r="F112" s="4">
        <f t="shared" si="55"/>
        <v>33.5848614</v>
      </c>
      <c r="G112" s="4">
        <f t="shared" si="55"/>
        <v>33.03460947</v>
      </c>
      <c r="H112" s="4">
        <f t="shared" si="55"/>
        <v>32.78749122</v>
      </c>
      <c r="I112" s="4">
        <f t="shared" si="55"/>
        <v>33.03917348</v>
      </c>
      <c r="J112" s="4">
        <f t="shared" si="55"/>
        <v>33.44280821</v>
      </c>
      <c r="K112" s="4">
        <f t="shared" si="55"/>
        <v>35.30102587</v>
      </c>
      <c r="L112" s="4">
        <f t="shared" si="55"/>
        <v>33.84749891</v>
      </c>
      <c r="M112" s="3" t="s">
        <v>543</v>
      </c>
    </row>
    <row r="113">
      <c r="A113" s="1"/>
      <c r="B113" s="1" t="s">
        <v>545</v>
      </c>
      <c r="C113" s="2">
        <v>1097.0</v>
      </c>
      <c r="D113" s="2">
        <v>1089.0</v>
      </c>
      <c r="E113" s="2">
        <v>1126.0</v>
      </c>
      <c r="F113" s="2">
        <v>1153.0</v>
      </c>
      <c r="G113" s="2">
        <v>1188.0</v>
      </c>
      <c r="H113" s="2">
        <v>1216.0</v>
      </c>
      <c r="I113" s="2">
        <v>1266.0</v>
      </c>
      <c r="J113" s="2">
        <v>1311.0</v>
      </c>
      <c r="K113" s="2">
        <v>1350.0</v>
      </c>
      <c r="L113" s="2">
        <v>1398.0</v>
      </c>
    </row>
    <row r="114" hidden="1">
      <c r="A114" s="3" t="str">
        <f>B113</f>
        <v>Terapia Intensiva</v>
      </c>
      <c r="B114" s="3" t="s">
        <v>2</v>
      </c>
      <c r="C114" s="23">
        <f t="shared" ref="C114:L114" si="56">(C113/C$2)*1000</f>
        <v>44.52471792</v>
      </c>
      <c r="D114" s="23">
        <f t="shared" si="56"/>
        <v>43.69282619</v>
      </c>
      <c r="E114" s="23">
        <f t="shared" si="56"/>
        <v>44.52000633</v>
      </c>
      <c r="F114" s="23">
        <f t="shared" si="56"/>
        <v>45.07956367</v>
      </c>
      <c r="G114" s="23">
        <f t="shared" si="56"/>
        <v>44.54610222</v>
      </c>
      <c r="H114" s="23">
        <f t="shared" si="56"/>
        <v>44.9488042</v>
      </c>
      <c r="I114" s="23">
        <f t="shared" si="56"/>
        <v>45.41541111</v>
      </c>
      <c r="J114" s="23">
        <f t="shared" si="56"/>
        <v>46.29727725</v>
      </c>
      <c r="K114" s="23">
        <f t="shared" si="56"/>
        <v>46.63051363</v>
      </c>
      <c r="L114" s="23">
        <f t="shared" si="56"/>
        <v>43.65203272</v>
      </c>
      <c r="M114" s="3" t="s">
        <v>545</v>
      </c>
    </row>
    <row r="115">
      <c r="A115" s="1"/>
      <c r="B115" s="1" t="s">
        <v>552</v>
      </c>
      <c r="C115" s="1">
        <v>7.0</v>
      </c>
      <c r="D115" s="1">
        <v>7.0</v>
      </c>
      <c r="E115" s="1">
        <v>6.0</v>
      </c>
      <c r="F115" s="1">
        <v>7.0</v>
      </c>
      <c r="G115" s="1">
        <v>6.0</v>
      </c>
      <c r="H115" s="1">
        <v>7.0</v>
      </c>
      <c r="I115" s="1">
        <v>7.0</v>
      </c>
      <c r="J115" s="1">
        <v>6.0</v>
      </c>
      <c r="K115" s="1">
        <v>7.0</v>
      </c>
      <c r="L115" s="1">
        <v>6.0</v>
      </c>
    </row>
    <row r="116" hidden="1">
      <c r="A116" s="3" t="str">
        <f>B115</f>
        <v>Trasplante de Corazón</v>
      </c>
      <c r="B116" s="3" t="s">
        <v>2</v>
      </c>
      <c r="C116" s="4">
        <f t="shared" ref="C116:L116" si="57">(C115/C$2)*1000</f>
        <v>0.2841139703</v>
      </c>
      <c r="D116" s="4">
        <f t="shared" si="57"/>
        <v>0.2808537955</v>
      </c>
      <c r="E116" s="4">
        <f t="shared" si="57"/>
        <v>0.2372291634</v>
      </c>
      <c r="F116" s="4">
        <f t="shared" si="57"/>
        <v>0.2736833874</v>
      </c>
      <c r="G116" s="4">
        <f t="shared" si="57"/>
        <v>0.2249803142</v>
      </c>
      <c r="H116" s="4">
        <f t="shared" si="57"/>
        <v>0.25875134</v>
      </c>
      <c r="I116" s="4">
        <f t="shared" si="57"/>
        <v>0.2511120677</v>
      </c>
      <c r="J116" s="4">
        <f t="shared" si="57"/>
        <v>0.2118868524</v>
      </c>
      <c r="K116" s="4">
        <f t="shared" si="57"/>
        <v>0.2417878484</v>
      </c>
      <c r="L116" s="4">
        <f t="shared" si="57"/>
        <v>0.1873477799</v>
      </c>
      <c r="M116" s="3" t="s">
        <v>552</v>
      </c>
    </row>
    <row r="117">
      <c r="A117" s="1"/>
      <c r="B117" s="1" t="s">
        <v>581</v>
      </c>
      <c r="C117" s="1">
        <v>10.0</v>
      </c>
      <c r="D117" s="1">
        <v>9.0</v>
      </c>
      <c r="E117" s="1">
        <v>10.0</v>
      </c>
      <c r="F117" s="1">
        <v>9.0</v>
      </c>
      <c r="G117" s="1">
        <v>10.0</v>
      </c>
      <c r="H117" s="1">
        <v>9.0</v>
      </c>
      <c r="I117" s="1">
        <v>12.0</v>
      </c>
      <c r="J117" s="1">
        <v>11.0</v>
      </c>
      <c r="K117" s="1">
        <v>18.0</v>
      </c>
      <c r="L117" s="1">
        <v>19.0</v>
      </c>
    </row>
    <row r="118" hidden="1">
      <c r="A118" s="3" t="str">
        <f>B117</f>
        <v>Trasplante de Córnea</v>
      </c>
      <c r="B118" s="3" t="s">
        <v>2</v>
      </c>
      <c r="C118" s="4">
        <f t="shared" ref="C118:L118" si="58">(C117/C$2)*1000</f>
        <v>0.4058771004</v>
      </c>
      <c r="D118" s="4">
        <f t="shared" si="58"/>
        <v>0.3610977371</v>
      </c>
      <c r="E118" s="4">
        <f t="shared" si="58"/>
        <v>0.395381939</v>
      </c>
      <c r="F118" s="4">
        <f t="shared" si="58"/>
        <v>0.351878641</v>
      </c>
      <c r="G118" s="4">
        <f t="shared" si="58"/>
        <v>0.3749671904</v>
      </c>
      <c r="H118" s="4">
        <f t="shared" si="58"/>
        <v>0.3326802942</v>
      </c>
      <c r="I118" s="4">
        <f t="shared" si="58"/>
        <v>0.4304778304</v>
      </c>
      <c r="J118" s="4">
        <f t="shared" si="58"/>
        <v>0.3884592294</v>
      </c>
      <c r="K118" s="4">
        <f t="shared" si="58"/>
        <v>0.6217401817</v>
      </c>
      <c r="L118" s="4">
        <f t="shared" si="58"/>
        <v>0.5932679698</v>
      </c>
      <c r="M118" s="3" t="s">
        <v>581</v>
      </c>
    </row>
    <row r="119">
      <c r="A119" s="1"/>
      <c r="B119" s="1" t="s">
        <v>593</v>
      </c>
      <c r="C119" s="1">
        <v>7.0</v>
      </c>
      <c r="D119" s="1">
        <v>8.0</v>
      </c>
      <c r="E119" s="1">
        <v>5.0</v>
      </c>
      <c r="F119" s="1">
        <v>7.0</v>
      </c>
      <c r="G119" s="1">
        <v>8.0</v>
      </c>
      <c r="H119" s="1">
        <v>9.0</v>
      </c>
      <c r="I119" s="1">
        <v>10.0</v>
      </c>
      <c r="J119" s="1">
        <v>9.0</v>
      </c>
      <c r="K119" s="1">
        <v>15.0</v>
      </c>
      <c r="L119" s="1">
        <v>24.0</v>
      </c>
    </row>
    <row r="120" hidden="1">
      <c r="A120" s="3" t="str">
        <f>B119</f>
        <v>Trasplante de Médula Ósea</v>
      </c>
      <c r="B120" s="3" t="s">
        <v>2</v>
      </c>
      <c r="C120" s="4">
        <f t="shared" ref="C120:L120" si="59">(C119/C$2)*1000</f>
        <v>0.2841139703</v>
      </c>
      <c r="D120" s="4">
        <f t="shared" si="59"/>
        <v>0.3209757663</v>
      </c>
      <c r="E120" s="4">
        <f t="shared" si="59"/>
        <v>0.1976909695</v>
      </c>
      <c r="F120" s="4">
        <f t="shared" si="59"/>
        <v>0.2736833874</v>
      </c>
      <c r="G120" s="4">
        <f t="shared" si="59"/>
        <v>0.2999737523</v>
      </c>
      <c r="H120" s="4">
        <f t="shared" si="59"/>
        <v>0.3326802942</v>
      </c>
      <c r="I120" s="4">
        <f t="shared" si="59"/>
        <v>0.3587315253</v>
      </c>
      <c r="J120" s="4">
        <f t="shared" si="59"/>
        <v>0.3178302786</v>
      </c>
      <c r="K120" s="4">
        <f t="shared" si="59"/>
        <v>0.5181168181</v>
      </c>
      <c r="L120" s="4">
        <f t="shared" si="59"/>
        <v>0.7493911197</v>
      </c>
      <c r="M120" s="3" t="s">
        <v>593</v>
      </c>
    </row>
    <row r="121">
      <c r="A121" s="1"/>
      <c r="B121" s="1" t="s">
        <v>612</v>
      </c>
      <c r="C121" s="1">
        <v>109.0</v>
      </c>
      <c r="D121" s="1">
        <v>104.0</v>
      </c>
      <c r="E121" s="1">
        <v>102.0</v>
      </c>
      <c r="F121" s="1">
        <v>112.0</v>
      </c>
      <c r="G121" s="1">
        <v>103.0</v>
      </c>
      <c r="H121" s="1">
        <v>104.0</v>
      </c>
      <c r="I121" s="1">
        <v>107.0</v>
      </c>
      <c r="J121" s="1">
        <v>114.0</v>
      </c>
      <c r="K121" s="1">
        <v>126.0</v>
      </c>
      <c r="L121" s="1">
        <v>129.0</v>
      </c>
    </row>
    <row r="122" hidden="1">
      <c r="A122" s="3" t="str">
        <f>B121</f>
        <v>Trasplante de Órganos Intrabdominales</v>
      </c>
      <c r="B122" s="3" t="s">
        <v>2</v>
      </c>
      <c r="C122" s="23">
        <f t="shared" ref="C122:L122" si="60">(C121/C$2)*1000</f>
        <v>4.424060395</v>
      </c>
      <c r="D122" s="23">
        <f t="shared" si="60"/>
        <v>4.172684962</v>
      </c>
      <c r="E122" s="23">
        <f t="shared" si="60"/>
        <v>4.032895777</v>
      </c>
      <c r="F122" s="23">
        <f t="shared" si="60"/>
        <v>4.378934199</v>
      </c>
      <c r="G122" s="23">
        <f t="shared" si="60"/>
        <v>3.862162061</v>
      </c>
      <c r="H122" s="23">
        <f t="shared" si="60"/>
        <v>3.844305622</v>
      </c>
      <c r="I122" s="23">
        <f t="shared" si="60"/>
        <v>3.838427321</v>
      </c>
      <c r="J122" s="23">
        <f t="shared" si="60"/>
        <v>4.025850196</v>
      </c>
      <c r="K122" s="23">
        <f t="shared" si="60"/>
        <v>4.352181272</v>
      </c>
      <c r="L122" s="23">
        <f t="shared" si="60"/>
        <v>4.027977268</v>
      </c>
      <c r="M122" s="3" t="s">
        <v>612</v>
      </c>
    </row>
    <row r="123">
      <c r="A123" s="1"/>
      <c r="B123" s="1" t="s">
        <v>615</v>
      </c>
      <c r="C123" s="2">
        <v>1982.0</v>
      </c>
      <c r="D123" s="2">
        <v>2021.0</v>
      </c>
      <c r="E123" s="2">
        <v>2050.0</v>
      </c>
      <c r="F123" s="2">
        <v>2093.0</v>
      </c>
      <c r="G123" s="2">
        <v>2185.0</v>
      </c>
      <c r="H123" s="2">
        <v>2187.0</v>
      </c>
      <c r="I123" s="2">
        <v>2260.0</v>
      </c>
      <c r="J123" s="2">
        <v>2312.0</v>
      </c>
      <c r="K123" s="2">
        <v>2378.0</v>
      </c>
      <c r="L123" s="2">
        <v>2660.0</v>
      </c>
    </row>
    <row r="124" hidden="1">
      <c r="A124" s="3" t="str">
        <f>B123</f>
        <v>Traumatología y Ortopedia</v>
      </c>
      <c r="B124" s="3" t="s">
        <v>2</v>
      </c>
      <c r="C124" s="4">
        <f t="shared" ref="C124:L124" si="61">(C123/C$2)*1000</f>
        <v>80.4448413</v>
      </c>
      <c r="D124" s="4">
        <f t="shared" si="61"/>
        <v>81.08650297</v>
      </c>
      <c r="E124" s="4">
        <f t="shared" si="61"/>
        <v>81.05329749</v>
      </c>
      <c r="F124" s="4">
        <f t="shared" si="61"/>
        <v>81.83133284</v>
      </c>
      <c r="G124" s="4">
        <f t="shared" si="61"/>
        <v>81.9303311</v>
      </c>
      <c r="H124" s="4">
        <f t="shared" si="61"/>
        <v>80.8413115</v>
      </c>
      <c r="I124" s="4">
        <f t="shared" si="61"/>
        <v>81.07332472</v>
      </c>
      <c r="J124" s="4">
        <f t="shared" si="61"/>
        <v>81.64706713</v>
      </c>
      <c r="K124" s="4">
        <f t="shared" si="61"/>
        <v>82.13878623</v>
      </c>
      <c r="L124" s="4">
        <f t="shared" si="61"/>
        <v>83.05751577</v>
      </c>
      <c r="M124" s="3" t="s">
        <v>615</v>
      </c>
    </row>
    <row r="125">
      <c r="A125" s="1"/>
      <c r="B125" s="1" t="s">
        <v>623</v>
      </c>
      <c r="L125" s="1">
        <v>1.0</v>
      </c>
    </row>
    <row r="126" hidden="1">
      <c r="A126" s="3" t="str">
        <f>B125</f>
        <v>Traumatologia Y Ortopedia Pediátrica</v>
      </c>
      <c r="B126" s="3" t="s">
        <v>2</v>
      </c>
      <c r="C126" s="4">
        <f t="shared" ref="C126:L126" si="62">(C125/C$2)*1000</f>
        <v>0</v>
      </c>
      <c r="D126" s="4">
        <f t="shared" si="62"/>
        <v>0</v>
      </c>
      <c r="E126" s="4">
        <f t="shared" si="62"/>
        <v>0</v>
      </c>
      <c r="F126" s="4">
        <f t="shared" si="62"/>
        <v>0</v>
      </c>
      <c r="G126" s="4">
        <f t="shared" si="62"/>
        <v>0</v>
      </c>
      <c r="H126" s="4">
        <f t="shared" si="62"/>
        <v>0</v>
      </c>
      <c r="I126" s="4">
        <f t="shared" si="62"/>
        <v>0</v>
      </c>
      <c r="J126" s="4">
        <f t="shared" si="62"/>
        <v>0</v>
      </c>
      <c r="K126" s="4">
        <f t="shared" si="62"/>
        <v>0</v>
      </c>
      <c r="L126" s="4">
        <f t="shared" si="62"/>
        <v>0.03122462999</v>
      </c>
      <c r="M126" s="3" t="s">
        <v>623</v>
      </c>
    </row>
    <row r="127">
      <c r="A127" s="1"/>
      <c r="B127" s="1" t="s">
        <v>629</v>
      </c>
      <c r="C127" s="1">
        <v>510.0</v>
      </c>
      <c r="D127" s="1">
        <v>514.0</v>
      </c>
      <c r="E127" s="1">
        <v>519.0</v>
      </c>
      <c r="F127" s="1">
        <v>527.0</v>
      </c>
      <c r="G127" s="1">
        <v>598.0</v>
      </c>
      <c r="H127" s="1">
        <v>605.0</v>
      </c>
      <c r="I127" s="1">
        <v>594.0</v>
      </c>
      <c r="J127" s="1">
        <v>579.0</v>
      </c>
      <c r="K127" s="1">
        <v>573.0</v>
      </c>
      <c r="L127" s="1">
        <v>591.0</v>
      </c>
    </row>
    <row r="128" hidden="1">
      <c r="A128" s="3" t="str">
        <f>B127</f>
        <v>Urología</v>
      </c>
      <c r="B128" s="3" t="s">
        <v>2</v>
      </c>
      <c r="C128" s="4">
        <f t="shared" ref="C128:L128" si="63">(C127/C$2)*1000</f>
        <v>20.69973212</v>
      </c>
      <c r="D128" s="4">
        <f t="shared" si="63"/>
        <v>20.62269299</v>
      </c>
      <c r="E128" s="4">
        <f t="shared" si="63"/>
        <v>20.52032263</v>
      </c>
      <c r="F128" s="4">
        <f t="shared" si="63"/>
        <v>20.60444931</v>
      </c>
      <c r="G128" s="4">
        <f t="shared" si="63"/>
        <v>22.42303798</v>
      </c>
      <c r="H128" s="4">
        <f t="shared" si="63"/>
        <v>22.36350867</v>
      </c>
      <c r="I128" s="4">
        <f t="shared" si="63"/>
        <v>21.3086526</v>
      </c>
      <c r="J128" s="4">
        <f t="shared" si="63"/>
        <v>20.44708126</v>
      </c>
      <c r="K128" s="4">
        <f t="shared" si="63"/>
        <v>19.79206245</v>
      </c>
      <c r="L128" s="4">
        <f t="shared" si="63"/>
        <v>18.45375632</v>
      </c>
      <c r="M128" s="3" t="s">
        <v>629</v>
      </c>
    </row>
    <row r="129">
      <c r="A129" s="1"/>
      <c r="B129" s="1" t="s">
        <v>645</v>
      </c>
      <c r="I129" s="1">
        <v>3.0</v>
      </c>
      <c r="J129" s="1">
        <v>4.0</v>
      </c>
      <c r="K129" s="1">
        <v>4.0</v>
      </c>
      <c r="L129" s="1">
        <v>17.0</v>
      </c>
    </row>
    <row r="130" hidden="1">
      <c r="A130" s="3" t="str">
        <f>B129</f>
        <v>Urología Ginecológica</v>
      </c>
      <c r="B130" s="3" t="s">
        <v>2</v>
      </c>
      <c r="C130" s="23">
        <f t="shared" ref="C130:L130" si="64">(C129/C$2)*1000</f>
        <v>0</v>
      </c>
      <c r="D130" s="23">
        <f t="shared" si="64"/>
        <v>0</v>
      </c>
      <c r="E130" s="23">
        <f t="shared" si="64"/>
        <v>0</v>
      </c>
      <c r="F130" s="23">
        <f t="shared" si="64"/>
        <v>0</v>
      </c>
      <c r="G130" s="23">
        <f t="shared" si="64"/>
        <v>0</v>
      </c>
      <c r="H130" s="23">
        <f t="shared" si="64"/>
        <v>0</v>
      </c>
      <c r="I130" s="23">
        <f t="shared" si="64"/>
        <v>0.1076194576</v>
      </c>
      <c r="J130" s="23">
        <f t="shared" si="64"/>
        <v>0.1412579016</v>
      </c>
      <c r="K130" s="23">
        <f t="shared" si="64"/>
        <v>0.1381644848</v>
      </c>
      <c r="L130" s="23">
        <f t="shared" si="64"/>
        <v>0.5308187098</v>
      </c>
      <c r="M130" s="3" t="s">
        <v>645</v>
      </c>
    </row>
    <row r="131">
      <c r="A131" s="1"/>
      <c r="B131" s="1" t="s">
        <v>651</v>
      </c>
      <c r="L131" s="1">
        <v>2.0</v>
      </c>
    </row>
    <row r="132" hidden="1">
      <c r="A132" s="3" t="str">
        <f>B131</f>
        <v>Urología Pediátrica</v>
      </c>
      <c r="B132" s="3" t="s">
        <v>2</v>
      </c>
      <c r="C132" s="4">
        <f t="shared" ref="C132:L132" si="65">(C131/C$2)*1000</f>
        <v>0</v>
      </c>
      <c r="D132" s="4">
        <f t="shared" si="65"/>
        <v>0</v>
      </c>
      <c r="E132" s="4">
        <f t="shared" si="65"/>
        <v>0</v>
      </c>
      <c r="F132" s="4">
        <f t="shared" si="65"/>
        <v>0</v>
      </c>
      <c r="G132" s="4">
        <f t="shared" si="65"/>
        <v>0</v>
      </c>
      <c r="H132" s="4">
        <f t="shared" si="65"/>
        <v>0</v>
      </c>
      <c r="I132" s="4">
        <f t="shared" si="65"/>
        <v>0</v>
      </c>
      <c r="J132" s="4">
        <f t="shared" si="65"/>
        <v>0</v>
      </c>
      <c r="K132" s="4">
        <f t="shared" si="65"/>
        <v>0</v>
      </c>
      <c r="L132" s="4">
        <f t="shared" si="65"/>
        <v>0.06244925998</v>
      </c>
      <c r="M132" s="3" t="s">
        <v>651</v>
      </c>
    </row>
  </sheetData>
  <autoFilter ref="$A$1:$AA$132">
    <filterColumn colId="1">
      <filters>
        <filter val="Pediatría Médica"/>
        <filter val="Audiología"/>
        <filter val="Trasplante de Córnea"/>
        <filter val="Medicina Física y Rehabilitación"/>
        <filter val="Traumatología y Ortopedia"/>
        <filter val="Paido Psiquiatría"/>
        <filter val="Urología Ginecológica"/>
        <filter val="Alergia e Inmunología (Laboratorio)"/>
        <filter val="Alergia e Inmunología Clínica Pediátrica"/>
        <filter val="Cirugía Plástica y Reconstructiva"/>
        <filter val="Neurología Pediátrica"/>
        <filter val="Infectología Pediátrica"/>
        <filter val="Cardiología Pediátrica"/>
        <filter val="Cirugía General"/>
        <filter val="Hematología"/>
        <filter val="Gastroenterología Pediátrica"/>
        <filter val="Oftalmología"/>
        <filter val="Psiquiatría (Terapia Psicológica)"/>
        <filter val="Especialistas"/>
        <filter val="Patología Pediátrica"/>
        <filter val="Cirugía Pediátrica"/>
        <filter val="Neurocirugía Pediátrica"/>
        <filter val="Infectología"/>
        <filter val="Cirugía Cardiovascular Torácica"/>
        <filter val="Traumatologia Y Ortopedia Pediátrica"/>
        <filter val="Urología"/>
        <filter val="Neurología"/>
        <filter val="Médico del Enfermo Pediátrico en Estado Crítico"/>
        <filter val="Dermatología"/>
        <filter val="Otorrinolaringología Pediátrica"/>
        <filter val="Oncología Médica"/>
        <filter val="Medicina Materno Fetal"/>
        <filter val="Calidad de la Atención Clínica"/>
        <filter val="Gastroenterología"/>
        <filter val="Nefrología"/>
        <filter val="Medicina Interna"/>
        <filter val="Ginecología Oncológica"/>
        <filter val="Trasplante de Órganos Intrabdominales"/>
        <filter val="Proctología"/>
        <filter val="Endocrinología Pediátrica"/>
        <filter val="Genética"/>
        <filter val="Geriatría"/>
        <filter val="Cirugía Maxilofacial"/>
        <filter val="Urología Pediátrica"/>
        <filter val="Oncología Quirúrgica"/>
        <filter val="Neumología"/>
        <filter val="Cardiología"/>
        <filter val="Angiología"/>
        <filter val="Neumología Pediátrica"/>
        <filter val="Oncología Pediátrica"/>
        <filter val="Otorrinolaringología"/>
        <filter val="Terapia Intensiva"/>
        <filter val="Nefrología Pediátrica"/>
        <filter val="Ginecología y Obstetricia"/>
        <filter val="Patología Clínica"/>
        <filter val="Salud en el Trabajo"/>
        <filter val="Endocrinología"/>
        <filter val="Neurocirugía"/>
        <filter val="Reumatología"/>
        <filter val="Trasplante de Corazón"/>
        <filter val="Medicina Paliativa"/>
        <filter val="Trasplante de Médula Ósea"/>
        <filter val="Hematología Pediátrica"/>
        <filter val="Neonatología"/>
        <filter val="Neurofisiología Clínica"/>
        <filter val="Reumatología Pediátrica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>
        <v>2016.0</v>
      </c>
      <c r="C1" s="1">
        <v>2017.0</v>
      </c>
      <c r="D1" s="1">
        <v>2018.0</v>
      </c>
      <c r="E1" s="1">
        <v>2019.0</v>
      </c>
      <c r="F1" s="1">
        <v>2020.0</v>
      </c>
      <c r="G1" s="1">
        <v>2021.0</v>
      </c>
      <c r="H1" s="1">
        <v>2022.0</v>
      </c>
      <c r="I1" s="1">
        <v>2023.0</v>
      </c>
      <c r="J1" s="1">
        <v>2024.0</v>
      </c>
      <c r="K1" s="1">
        <v>2025.0</v>
      </c>
    </row>
    <row r="2">
      <c r="A2" s="1" t="s">
        <v>3</v>
      </c>
      <c r="B2" s="2">
        <v>4.5713742E7</v>
      </c>
      <c r="C2" s="2">
        <v>4.8118552E7</v>
      </c>
      <c r="D2" s="2">
        <v>4.9874155E7</v>
      </c>
      <c r="E2" s="2">
        <v>5.1676407E7</v>
      </c>
      <c r="F2" s="2">
        <v>5.0014154E7</v>
      </c>
      <c r="G2" s="2">
        <v>5.1996266E7</v>
      </c>
      <c r="H2" s="2">
        <v>5.400458E7</v>
      </c>
      <c r="I2" s="2">
        <v>5.5293584E7</v>
      </c>
      <c r="J2" s="2">
        <v>5.5752441E7</v>
      </c>
      <c r="K2" s="2">
        <v>5.6585206E7</v>
      </c>
    </row>
    <row r="3">
      <c r="A3" s="1" t="s">
        <v>4</v>
      </c>
      <c r="B3" s="1">
        <v>190.0</v>
      </c>
      <c r="C3" s="1">
        <v>192.0</v>
      </c>
      <c r="D3" s="1">
        <v>201.0</v>
      </c>
      <c r="E3" s="1">
        <v>208.0</v>
      </c>
      <c r="F3" s="1">
        <v>222.0</v>
      </c>
      <c r="G3" s="1">
        <v>238.0</v>
      </c>
      <c r="H3" s="1">
        <v>237.0</v>
      </c>
      <c r="I3" s="1">
        <v>242.0</v>
      </c>
      <c r="J3" s="1">
        <v>244.0</v>
      </c>
      <c r="K3" s="1">
        <v>246.0</v>
      </c>
    </row>
    <row r="4">
      <c r="B4" s="5">
        <f t="shared" ref="B4:K4" si="1">(B3/B$2)*1000</f>
        <v>0.004156299434</v>
      </c>
      <c r="C4" s="5">
        <f t="shared" si="1"/>
        <v>0.003990145007</v>
      </c>
      <c r="D4" s="5">
        <f t="shared" si="1"/>
        <v>0.004030143468</v>
      </c>
      <c r="E4" s="5">
        <f t="shared" si="1"/>
        <v>0.004025047639</v>
      </c>
      <c r="F4" s="5">
        <f t="shared" si="1"/>
        <v>0.00443874348</v>
      </c>
      <c r="G4" s="5">
        <f t="shared" si="1"/>
        <v>0.004577251759</v>
      </c>
      <c r="H4" s="5">
        <f t="shared" si="1"/>
        <v>0.004388516678</v>
      </c>
      <c r="I4" s="5">
        <f t="shared" si="1"/>
        <v>0.004376637984</v>
      </c>
      <c r="J4" s="5">
        <f t="shared" si="1"/>
        <v>0.004376489991</v>
      </c>
      <c r="K4" s="5">
        <f t="shared" si="1"/>
        <v>0.004347426075</v>
      </c>
    </row>
    <row r="5">
      <c r="A5" s="1" t="s">
        <v>17</v>
      </c>
      <c r="B5" s="1">
        <v>15.0</v>
      </c>
      <c r="C5" s="1">
        <v>24.0</v>
      </c>
      <c r="D5" s="1">
        <v>27.0</v>
      </c>
      <c r="E5" s="1">
        <v>37.0</v>
      </c>
      <c r="F5" s="1">
        <v>40.0</v>
      </c>
      <c r="G5" s="1">
        <v>46.0</v>
      </c>
      <c r="H5" s="1">
        <v>93.0</v>
      </c>
      <c r="I5" s="1">
        <v>92.0</v>
      </c>
      <c r="J5" s="1">
        <v>98.0</v>
      </c>
      <c r="K5" s="1">
        <v>105.0</v>
      </c>
    </row>
    <row r="6">
      <c r="B6" s="5">
        <f t="shared" ref="B6:K6" si="2">(B5/B$2)*1000</f>
        <v>0.0003281289027</v>
      </c>
      <c r="C6" s="5">
        <f t="shared" si="2"/>
        <v>0.0004987681259</v>
      </c>
      <c r="D6" s="5">
        <f t="shared" si="2"/>
        <v>0.0005413625554</v>
      </c>
      <c r="E6" s="5">
        <f t="shared" si="2"/>
        <v>0.0007159940512</v>
      </c>
      <c r="F6" s="5">
        <f t="shared" si="2"/>
        <v>0.0007997736001</v>
      </c>
      <c r="G6" s="5">
        <f t="shared" si="2"/>
        <v>0.0008846789114</v>
      </c>
      <c r="H6" s="5">
        <f t="shared" si="2"/>
        <v>0.001722076165</v>
      </c>
      <c r="I6" s="5">
        <f t="shared" si="2"/>
        <v>0.001663845845</v>
      </c>
      <c r="J6" s="5">
        <f t="shared" si="2"/>
        <v>0.00175777057</v>
      </c>
      <c r="K6" s="5">
        <f t="shared" si="2"/>
        <v>0.00185560869</v>
      </c>
    </row>
    <row r="7">
      <c r="A7" s="1" t="s">
        <v>21</v>
      </c>
      <c r="B7" s="1">
        <v>228.0</v>
      </c>
      <c r="C7" s="1">
        <v>238.0</v>
      </c>
      <c r="D7" s="1">
        <v>243.0</v>
      </c>
      <c r="E7" s="1">
        <v>242.0</v>
      </c>
      <c r="F7" s="1">
        <v>270.0</v>
      </c>
      <c r="G7" s="1">
        <v>287.0</v>
      </c>
      <c r="H7" s="1">
        <v>295.0</v>
      </c>
      <c r="I7" s="1">
        <v>287.0</v>
      </c>
      <c r="J7" s="1">
        <v>285.0</v>
      </c>
      <c r="K7" s="1">
        <v>307.0</v>
      </c>
    </row>
    <row r="8">
      <c r="B8" s="5">
        <f t="shared" ref="B8:K8" si="3">(B7/B$2)*1000</f>
        <v>0.004987559321</v>
      </c>
      <c r="C8" s="5">
        <f t="shared" si="3"/>
        <v>0.004946117248</v>
      </c>
      <c r="D8" s="5">
        <f t="shared" si="3"/>
        <v>0.004872262999</v>
      </c>
      <c r="E8" s="5">
        <f t="shared" si="3"/>
        <v>0.004682988119</v>
      </c>
      <c r="F8" s="5">
        <f t="shared" si="3"/>
        <v>0.005398471801</v>
      </c>
      <c r="G8" s="5">
        <f t="shared" si="3"/>
        <v>0.005519627121</v>
      </c>
      <c r="H8" s="5">
        <f t="shared" si="3"/>
        <v>0.005462499662</v>
      </c>
      <c r="I8" s="5">
        <f t="shared" si="3"/>
        <v>0.005190475626</v>
      </c>
      <c r="J8" s="5">
        <f t="shared" si="3"/>
        <v>0.005111883801</v>
      </c>
      <c r="K8" s="5">
        <f t="shared" si="3"/>
        <v>0.005425446361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38</v>
      </c>
      <c r="B1" s="1" t="s">
        <v>39</v>
      </c>
      <c r="C1" s="1" t="s">
        <v>40</v>
      </c>
      <c r="D1" s="1" t="s">
        <v>42</v>
      </c>
    </row>
    <row r="2">
      <c r="A2" s="1" t="s">
        <v>43</v>
      </c>
      <c r="B2" s="1" t="s">
        <v>45</v>
      </c>
      <c r="C2" s="1">
        <v>68329.0</v>
      </c>
      <c r="D2" s="26">
        <v>42005.0</v>
      </c>
    </row>
    <row r="3">
      <c r="A3" s="1" t="s">
        <v>49</v>
      </c>
      <c r="B3" s="1" t="s">
        <v>45</v>
      </c>
      <c r="C3" s="1">
        <v>163262.0</v>
      </c>
      <c r="D3" s="26">
        <v>42005.0</v>
      </c>
    </row>
    <row r="4">
      <c r="A4" s="1" t="s">
        <v>51</v>
      </c>
      <c r="B4" s="1" t="s">
        <v>45</v>
      </c>
      <c r="C4" s="1">
        <v>20971.0</v>
      </c>
      <c r="D4" s="26">
        <v>42005.0</v>
      </c>
    </row>
    <row r="5">
      <c r="A5" s="1" t="s">
        <v>54</v>
      </c>
      <c r="B5" s="1" t="s">
        <v>45</v>
      </c>
      <c r="C5" s="1">
        <v>44840.0</v>
      </c>
      <c r="D5" s="26">
        <v>42005.0</v>
      </c>
    </row>
    <row r="6">
      <c r="A6" s="1" t="s">
        <v>57</v>
      </c>
      <c r="B6" s="1" t="s">
        <v>45</v>
      </c>
      <c r="C6" s="1">
        <v>107708.0</v>
      </c>
      <c r="D6" s="26">
        <v>42005.0</v>
      </c>
    </row>
    <row r="7">
      <c r="A7" s="1" t="s">
        <v>60</v>
      </c>
      <c r="B7" s="1" t="s">
        <v>45</v>
      </c>
      <c r="C7" s="1">
        <v>10314.0</v>
      </c>
      <c r="D7" s="26">
        <v>42005.0</v>
      </c>
    </row>
    <row r="8">
      <c r="A8" s="1" t="s">
        <v>81</v>
      </c>
      <c r="B8" s="1" t="s">
        <v>45</v>
      </c>
      <c r="C8" s="1">
        <v>21687.0</v>
      </c>
      <c r="D8" s="26">
        <v>42005.0</v>
      </c>
    </row>
    <row r="9">
      <c r="A9" s="1" t="s">
        <v>84</v>
      </c>
      <c r="B9" s="1" t="s">
        <v>45</v>
      </c>
      <c r="C9" s="1">
        <v>79967.0</v>
      </c>
      <c r="D9" s="26">
        <v>42005.0</v>
      </c>
    </row>
    <row r="10">
      <c r="A10" s="1" t="s">
        <v>86</v>
      </c>
      <c r="B10" s="1" t="s">
        <v>45</v>
      </c>
      <c r="C10" s="1">
        <v>93262.0</v>
      </c>
      <c r="D10" s="26">
        <v>42005.0</v>
      </c>
    </row>
    <row r="11">
      <c r="A11" s="1" t="s">
        <v>88</v>
      </c>
      <c r="B11" s="1" t="s">
        <v>45</v>
      </c>
      <c r="C11" s="1">
        <v>308912.0</v>
      </c>
      <c r="D11" s="26">
        <v>42005.0</v>
      </c>
    </row>
    <row r="12">
      <c r="A12" s="1" t="s">
        <v>90</v>
      </c>
      <c r="B12" s="1" t="s">
        <v>45</v>
      </c>
      <c r="C12" s="1">
        <v>65730.0</v>
      </c>
      <c r="D12" s="26">
        <v>42005.0</v>
      </c>
    </row>
    <row r="13">
      <c r="A13" s="1" t="s">
        <v>92</v>
      </c>
      <c r="B13" s="1" t="s">
        <v>45</v>
      </c>
      <c r="C13" s="1">
        <v>109054.0</v>
      </c>
      <c r="D13" s="26">
        <v>42005.0</v>
      </c>
    </row>
    <row r="14">
      <c r="A14" s="1" t="s">
        <v>94</v>
      </c>
      <c r="B14" s="1" t="s">
        <v>45</v>
      </c>
      <c r="C14" s="1">
        <v>86443.0</v>
      </c>
      <c r="D14" s="26">
        <v>42005.0</v>
      </c>
    </row>
    <row r="15">
      <c r="A15" s="1" t="s">
        <v>96</v>
      </c>
      <c r="B15" s="1" t="s">
        <v>45</v>
      </c>
      <c r="C15" s="1">
        <v>38515.0</v>
      </c>
      <c r="D15" s="26">
        <v>42005.0</v>
      </c>
    </row>
    <row r="16">
      <c r="A16" s="1" t="s">
        <v>98</v>
      </c>
      <c r="B16" s="1" t="s">
        <v>45</v>
      </c>
      <c r="C16" s="1">
        <v>139873.0</v>
      </c>
      <c r="D16" s="26">
        <v>42005.0</v>
      </c>
    </row>
    <row r="17">
      <c r="A17" s="1" t="s">
        <v>100</v>
      </c>
      <c r="B17" s="1" t="s">
        <v>45</v>
      </c>
      <c r="C17" s="1">
        <v>286560.0</v>
      </c>
      <c r="D17" s="26">
        <v>42005.0</v>
      </c>
    </row>
    <row r="18">
      <c r="A18" s="1" t="s">
        <v>102</v>
      </c>
      <c r="B18" s="1" t="s">
        <v>45</v>
      </c>
      <c r="C18" s="1">
        <v>136093.0</v>
      </c>
      <c r="D18" s="26">
        <v>42005.0</v>
      </c>
    </row>
    <row r="19">
      <c r="A19" s="1" t="s">
        <v>103</v>
      </c>
      <c r="B19" s="1" t="s">
        <v>45</v>
      </c>
      <c r="C19" s="1">
        <v>85582.0</v>
      </c>
      <c r="D19" s="26">
        <v>42005.0</v>
      </c>
    </row>
    <row r="20">
      <c r="A20" s="1" t="s">
        <v>105</v>
      </c>
      <c r="B20" s="1" t="s">
        <v>45</v>
      </c>
      <c r="C20" s="1">
        <v>30543.0</v>
      </c>
      <c r="D20" s="26">
        <v>42005.0</v>
      </c>
    </row>
    <row r="21">
      <c r="A21" s="1" t="s">
        <v>106</v>
      </c>
      <c r="B21" s="1" t="s">
        <v>45</v>
      </c>
      <c r="C21" s="1">
        <v>25923.0</v>
      </c>
      <c r="D21" s="26">
        <v>42005.0</v>
      </c>
    </row>
    <row r="22">
      <c r="A22" s="1" t="s">
        <v>108</v>
      </c>
      <c r="B22" s="1" t="s">
        <v>45</v>
      </c>
      <c r="C22" s="1">
        <v>197846.0</v>
      </c>
      <c r="D22" s="26">
        <v>42005.0</v>
      </c>
    </row>
    <row r="23">
      <c r="A23" s="1" t="s">
        <v>109</v>
      </c>
      <c r="B23" s="1" t="s">
        <v>45</v>
      </c>
      <c r="C23" s="1">
        <v>23091.0</v>
      </c>
      <c r="D23" s="26">
        <v>42005.0</v>
      </c>
    </row>
    <row r="24">
      <c r="A24" s="1" t="s">
        <v>113</v>
      </c>
      <c r="B24" s="1" t="s">
        <v>45</v>
      </c>
      <c r="C24" s="1">
        <v>113589.0</v>
      </c>
      <c r="D24" s="26">
        <v>42005.0</v>
      </c>
    </row>
    <row r="25">
      <c r="A25" s="1" t="s">
        <v>115</v>
      </c>
      <c r="B25" s="1" t="s">
        <v>45</v>
      </c>
      <c r="C25" s="1">
        <v>63409.0</v>
      </c>
      <c r="D25" s="26">
        <v>42005.0</v>
      </c>
    </row>
    <row r="26">
      <c r="A26" s="1" t="s">
        <v>117</v>
      </c>
      <c r="B26" s="1" t="s">
        <v>45</v>
      </c>
      <c r="C26" s="1">
        <v>35107.0</v>
      </c>
      <c r="D26" s="26">
        <v>42005.0</v>
      </c>
    </row>
    <row r="27">
      <c r="A27" s="1" t="s">
        <v>118</v>
      </c>
      <c r="B27" s="1" t="s">
        <v>45</v>
      </c>
      <c r="C27" s="1">
        <v>84470.0</v>
      </c>
      <c r="D27" s="26">
        <v>42005.0</v>
      </c>
    </row>
    <row r="28">
      <c r="A28" s="1" t="s">
        <v>120</v>
      </c>
      <c r="B28" s="1" t="s">
        <v>45</v>
      </c>
      <c r="C28" s="1">
        <v>61370.0</v>
      </c>
      <c r="D28" s="26">
        <v>42005.0</v>
      </c>
    </row>
    <row r="29">
      <c r="A29" s="1" t="s">
        <v>121</v>
      </c>
      <c r="B29" s="1" t="s">
        <v>45</v>
      </c>
      <c r="C29" s="1">
        <v>64141.0</v>
      </c>
      <c r="D29" s="26">
        <v>42005.0</v>
      </c>
    </row>
    <row r="30">
      <c r="A30" s="1" t="s">
        <v>123</v>
      </c>
      <c r="B30" s="1" t="s">
        <v>45</v>
      </c>
      <c r="C30" s="1">
        <v>36594.0</v>
      </c>
      <c r="D30" s="26">
        <v>42005.0</v>
      </c>
    </row>
    <row r="31">
      <c r="A31" s="1" t="s">
        <v>125</v>
      </c>
      <c r="B31" s="1" t="s">
        <v>45</v>
      </c>
      <c r="C31" s="1">
        <v>116119.0</v>
      </c>
      <c r="D31" s="26">
        <v>42005.0</v>
      </c>
    </row>
    <row r="32">
      <c r="A32" s="1" t="s">
        <v>126</v>
      </c>
      <c r="B32" s="1" t="s">
        <v>45</v>
      </c>
      <c r="C32" s="1">
        <v>18803.0</v>
      </c>
      <c r="D32" s="26">
        <v>42005.0</v>
      </c>
    </row>
    <row r="33">
      <c r="A33" s="1" t="s">
        <v>128</v>
      </c>
      <c r="B33" s="1" t="s">
        <v>45</v>
      </c>
      <c r="C33" s="1">
        <v>138117.0</v>
      </c>
      <c r="D33" s="26">
        <v>42005.0</v>
      </c>
    </row>
    <row r="34">
      <c r="A34" s="1" t="s">
        <v>130</v>
      </c>
      <c r="B34" s="1" t="s">
        <v>45</v>
      </c>
      <c r="C34" s="1">
        <v>50410.0</v>
      </c>
      <c r="D34" s="26">
        <v>42005.0</v>
      </c>
    </row>
    <row r="35">
      <c r="A35" s="1" t="s">
        <v>131</v>
      </c>
      <c r="B35" s="1" t="s">
        <v>45</v>
      </c>
      <c r="C35" s="1">
        <v>26821.0</v>
      </c>
      <c r="D35" s="26">
        <v>42005.0</v>
      </c>
    </row>
    <row r="36">
      <c r="A36" s="1" t="s">
        <v>133</v>
      </c>
      <c r="B36" s="1" t="s">
        <v>45</v>
      </c>
      <c r="C36" s="1">
        <v>17451.0</v>
      </c>
      <c r="D36" s="26">
        <v>42005.0</v>
      </c>
    </row>
    <row r="37">
      <c r="A37" s="1" t="s">
        <v>135</v>
      </c>
      <c r="B37" s="1">
        <f t="shared" ref="B37:C37" si="1">sum(B2:B36)</f>
        <v>0</v>
      </c>
      <c r="C37" s="1">
        <f t="shared" si="1"/>
        <v>2970906</v>
      </c>
      <c r="D37" s="26"/>
    </row>
    <row r="38">
      <c r="A38" s="1" t="s">
        <v>43</v>
      </c>
      <c r="B38" s="1" t="s">
        <v>143</v>
      </c>
      <c r="C38" s="1">
        <v>62117.0</v>
      </c>
      <c r="D38" s="26">
        <v>42370.0</v>
      </c>
    </row>
    <row r="39">
      <c r="A39" s="1" t="s">
        <v>49</v>
      </c>
      <c r="B39" s="1" t="s">
        <v>143</v>
      </c>
      <c r="C39" s="1">
        <v>156767.0</v>
      </c>
      <c r="D39" s="26">
        <v>42370.0</v>
      </c>
    </row>
    <row r="40">
      <c r="A40" s="1" t="s">
        <v>51</v>
      </c>
      <c r="B40" s="1" t="s">
        <v>143</v>
      </c>
      <c r="C40" s="1">
        <v>20315.0</v>
      </c>
      <c r="D40" s="26">
        <v>42370.0</v>
      </c>
    </row>
    <row r="41">
      <c r="A41" s="1" t="s">
        <v>54</v>
      </c>
      <c r="B41" s="1" t="s">
        <v>143</v>
      </c>
      <c r="C41" s="1">
        <v>51778.0</v>
      </c>
      <c r="D41" s="26">
        <v>42370.0</v>
      </c>
    </row>
    <row r="42">
      <c r="A42" s="1" t="s">
        <v>57</v>
      </c>
      <c r="B42" s="1" t="s">
        <v>143</v>
      </c>
      <c r="C42" s="1">
        <v>89721.0</v>
      </c>
      <c r="D42" s="26">
        <v>42370.0</v>
      </c>
    </row>
    <row r="43">
      <c r="A43" s="1" t="s">
        <v>60</v>
      </c>
      <c r="B43" s="1" t="s">
        <v>143</v>
      </c>
      <c r="C43" s="1">
        <v>11266.0</v>
      </c>
      <c r="D43" s="26">
        <v>42370.0</v>
      </c>
    </row>
    <row r="44">
      <c r="A44" s="1" t="s">
        <v>81</v>
      </c>
      <c r="B44" s="1" t="s">
        <v>143</v>
      </c>
      <c r="C44" s="1">
        <v>20459.0</v>
      </c>
      <c r="D44" s="26">
        <v>42370.0</v>
      </c>
    </row>
    <row r="45">
      <c r="A45" s="1" t="s">
        <v>84</v>
      </c>
      <c r="B45" s="1" t="s">
        <v>143</v>
      </c>
      <c r="C45" s="1">
        <v>69487.0</v>
      </c>
      <c r="D45" s="26">
        <v>42370.0</v>
      </c>
    </row>
    <row r="46">
      <c r="A46" s="1" t="s">
        <v>86</v>
      </c>
      <c r="B46" s="1" t="s">
        <v>143</v>
      </c>
      <c r="C46" s="1">
        <v>86993.0</v>
      </c>
      <c r="D46" s="26">
        <v>42370.0</v>
      </c>
    </row>
    <row r="47">
      <c r="A47" s="1" t="s">
        <v>88</v>
      </c>
      <c r="B47" s="1" t="s">
        <v>143</v>
      </c>
      <c r="C47" s="1">
        <v>265733.0</v>
      </c>
      <c r="D47" s="26">
        <v>42370.0</v>
      </c>
    </row>
    <row r="48">
      <c r="A48" s="1" t="s">
        <v>90</v>
      </c>
      <c r="B48" s="1" t="s">
        <v>143</v>
      </c>
      <c r="C48" s="1">
        <v>33573.0</v>
      </c>
      <c r="D48" s="26">
        <v>42370.0</v>
      </c>
    </row>
    <row r="49">
      <c r="A49" s="1" t="s">
        <v>92</v>
      </c>
      <c r="B49" s="1" t="s">
        <v>143</v>
      </c>
      <c r="C49" s="1">
        <v>90986.0</v>
      </c>
      <c r="D49" s="26">
        <v>42370.0</v>
      </c>
    </row>
    <row r="50">
      <c r="A50" s="1" t="s">
        <v>94</v>
      </c>
      <c r="B50" s="1" t="s">
        <v>143</v>
      </c>
      <c r="C50" s="1">
        <v>54224.0</v>
      </c>
      <c r="D50" s="26">
        <v>42370.0</v>
      </c>
    </row>
    <row r="51">
      <c r="A51" s="1" t="s">
        <v>96</v>
      </c>
      <c r="B51" s="1" t="s">
        <v>143</v>
      </c>
      <c r="C51" s="1">
        <v>32373.0</v>
      </c>
      <c r="D51" s="26">
        <v>42370.0</v>
      </c>
    </row>
    <row r="52">
      <c r="A52" s="1" t="s">
        <v>98</v>
      </c>
      <c r="B52" s="1" t="s">
        <v>143</v>
      </c>
      <c r="C52" s="1">
        <v>111657.0</v>
      </c>
      <c r="D52" s="26">
        <v>42370.0</v>
      </c>
    </row>
    <row r="53">
      <c r="A53" s="1" t="s">
        <v>100</v>
      </c>
      <c r="B53" s="1" t="s">
        <v>143</v>
      </c>
      <c r="C53" s="1">
        <v>229565.0</v>
      </c>
      <c r="D53" s="26">
        <v>42370.0</v>
      </c>
    </row>
    <row r="54">
      <c r="A54" s="1" t="s">
        <v>102</v>
      </c>
      <c r="B54" s="1" t="s">
        <v>143</v>
      </c>
      <c r="C54" s="1">
        <v>132862.0</v>
      </c>
      <c r="D54" s="26">
        <v>42370.0</v>
      </c>
    </row>
    <row r="55">
      <c r="A55" s="1" t="s">
        <v>103</v>
      </c>
      <c r="B55" s="1" t="s">
        <v>143</v>
      </c>
      <c r="C55" s="1">
        <v>72416.0</v>
      </c>
      <c r="D55" s="26">
        <v>42370.0</v>
      </c>
    </row>
    <row r="56">
      <c r="A56" s="1" t="s">
        <v>105</v>
      </c>
      <c r="B56" s="1" t="s">
        <v>143</v>
      </c>
      <c r="C56" s="1">
        <v>37359.0</v>
      </c>
      <c r="D56" s="26">
        <v>42370.0</v>
      </c>
    </row>
    <row r="57">
      <c r="A57" s="1" t="s">
        <v>106</v>
      </c>
      <c r="B57" s="1" t="s">
        <v>143</v>
      </c>
      <c r="C57" s="1">
        <v>20796.0</v>
      </c>
      <c r="D57" s="26">
        <v>42370.0</v>
      </c>
    </row>
    <row r="58">
      <c r="A58" s="1" t="s">
        <v>108</v>
      </c>
      <c r="B58" s="1" t="s">
        <v>143</v>
      </c>
      <c r="C58" s="1">
        <v>202853.0</v>
      </c>
      <c r="D58" s="26">
        <v>42370.0</v>
      </c>
    </row>
    <row r="59">
      <c r="A59" s="1" t="s">
        <v>109</v>
      </c>
      <c r="B59" s="1" t="s">
        <v>143</v>
      </c>
      <c r="C59" s="1">
        <v>24877.0</v>
      </c>
      <c r="D59" s="26">
        <v>42370.0</v>
      </c>
    </row>
    <row r="60">
      <c r="A60" s="1" t="s">
        <v>113</v>
      </c>
      <c r="B60" s="1" t="s">
        <v>143</v>
      </c>
      <c r="C60" s="1">
        <v>111786.0</v>
      </c>
      <c r="D60" s="26">
        <v>42370.0</v>
      </c>
    </row>
    <row r="61">
      <c r="A61" s="1" t="s">
        <v>115</v>
      </c>
      <c r="B61" s="1" t="s">
        <v>143</v>
      </c>
      <c r="C61" s="1">
        <v>59585.0</v>
      </c>
      <c r="D61" s="26">
        <v>42370.0</v>
      </c>
    </row>
    <row r="62">
      <c r="A62" s="1" t="s">
        <v>117</v>
      </c>
      <c r="B62" s="1" t="s">
        <v>143</v>
      </c>
      <c r="C62" s="1">
        <v>33533.0</v>
      </c>
      <c r="D62" s="26">
        <v>42370.0</v>
      </c>
    </row>
    <row r="63">
      <c r="A63" s="1" t="s">
        <v>118</v>
      </c>
      <c r="B63" s="1" t="s">
        <v>143</v>
      </c>
      <c r="C63" s="1">
        <v>62272.0</v>
      </c>
      <c r="D63" s="26">
        <v>42370.0</v>
      </c>
    </row>
    <row r="64">
      <c r="A64" s="1" t="s">
        <v>120</v>
      </c>
      <c r="B64" s="1" t="s">
        <v>143</v>
      </c>
      <c r="C64" s="1">
        <v>51411.0</v>
      </c>
      <c r="D64" s="26">
        <v>42370.0</v>
      </c>
    </row>
    <row r="65">
      <c r="A65" s="1" t="s">
        <v>121</v>
      </c>
      <c r="B65" s="1" t="s">
        <v>143</v>
      </c>
      <c r="C65" s="1">
        <v>77052.0</v>
      </c>
      <c r="D65" s="26">
        <v>42370.0</v>
      </c>
    </row>
    <row r="66">
      <c r="A66" s="1" t="s">
        <v>123</v>
      </c>
      <c r="B66" s="1" t="s">
        <v>143</v>
      </c>
      <c r="C66" s="1">
        <v>33125.0</v>
      </c>
      <c r="D66" s="26">
        <v>42370.0</v>
      </c>
    </row>
    <row r="67">
      <c r="A67" s="1" t="s">
        <v>125</v>
      </c>
      <c r="B67" s="1" t="s">
        <v>143</v>
      </c>
      <c r="C67" s="1">
        <v>143307.0</v>
      </c>
      <c r="D67" s="26">
        <v>42370.0</v>
      </c>
    </row>
    <row r="68">
      <c r="A68" s="1" t="s">
        <v>126</v>
      </c>
      <c r="B68" s="1" t="s">
        <v>143</v>
      </c>
      <c r="C68" s="1">
        <v>19509.0</v>
      </c>
      <c r="D68" s="26">
        <v>42370.0</v>
      </c>
    </row>
    <row r="69">
      <c r="A69" s="1" t="s">
        <v>128</v>
      </c>
      <c r="B69" s="1" t="s">
        <v>143</v>
      </c>
      <c r="C69" s="1">
        <v>116228.0</v>
      </c>
      <c r="D69" s="26">
        <v>42370.0</v>
      </c>
    </row>
    <row r="70">
      <c r="A70" s="1" t="s">
        <v>130</v>
      </c>
      <c r="B70" s="1" t="s">
        <v>143</v>
      </c>
      <c r="C70" s="1">
        <v>44264.0</v>
      </c>
      <c r="D70" s="26">
        <v>42370.0</v>
      </c>
    </row>
    <row r="71">
      <c r="A71" s="1" t="s">
        <v>131</v>
      </c>
      <c r="B71" s="1" t="s">
        <v>143</v>
      </c>
      <c r="C71" s="1">
        <v>24948.0</v>
      </c>
      <c r="D71" s="26">
        <v>42370.0</v>
      </c>
    </row>
    <row r="72">
      <c r="A72" s="1" t="s">
        <v>133</v>
      </c>
      <c r="B72" s="1" t="s">
        <v>143</v>
      </c>
      <c r="C72" s="1">
        <v>13411.0</v>
      </c>
      <c r="D72" s="26">
        <v>42370.0</v>
      </c>
    </row>
    <row r="73">
      <c r="A73" s="1" t="s">
        <v>135</v>
      </c>
      <c r="B73" s="1"/>
      <c r="C73" s="1">
        <f>sum(C38:C72)</f>
        <v>2668608</v>
      </c>
      <c r="D73" s="26"/>
    </row>
    <row r="74">
      <c r="A74" s="1" t="s">
        <v>43</v>
      </c>
      <c r="B74" s="1" t="s">
        <v>156</v>
      </c>
      <c r="C74" s="1">
        <v>40163.0</v>
      </c>
      <c r="D74" s="26">
        <v>42736.0</v>
      </c>
    </row>
    <row r="75">
      <c r="A75" s="1" t="s">
        <v>49</v>
      </c>
      <c r="B75" s="1" t="s">
        <v>156</v>
      </c>
      <c r="C75" s="1">
        <v>148191.0</v>
      </c>
      <c r="D75" s="26">
        <v>42736.0</v>
      </c>
    </row>
    <row r="76">
      <c r="A76" s="1" t="s">
        <v>51</v>
      </c>
      <c r="B76" s="1" t="s">
        <v>156</v>
      </c>
      <c r="C76" s="1">
        <v>18504.0</v>
      </c>
      <c r="D76" s="26">
        <v>42736.0</v>
      </c>
    </row>
    <row r="77">
      <c r="A77" s="1" t="s">
        <v>54</v>
      </c>
      <c r="B77" s="1" t="s">
        <v>156</v>
      </c>
      <c r="C77" s="1">
        <v>37373.0</v>
      </c>
      <c r="D77" s="26">
        <v>42736.0</v>
      </c>
    </row>
    <row r="78">
      <c r="A78" s="1" t="s">
        <v>57</v>
      </c>
      <c r="B78" s="1" t="s">
        <v>156</v>
      </c>
      <c r="C78" s="1">
        <v>95978.0</v>
      </c>
      <c r="D78" s="26">
        <v>42736.0</v>
      </c>
    </row>
    <row r="79">
      <c r="A79" s="1" t="s">
        <v>60</v>
      </c>
      <c r="B79" s="1" t="s">
        <v>156</v>
      </c>
      <c r="C79" s="1">
        <v>10826.0</v>
      </c>
      <c r="D79" s="26">
        <v>42736.0</v>
      </c>
    </row>
    <row r="80">
      <c r="A80" s="1" t="s">
        <v>81</v>
      </c>
      <c r="B80" s="1" t="s">
        <v>156</v>
      </c>
      <c r="C80" s="1">
        <v>21253.0</v>
      </c>
      <c r="D80" s="26">
        <v>42736.0</v>
      </c>
    </row>
    <row r="81">
      <c r="A81" s="1" t="s">
        <v>84</v>
      </c>
      <c r="B81" s="1" t="s">
        <v>156</v>
      </c>
      <c r="C81" s="1">
        <v>69733.0</v>
      </c>
      <c r="D81" s="26">
        <v>42736.0</v>
      </c>
    </row>
    <row r="82">
      <c r="A82" s="1" t="s">
        <v>86</v>
      </c>
      <c r="B82" s="1" t="s">
        <v>156</v>
      </c>
      <c r="C82" s="1">
        <v>93722.0</v>
      </c>
      <c r="D82" s="26">
        <v>42736.0</v>
      </c>
    </row>
    <row r="83">
      <c r="A83" s="1" t="s">
        <v>88</v>
      </c>
      <c r="B83" s="1" t="s">
        <v>156</v>
      </c>
      <c r="C83" s="1">
        <v>218204.0</v>
      </c>
      <c r="D83" s="26">
        <v>42736.0</v>
      </c>
    </row>
    <row r="84">
      <c r="A84" s="1" t="s">
        <v>90</v>
      </c>
      <c r="B84" s="1" t="s">
        <v>156</v>
      </c>
      <c r="C84" s="1">
        <v>33196.0</v>
      </c>
      <c r="D84" s="26">
        <v>42736.0</v>
      </c>
    </row>
    <row r="85">
      <c r="A85" s="1" t="s">
        <v>92</v>
      </c>
      <c r="B85" s="1" t="s">
        <v>156</v>
      </c>
      <c r="C85" s="1">
        <v>90624.0</v>
      </c>
      <c r="D85" s="26">
        <v>42736.0</v>
      </c>
    </row>
    <row r="86">
      <c r="A86" s="1" t="s">
        <v>94</v>
      </c>
      <c r="B86" s="1" t="s">
        <v>156</v>
      </c>
      <c r="C86" s="1">
        <v>41981.0</v>
      </c>
      <c r="D86" s="26">
        <v>42736.0</v>
      </c>
    </row>
    <row r="87">
      <c r="A87" s="1" t="s">
        <v>96</v>
      </c>
      <c r="B87" s="1" t="s">
        <v>156</v>
      </c>
      <c r="C87" s="1">
        <v>34549.0</v>
      </c>
      <c r="D87" s="26">
        <v>42736.0</v>
      </c>
    </row>
    <row r="88">
      <c r="A88" s="1" t="s">
        <v>98</v>
      </c>
      <c r="B88" s="1" t="s">
        <v>156</v>
      </c>
      <c r="C88" s="1">
        <v>121707.0</v>
      </c>
      <c r="D88" s="26">
        <v>42736.0</v>
      </c>
    </row>
    <row r="89">
      <c r="A89" s="1" t="s">
        <v>100</v>
      </c>
      <c r="B89" s="1" t="s">
        <v>156</v>
      </c>
      <c r="C89" s="1">
        <v>202485.0</v>
      </c>
      <c r="D89" s="26">
        <v>42736.0</v>
      </c>
    </row>
    <row r="90">
      <c r="A90" s="1" t="s">
        <v>102</v>
      </c>
      <c r="B90" s="1" t="s">
        <v>156</v>
      </c>
      <c r="C90" s="1">
        <v>160192.0</v>
      </c>
      <c r="D90" s="26">
        <v>42736.0</v>
      </c>
    </row>
    <row r="91">
      <c r="A91" s="1" t="s">
        <v>103</v>
      </c>
      <c r="B91" s="1" t="s">
        <v>156</v>
      </c>
      <c r="C91" s="1">
        <v>73453.0</v>
      </c>
      <c r="D91" s="26">
        <v>42736.0</v>
      </c>
    </row>
    <row r="92">
      <c r="A92" s="1" t="s">
        <v>105</v>
      </c>
      <c r="B92" s="1" t="s">
        <v>156</v>
      </c>
      <c r="C92" s="1">
        <v>37761.0</v>
      </c>
      <c r="D92" s="26">
        <v>42736.0</v>
      </c>
    </row>
    <row r="93">
      <c r="A93" s="1" t="s">
        <v>106</v>
      </c>
      <c r="B93" s="1" t="s">
        <v>156</v>
      </c>
      <c r="C93" s="1">
        <v>25343.0</v>
      </c>
      <c r="D93" s="26">
        <v>42736.0</v>
      </c>
    </row>
    <row r="94">
      <c r="A94" s="1" t="s">
        <v>108</v>
      </c>
      <c r="B94" s="1" t="s">
        <v>156</v>
      </c>
      <c r="C94" s="1">
        <v>222035.0</v>
      </c>
      <c r="D94" s="26">
        <v>42736.0</v>
      </c>
    </row>
    <row r="95">
      <c r="A95" s="1" t="s">
        <v>109</v>
      </c>
      <c r="B95" s="1" t="s">
        <v>156</v>
      </c>
      <c r="C95" s="1">
        <v>24351.0</v>
      </c>
      <c r="D95" s="26">
        <v>42736.0</v>
      </c>
    </row>
    <row r="96">
      <c r="A96" s="1" t="s">
        <v>113</v>
      </c>
      <c r="B96" s="1" t="s">
        <v>156</v>
      </c>
      <c r="C96" s="1">
        <v>106322.0</v>
      </c>
      <c r="D96" s="26">
        <v>42736.0</v>
      </c>
    </row>
    <row r="97">
      <c r="A97" s="1" t="s">
        <v>115</v>
      </c>
      <c r="B97" s="1" t="s">
        <v>156</v>
      </c>
      <c r="C97" s="1">
        <v>57981.0</v>
      </c>
      <c r="D97" s="26">
        <v>42736.0</v>
      </c>
    </row>
    <row r="98">
      <c r="A98" s="1" t="s">
        <v>117</v>
      </c>
      <c r="B98" s="1" t="s">
        <v>156</v>
      </c>
      <c r="C98" s="1">
        <v>36219.0</v>
      </c>
      <c r="D98" s="26">
        <v>42736.0</v>
      </c>
    </row>
    <row r="99">
      <c r="A99" s="1" t="s">
        <v>118</v>
      </c>
      <c r="B99" s="1" t="s">
        <v>156</v>
      </c>
      <c r="C99" s="1">
        <v>47547.0</v>
      </c>
      <c r="D99" s="26">
        <v>42736.0</v>
      </c>
    </row>
    <row r="100">
      <c r="A100" s="1" t="s">
        <v>120</v>
      </c>
      <c r="B100" s="1" t="s">
        <v>156</v>
      </c>
      <c r="C100" s="1">
        <v>54953.0</v>
      </c>
      <c r="D100" s="26">
        <v>42736.0</v>
      </c>
    </row>
    <row r="101">
      <c r="A101" s="1" t="s">
        <v>121</v>
      </c>
      <c r="B101" s="1" t="s">
        <v>156</v>
      </c>
      <c r="C101" s="1">
        <v>82741.0</v>
      </c>
      <c r="D101" s="26">
        <v>42736.0</v>
      </c>
    </row>
    <row r="102">
      <c r="A102" s="1" t="s">
        <v>123</v>
      </c>
      <c r="B102" s="1" t="s">
        <v>156</v>
      </c>
      <c r="C102" s="1">
        <v>37193.0</v>
      </c>
      <c r="D102" s="26">
        <v>42736.0</v>
      </c>
    </row>
    <row r="103">
      <c r="A103" s="1" t="s">
        <v>125</v>
      </c>
      <c r="B103" s="1" t="s">
        <v>156</v>
      </c>
      <c r="C103" s="1">
        <v>110600.0</v>
      </c>
      <c r="D103" s="26">
        <v>42736.0</v>
      </c>
    </row>
    <row r="104">
      <c r="A104" s="1" t="s">
        <v>126</v>
      </c>
      <c r="B104" s="1" t="s">
        <v>156</v>
      </c>
      <c r="C104" s="1">
        <v>17866.0</v>
      </c>
      <c r="D104" s="26">
        <v>42736.0</v>
      </c>
    </row>
    <row r="105">
      <c r="A105" s="1" t="s">
        <v>128</v>
      </c>
      <c r="B105" s="1" t="s">
        <v>156</v>
      </c>
      <c r="C105" s="1">
        <v>134171.0</v>
      </c>
      <c r="D105" s="26">
        <v>42736.0</v>
      </c>
    </row>
    <row r="106">
      <c r="A106" s="1" t="s">
        <v>130</v>
      </c>
      <c r="B106" s="1" t="s">
        <v>156</v>
      </c>
      <c r="C106" s="1">
        <v>44162.0</v>
      </c>
      <c r="D106" s="26">
        <v>42736.0</v>
      </c>
    </row>
    <row r="107">
      <c r="A107" s="1" t="s">
        <v>131</v>
      </c>
      <c r="B107" s="1" t="s">
        <v>156</v>
      </c>
      <c r="C107" s="1">
        <v>29538.0</v>
      </c>
      <c r="D107" s="26">
        <v>42736.0</v>
      </c>
    </row>
    <row r="108">
      <c r="A108" s="1" t="s">
        <v>133</v>
      </c>
      <c r="B108" s="1" t="s">
        <v>156</v>
      </c>
      <c r="C108" s="1">
        <v>17531.0</v>
      </c>
      <c r="D108" s="26">
        <v>42736.0</v>
      </c>
    </row>
    <row r="109">
      <c r="A109" s="1" t="s">
        <v>135</v>
      </c>
      <c r="B109" s="1"/>
      <c r="C109" s="1">
        <f>sum(C74:C108)</f>
        <v>2598448</v>
      </c>
      <c r="D109" s="26"/>
    </row>
    <row r="110">
      <c r="A110" s="1" t="s">
        <v>43</v>
      </c>
      <c r="B110" s="1" t="s">
        <v>157</v>
      </c>
      <c r="C110" s="1">
        <v>32009.0</v>
      </c>
      <c r="D110" s="26">
        <v>43101.0</v>
      </c>
    </row>
    <row r="111">
      <c r="A111" s="1" t="s">
        <v>49</v>
      </c>
      <c r="B111" s="1" t="s">
        <v>157</v>
      </c>
      <c r="C111" s="1">
        <v>98211.0</v>
      </c>
      <c r="D111" s="26">
        <v>43101.0</v>
      </c>
    </row>
    <row r="112">
      <c r="A112" s="1" t="s">
        <v>51</v>
      </c>
      <c r="B112" s="1" t="s">
        <v>157</v>
      </c>
      <c r="C112" s="1">
        <v>19581.0</v>
      </c>
      <c r="D112" s="26">
        <v>43101.0</v>
      </c>
    </row>
    <row r="113">
      <c r="A113" s="1" t="s">
        <v>54</v>
      </c>
      <c r="B113" s="1" t="s">
        <v>157</v>
      </c>
      <c r="C113" s="1">
        <v>25084.0</v>
      </c>
      <c r="D113" s="26">
        <v>43101.0</v>
      </c>
    </row>
    <row r="114">
      <c r="A114" s="1" t="s">
        <v>57</v>
      </c>
      <c r="B114" s="1" t="s">
        <v>157</v>
      </c>
      <c r="C114" s="1">
        <v>99487.0</v>
      </c>
      <c r="D114" s="26">
        <v>43101.0</v>
      </c>
    </row>
    <row r="115">
      <c r="A115" s="1" t="s">
        <v>60</v>
      </c>
      <c r="B115" s="1" t="s">
        <v>157</v>
      </c>
      <c r="C115" s="1">
        <v>11490.0</v>
      </c>
      <c r="D115" s="26">
        <v>43101.0</v>
      </c>
    </row>
    <row r="116">
      <c r="A116" s="1" t="s">
        <v>81</v>
      </c>
      <c r="B116" s="1" t="s">
        <v>157</v>
      </c>
      <c r="C116" s="1">
        <v>24344.0</v>
      </c>
      <c r="D116" s="26">
        <v>43101.0</v>
      </c>
    </row>
    <row r="117">
      <c r="A117" s="1" t="s">
        <v>84</v>
      </c>
      <c r="B117" s="1" t="s">
        <v>157</v>
      </c>
      <c r="C117" s="1">
        <v>68085.0</v>
      </c>
      <c r="D117" s="26">
        <v>43101.0</v>
      </c>
    </row>
    <row r="118">
      <c r="A118" s="1" t="s">
        <v>86</v>
      </c>
      <c r="B118" s="1" t="s">
        <v>157</v>
      </c>
      <c r="C118" s="1">
        <v>101441.0</v>
      </c>
      <c r="D118" s="26">
        <v>43101.0</v>
      </c>
    </row>
    <row r="119">
      <c r="A119" s="1" t="s">
        <v>88</v>
      </c>
      <c r="B119" s="1" t="s">
        <v>157</v>
      </c>
      <c r="C119" s="1">
        <v>224441.0</v>
      </c>
      <c r="D119" s="26">
        <v>43101.0</v>
      </c>
    </row>
    <row r="120">
      <c r="A120" s="1" t="s">
        <v>90</v>
      </c>
      <c r="B120" s="1" t="s">
        <v>157</v>
      </c>
      <c r="C120" s="1">
        <v>31684.0</v>
      </c>
      <c r="D120" s="26">
        <v>43101.0</v>
      </c>
    </row>
    <row r="121">
      <c r="A121" s="1" t="s">
        <v>92</v>
      </c>
      <c r="B121" s="1" t="s">
        <v>157</v>
      </c>
      <c r="C121" s="1">
        <v>101647.0</v>
      </c>
      <c r="D121" s="26">
        <v>43101.0</v>
      </c>
    </row>
    <row r="122">
      <c r="A122" s="1" t="s">
        <v>94</v>
      </c>
      <c r="B122" s="1" t="s">
        <v>157</v>
      </c>
      <c r="C122" s="1">
        <v>26722.0</v>
      </c>
      <c r="D122" s="26">
        <v>43101.0</v>
      </c>
    </row>
    <row r="123">
      <c r="A123" s="1" t="s">
        <v>96</v>
      </c>
      <c r="B123" s="1" t="s">
        <v>157</v>
      </c>
      <c r="C123" s="1">
        <v>26588.0</v>
      </c>
      <c r="D123" s="26">
        <v>43101.0</v>
      </c>
    </row>
    <row r="124">
      <c r="A124" s="1" t="s">
        <v>98</v>
      </c>
      <c r="B124" s="1" t="s">
        <v>157</v>
      </c>
      <c r="C124" s="1">
        <v>142289.0</v>
      </c>
      <c r="D124" s="26">
        <v>43101.0</v>
      </c>
    </row>
    <row r="125">
      <c r="A125" s="1" t="s">
        <v>100</v>
      </c>
      <c r="B125" s="1" t="s">
        <v>157</v>
      </c>
      <c r="C125" s="1">
        <v>179485.0</v>
      </c>
      <c r="D125" s="26">
        <v>43101.0</v>
      </c>
    </row>
    <row r="126">
      <c r="A126" s="1" t="s">
        <v>102</v>
      </c>
      <c r="B126" s="1" t="s">
        <v>157</v>
      </c>
      <c r="C126" s="1">
        <v>156473.0</v>
      </c>
      <c r="D126" s="26">
        <v>43101.0</v>
      </c>
    </row>
    <row r="127">
      <c r="A127" s="1" t="s">
        <v>103</v>
      </c>
      <c r="B127" s="1" t="s">
        <v>157</v>
      </c>
      <c r="C127" s="1">
        <v>62106.0</v>
      </c>
      <c r="D127" s="26">
        <v>43101.0</v>
      </c>
    </row>
    <row r="128">
      <c r="A128" s="1" t="s">
        <v>105</v>
      </c>
      <c r="B128" s="1" t="s">
        <v>157</v>
      </c>
      <c r="C128" s="1">
        <v>39065.0</v>
      </c>
      <c r="D128" s="26">
        <v>43101.0</v>
      </c>
    </row>
    <row r="129">
      <c r="A129" s="1" t="s">
        <v>106</v>
      </c>
      <c r="B129" s="1" t="s">
        <v>157</v>
      </c>
      <c r="C129" s="1">
        <v>24474.0</v>
      </c>
      <c r="D129" s="26">
        <v>43101.0</v>
      </c>
    </row>
    <row r="130">
      <c r="A130" s="1" t="s">
        <v>108</v>
      </c>
      <c r="B130" s="1" t="s">
        <v>157</v>
      </c>
      <c r="C130" s="1">
        <v>229976.0</v>
      </c>
      <c r="D130" s="26">
        <v>43101.0</v>
      </c>
    </row>
    <row r="131">
      <c r="A131" s="1" t="s">
        <v>109</v>
      </c>
      <c r="B131" s="1" t="s">
        <v>157</v>
      </c>
      <c r="C131" s="1">
        <v>26598.0</v>
      </c>
      <c r="D131" s="26">
        <v>43101.0</v>
      </c>
    </row>
    <row r="132">
      <c r="A132" s="1" t="s">
        <v>113</v>
      </c>
      <c r="B132" s="1" t="s">
        <v>157</v>
      </c>
      <c r="C132" s="1">
        <v>104521.0</v>
      </c>
      <c r="D132" s="26">
        <v>43101.0</v>
      </c>
    </row>
    <row r="133">
      <c r="A133" s="1" t="s">
        <v>115</v>
      </c>
      <c r="B133" s="1" t="s">
        <v>157</v>
      </c>
      <c r="C133" s="1">
        <v>52484.0</v>
      </c>
      <c r="D133" s="26">
        <v>43101.0</v>
      </c>
    </row>
    <row r="134">
      <c r="A134" s="1" t="s">
        <v>117</v>
      </c>
      <c r="B134" s="1" t="s">
        <v>157</v>
      </c>
      <c r="C134" s="1">
        <v>44310.0</v>
      </c>
      <c r="D134" s="26">
        <v>43101.0</v>
      </c>
    </row>
    <row r="135">
      <c r="A135" s="1" t="s">
        <v>118</v>
      </c>
      <c r="B135" s="1" t="s">
        <v>157</v>
      </c>
      <c r="C135" s="1">
        <v>49375.0</v>
      </c>
      <c r="D135" s="26">
        <v>43101.0</v>
      </c>
    </row>
    <row r="136">
      <c r="A136" s="1" t="s">
        <v>120</v>
      </c>
      <c r="B136" s="1" t="s">
        <v>157</v>
      </c>
      <c r="C136" s="1">
        <v>53275.0</v>
      </c>
      <c r="D136" s="26">
        <v>43101.0</v>
      </c>
    </row>
    <row r="137">
      <c r="A137" s="1" t="s">
        <v>121</v>
      </c>
      <c r="B137" s="1" t="s">
        <v>157</v>
      </c>
      <c r="C137" s="1">
        <v>74972.0</v>
      </c>
      <c r="D137" s="26">
        <v>43101.0</v>
      </c>
    </row>
    <row r="138">
      <c r="A138" s="1" t="s">
        <v>123</v>
      </c>
      <c r="B138" s="1" t="s">
        <v>157</v>
      </c>
      <c r="C138" s="1">
        <v>35023.0</v>
      </c>
      <c r="D138" s="26">
        <v>43101.0</v>
      </c>
    </row>
    <row r="139">
      <c r="A139" s="1" t="s">
        <v>125</v>
      </c>
      <c r="B139" s="1" t="s">
        <v>157</v>
      </c>
      <c r="C139" s="1">
        <v>108382.0</v>
      </c>
      <c r="D139" s="26">
        <v>43101.0</v>
      </c>
    </row>
    <row r="140">
      <c r="A140" s="1" t="s">
        <v>126</v>
      </c>
      <c r="B140" s="1" t="s">
        <v>157</v>
      </c>
      <c r="C140" s="1">
        <v>19553.0</v>
      </c>
      <c r="D140" s="26">
        <v>43101.0</v>
      </c>
    </row>
    <row r="141">
      <c r="A141" s="1" t="s">
        <v>128</v>
      </c>
      <c r="B141" s="1" t="s">
        <v>157</v>
      </c>
      <c r="C141" s="1">
        <v>124998.0</v>
      </c>
      <c r="D141" s="26">
        <v>43101.0</v>
      </c>
    </row>
    <row r="142">
      <c r="A142" s="1" t="s">
        <v>130</v>
      </c>
      <c r="B142" s="1" t="s">
        <v>157</v>
      </c>
      <c r="C142" s="1">
        <v>44257.0</v>
      </c>
      <c r="D142" s="26">
        <v>43101.0</v>
      </c>
    </row>
    <row r="143">
      <c r="A143" s="1" t="s">
        <v>131</v>
      </c>
      <c r="B143" s="1" t="s">
        <v>157</v>
      </c>
      <c r="C143" s="1">
        <v>37114.0</v>
      </c>
      <c r="D143" s="26">
        <v>43101.0</v>
      </c>
    </row>
    <row r="144">
      <c r="A144" s="1" t="s">
        <v>133</v>
      </c>
      <c r="B144" s="1" t="s">
        <v>157</v>
      </c>
      <c r="C144" s="1">
        <v>16460.0</v>
      </c>
      <c r="D144" s="26">
        <v>43101.0</v>
      </c>
    </row>
    <row r="145">
      <c r="A145" s="1" t="s">
        <v>135</v>
      </c>
      <c r="B145" s="1"/>
      <c r="C145" s="1">
        <f>sum(C110:C144)</f>
        <v>2516004</v>
      </c>
      <c r="D145" s="26"/>
    </row>
    <row r="146">
      <c r="A146" s="1" t="s">
        <v>43</v>
      </c>
      <c r="B146" s="1" t="s">
        <v>158</v>
      </c>
      <c r="C146" s="1">
        <v>28486.0</v>
      </c>
      <c r="D146" s="26">
        <v>43466.0</v>
      </c>
    </row>
    <row r="147">
      <c r="A147" s="1" t="s">
        <v>49</v>
      </c>
      <c r="B147" s="1" t="s">
        <v>158</v>
      </c>
      <c r="C147" s="1">
        <v>84155.0</v>
      </c>
      <c r="D147" s="26">
        <v>43466.0</v>
      </c>
    </row>
    <row r="148">
      <c r="A148" s="1" t="s">
        <v>51</v>
      </c>
      <c r="B148" s="1" t="s">
        <v>158</v>
      </c>
      <c r="C148" s="1">
        <v>14751.0</v>
      </c>
      <c r="D148" s="26">
        <v>43466.0</v>
      </c>
    </row>
    <row r="149">
      <c r="A149" s="1" t="s">
        <v>54</v>
      </c>
      <c r="B149" s="1" t="s">
        <v>158</v>
      </c>
      <c r="C149" s="1">
        <v>20680.0</v>
      </c>
      <c r="D149" s="26">
        <v>43466.0</v>
      </c>
    </row>
    <row r="150">
      <c r="A150" s="1" t="s">
        <v>57</v>
      </c>
      <c r="B150" s="1" t="s">
        <v>158</v>
      </c>
      <c r="C150" s="1">
        <v>97867.0</v>
      </c>
      <c r="D150" s="26">
        <v>43466.0</v>
      </c>
    </row>
    <row r="151">
      <c r="A151" s="1" t="s">
        <v>60</v>
      </c>
      <c r="B151" s="1" t="s">
        <v>158</v>
      </c>
      <c r="C151" s="1">
        <v>10759.0</v>
      </c>
      <c r="D151" s="26">
        <v>43466.0</v>
      </c>
    </row>
    <row r="152">
      <c r="A152" s="1" t="s">
        <v>81</v>
      </c>
      <c r="B152" s="1" t="s">
        <v>158</v>
      </c>
      <c r="C152" s="1">
        <v>23026.0</v>
      </c>
      <c r="D152" s="26">
        <v>43466.0</v>
      </c>
    </row>
    <row r="153">
      <c r="A153" s="1" t="s">
        <v>84</v>
      </c>
      <c r="B153" s="1" t="s">
        <v>158</v>
      </c>
      <c r="C153" s="1">
        <v>61284.0</v>
      </c>
      <c r="D153" s="26">
        <v>43466.0</v>
      </c>
    </row>
    <row r="154">
      <c r="A154" s="1" t="s">
        <v>86</v>
      </c>
      <c r="B154" s="1" t="s">
        <v>158</v>
      </c>
      <c r="C154" s="1">
        <v>96038.0</v>
      </c>
      <c r="D154" s="26">
        <v>43466.0</v>
      </c>
    </row>
    <row r="155">
      <c r="A155" s="1" t="s">
        <v>88</v>
      </c>
      <c r="B155" s="1" t="s">
        <v>158</v>
      </c>
      <c r="C155" s="1">
        <v>175765.0</v>
      </c>
      <c r="D155" s="26">
        <v>43466.0</v>
      </c>
    </row>
    <row r="156">
      <c r="A156" s="1" t="s">
        <v>90</v>
      </c>
      <c r="B156" s="1" t="s">
        <v>158</v>
      </c>
      <c r="C156" s="1">
        <v>31599.0</v>
      </c>
      <c r="D156" s="26">
        <v>43466.0</v>
      </c>
    </row>
    <row r="157">
      <c r="A157" s="1" t="s">
        <v>92</v>
      </c>
      <c r="B157" s="1" t="s">
        <v>158</v>
      </c>
      <c r="C157" s="1">
        <v>85628.0</v>
      </c>
      <c r="D157" s="26">
        <v>43466.0</v>
      </c>
    </row>
    <row r="158">
      <c r="A158" s="1" t="s">
        <v>94</v>
      </c>
      <c r="B158" s="1" t="s">
        <v>158</v>
      </c>
      <c r="C158" s="1">
        <v>24982.0</v>
      </c>
      <c r="D158" s="26">
        <v>43466.0</v>
      </c>
    </row>
    <row r="159">
      <c r="A159" s="1" t="s">
        <v>96</v>
      </c>
      <c r="B159" s="1" t="s">
        <v>158</v>
      </c>
      <c r="C159" s="1">
        <v>38881.0</v>
      </c>
      <c r="D159" s="26">
        <v>43466.0</v>
      </c>
    </row>
    <row r="160">
      <c r="A160" s="1" t="s">
        <v>98</v>
      </c>
      <c r="B160" s="1" t="s">
        <v>158</v>
      </c>
      <c r="C160" s="1">
        <v>120477.0</v>
      </c>
      <c r="D160" s="26">
        <v>43466.0</v>
      </c>
    </row>
    <row r="161">
      <c r="A161" s="1" t="s">
        <v>100</v>
      </c>
      <c r="B161" s="1" t="s">
        <v>158</v>
      </c>
      <c r="C161" s="1">
        <v>172932.0</v>
      </c>
      <c r="D161" s="26">
        <v>43466.0</v>
      </c>
    </row>
    <row r="162">
      <c r="A162" s="1" t="s">
        <v>102</v>
      </c>
      <c r="B162" s="1" t="s">
        <v>158</v>
      </c>
      <c r="C162" s="1">
        <v>139964.0</v>
      </c>
      <c r="D162" s="26">
        <v>43466.0</v>
      </c>
    </row>
    <row r="163">
      <c r="A163" s="1" t="s">
        <v>103</v>
      </c>
      <c r="B163" s="1" t="s">
        <v>158</v>
      </c>
      <c r="C163" s="1">
        <v>49159.0</v>
      </c>
      <c r="D163" s="26">
        <v>43466.0</v>
      </c>
    </row>
    <row r="164">
      <c r="A164" s="1" t="s">
        <v>105</v>
      </c>
      <c r="B164" s="1" t="s">
        <v>158</v>
      </c>
      <c r="C164" s="1">
        <v>36478.0</v>
      </c>
      <c r="D164" s="26">
        <v>43466.0</v>
      </c>
    </row>
    <row r="165">
      <c r="A165" s="1" t="s">
        <v>106</v>
      </c>
      <c r="B165" s="1" t="s">
        <v>158</v>
      </c>
      <c r="C165" s="1">
        <v>24543.0</v>
      </c>
      <c r="D165" s="26">
        <v>43466.0</v>
      </c>
    </row>
    <row r="166">
      <c r="A166" s="1" t="s">
        <v>108</v>
      </c>
      <c r="B166" s="1" t="s">
        <v>158</v>
      </c>
      <c r="C166" s="1">
        <v>291072.0</v>
      </c>
      <c r="D166" s="26">
        <v>43466.0</v>
      </c>
    </row>
    <row r="167">
      <c r="A167" s="1" t="s">
        <v>109</v>
      </c>
      <c r="B167" s="1" t="s">
        <v>158</v>
      </c>
      <c r="C167" s="1">
        <v>26151.0</v>
      </c>
      <c r="D167" s="26">
        <v>43466.0</v>
      </c>
    </row>
    <row r="168">
      <c r="A168" s="1" t="s">
        <v>113</v>
      </c>
      <c r="B168" s="1" t="s">
        <v>158</v>
      </c>
      <c r="C168" s="1">
        <v>97673.0</v>
      </c>
      <c r="D168" s="26">
        <v>43466.0</v>
      </c>
    </row>
    <row r="169">
      <c r="A169" s="1" t="s">
        <v>115</v>
      </c>
      <c r="B169" s="1" t="s">
        <v>158</v>
      </c>
      <c r="C169" s="1">
        <v>47346.0</v>
      </c>
      <c r="D169" s="26">
        <v>43466.0</v>
      </c>
    </row>
    <row r="170">
      <c r="A170" s="1" t="s">
        <v>117</v>
      </c>
      <c r="B170" s="1" t="s">
        <v>158</v>
      </c>
      <c r="C170" s="1">
        <v>41991.0</v>
      </c>
      <c r="D170" s="26">
        <v>43466.0</v>
      </c>
    </row>
    <row r="171">
      <c r="A171" s="1" t="s">
        <v>118</v>
      </c>
      <c r="B171" s="1" t="s">
        <v>158</v>
      </c>
      <c r="C171" s="1">
        <v>46433.0</v>
      </c>
      <c r="D171" s="26">
        <v>43466.0</v>
      </c>
    </row>
    <row r="172">
      <c r="A172" s="1" t="s">
        <v>120</v>
      </c>
      <c r="B172" s="1" t="s">
        <v>158</v>
      </c>
      <c r="C172" s="1">
        <v>44600.0</v>
      </c>
      <c r="D172" s="26">
        <v>43466.0</v>
      </c>
    </row>
    <row r="173">
      <c r="A173" s="1" t="s">
        <v>121</v>
      </c>
      <c r="B173" s="1" t="s">
        <v>158</v>
      </c>
      <c r="C173" s="1">
        <v>64403.0</v>
      </c>
      <c r="D173" s="26">
        <v>43466.0</v>
      </c>
    </row>
    <row r="174">
      <c r="A174" s="1" t="s">
        <v>123</v>
      </c>
      <c r="B174" s="1" t="s">
        <v>158</v>
      </c>
      <c r="C174" s="1">
        <v>31883.0</v>
      </c>
      <c r="D174" s="26">
        <v>43466.0</v>
      </c>
    </row>
    <row r="175">
      <c r="A175" s="1" t="s">
        <v>125</v>
      </c>
      <c r="B175" s="1" t="s">
        <v>158</v>
      </c>
      <c r="C175" s="1">
        <v>99427.0</v>
      </c>
      <c r="D175" s="26">
        <v>43466.0</v>
      </c>
    </row>
    <row r="176">
      <c r="A176" s="1" t="s">
        <v>126</v>
      </c>
      <c r="B176" s="1" t="s">
        <v>158</v>
      </c>
      <c r="C176" s="1">
        <v>19866.0</v>
      </c>
      <c r="D176" s="26">
        <v>43466.0</v>
      </c>
    </row>
    <row r="177">
      <c r="A177" s="1" t="s">
        <v>128</v>
      </c>
      <c r="B177" s="1" t="s">
        <v>158</v>
      </c>
      <c r="C177" s="1">
        <v>127085.0</v>
      </c>
      <c r="D177" s="26">
        <v>43466.0</v>
      </c>
    </row>
    <row r="178">
      <c r="A178" s="1" t="s">
        <v>130</v>
      </c>
      <c r="B178" s="1" t="s">
        <v>158</v>
      </c>
      <c r="C178" s="1">
        <v>42345.0</v>
      </c>
      <c r="D178" s="26">
        <v>43466.0</v>
      </c>
    </row>
    <row r="179">
      <c r="A179" s="1" t="s">
        <v>131</v>
      </c>
      <c r="B179" s="1" t="s">
        <v>158</v>
      </c>
      <c r="C179" s="1">
        <v>38485.0</v>
      </c>
      <c r="D179" s="26">
        <v>43466.0</v>
      </c>
    </row>
    <row r="180">
      <c r="A180" s="1" t="s">
        <v>133</v>
      </c>
      <c r="B180" s="1" t="s">
        <v>158</v>
      </c>
      <c r="C180" s="1">
        <v>14919.0</v>
      </c>
      <c r="D180" s="26">
        <v>43466.0</v>
      </c>
    </row>
    <row r="181">
      <c r="A181" s="1" t="s">
        <v>135</v>
      </c>
      <c r="B181" s="1"/>
      <c r="C181" s="1">
        <f>sum(C146:C180)</f>
        <v>2371133</v>
      </c>
      <c r="D181" s="26"/>
    </row>
    <row r="182">
      <c r="A182" s="1" t="s">
        <v>43</v>
      </c>
      <c r="B182" s="1" t="s">
        <v>169</v>
      </c>
      <c r="C182" s="1">
        <v>12308.0</v>
      </c>
      <c r="D182" s="26">
        <v>43831.0</v>
      </c>
    </row>
    <row r="183">
      <c r="A183" s="1" t="s">
        <v>49</v>
      </c>
      <c r="B183" s="1" t="s">
        <v>169</v>
      </c>
      <c r="C183" s="1">
        <v>39340.0</v>
      </c>
      <c r="D183" s="26">
        <v>43831.0</v>
      </c>
    </row>
    <row r="184">
      <c r="A184" s="1" t="s">
        <v>51</v>
      </c>
      <c r="B184" s="1" t="s">
        <v>169</v>
      </c>
      <c r="C184" s="1">
        <v>5755.0</v>
      </c>
      <c r="D184" s="26">
        <v>43831.0</v>
      </c>
    </row>
    <row r="185">
      <c r="A185" s="1" t="s">
        <v>54</v>
      </c>
      <c r="B185" s="1" t="s">
        <v>169</v>
      </c>
      <c r="C185" s="1">
        <v>9750.0</v>
      </c>
      <c r="D185" s="26">
        <v>43831.0</v>
      </c>
    </row>
    <row r="186">
      <c r="A186" s="1" t="s">
        <v>57</v>
      </c>
      <c r="B186" s="1" t="s">
        <v>169</v>
      </c>
      <c r="C186" s="1">
        <v>35325.0</v>
      </c>
      <c r="D186" s="26">
        <v>43831.0</v>
      </c>
    </row>
    <row r="187">
      <c r="A187" s="1" t="s">
        <v>60</v>
      </c>
      <c r="B187" s="1" t="s">
        <v>169</v>
      </c>
      <c r="C187" s="1">
        <v>5328.0</v>
      </c>
      <c r="D187" s="26">
        <v>43831.0</v>
      </c>
    </row>
    <row r="188">
      <c r="A188" s="1" t="s">
        <v>81</v>
      </c>
      <c r="B188" s="1" t="s">
        <v>169</v>
      </c>
      <c r="C188" s="1">
        <v>9513.0</v>
      </c>
      <c r="D188" s="26">
        <v>43831.0</v>
      </c>
    </row>
    <row r="189">
      <c r="A189" s="1" t="s">
        <v>84</v>
      </c>
      <c r="B189" s="1" t="s">
        <v>169</v>
      </c>
      <c r="C189" s="1">
        <v>23976.0</v>
      </c>
      <c r="D189" s="26">
        <v>43831.0</v>
      </c>
    </row>
    <row r="190">
      <c r="A190" s="1" t="s">
        <v>86</v>
      </c>
      <c r="B190" s="1" t="s">
        <v>169</v>
      </c>
      <c r="C190" s="1">
        <v>42904.0</v>
      </c>
      <c r="D190" s="26">
        <v>43831.0</v>
      </c>
    </row>
    <row r="191">
      <c r="A191" s="1" t="s">
        <v>88</v>
      </c>
      <c r="B191" s="1" t="s">
        <v>169</v>
      </c>
      <c r="C191" s="1">
        <v>76261.0</v>
      </c>
      <c r="D191" s="26">
        <v>43831.0</v>
      </c>
    </row>
    <row r="192">
      <c r="A192" s="1" t="s">
        <v>90</v>
      </c>
      <c r="B192" s="1" t="s">
        <v>169</v>
      </c>
      <c r="C192" s="1">
        <v>17381.0</v>
      </c>
      <c r="D192" s="26">
        <v>43831.0</v>
      </c>
    </row>
    <row r="193">
      <c r="A193" s="1" t="s">
        <v>92</v>
      </c>
      <c r="B193" s="1" t="s">
        <v>169</v>
      </c>
      <c r="C193" s="1">
        <v>40327.0</v>
      </c>
      <c r="D193" s="26">
        <v>43831.0</v>
      </c>
    </row>
    <row r="194">
      <c r="A194" s="1" t="s">
        <v>94</v>
      </c>
      <c r="B194" s="1" t="s">
        <v>169</v>
      </c>
      <c r="C194" s="1">
        <v>12197.0</v>
      </c>
      <c r="D194" s="26">
        <v>43831.0</v>
      </c>
    </row>
    <row r="195">
      <c r="A195" s="1" t="s">
        <v>96</v>
      </c>
      <c r="B195" s="1" t="s">
        <v>169</v>
      </c>
      <c r="C195" s="1">
        <v>20403.0</v>
      </c>
      <c r="D195" s="26">
        <v>43831.0</v>
      </c>
    </row>
    <row r="196">
      <c r="A196" s="1" t="s">
        <v>98</v>
      </c>
      <c r="B196" s="1" t="s">
        <v>169</v>
      </c>
      <c r="C196" s="1">
        <v>60735.0</v>
      </c>
      <c r="D196" s="26">
        <v>43831.0</v>
      </c>
    </row>
    <row r="197">
      <c r="A197" s="1" t="s">
        <v>100</v>
      </c>
      <c r="B197" s="1" t="s">
        <v>169</v>
      </c>
      <c r="C197" s="1">
        <v>94084.0</v>
      </c>
      <c r="D197" s="26">
        <v>43831.0</v>
      </c>
    </row>
    <row r="198">
      <c r="A198" s="1" t="s">
        <v>102</v>
      </c>
      <c r="B198" s="1" t="s">
        <v>169</v>
      </c>
      <c r="C198" s="1">
        <v>70684.0</v>
      </c>
      <c r="D198" s="26">
        <v>43831.0</v>
      </c>
    </row>
    <row r="199">
      <c r="A199" s="1" t="s">
        <v>103</v>
      </c>
      <c r="B199" s="1" t="s">
        <v>169</v>
      </c>
      <c r="C199" s="1">
        <v>26266.0</v>
      </c>
      <c r="D199" s="26">
        <v>43831.0</v>
      </c>
    </row>
    <row r="200">
      <c r="A200" s="1" t="s">
        <v>105</v>
      </c>
      <c r="B200" s="1" t="s">
        <v>169</v>
      </c>
      <c r="C200" s="1">
        <v>22710.0</v>
      </c>
      <c r="D200" s="26">
        <v>43831.0</v>
      </c>
    </row>
    <row r="201">
      <c r="A201" s="1" t="s">
        <v>106</v>
      </c>
      <c r="B201" s="1" t="s">
        <v>169</v>
      </c>
      <c r="C201" s="1">
        <v>14340.0</v>
      </c>
      <c r="D201" s="26">
        <v>43831.0</v>
      </c>
    </row>
    <row r="202">
      <c r="A202" s="1" t="s">
        <v>108</v>
      </c>
      <c r="B202" s="1" t="s">
        <v>169</v>
      </c>
      <c r="C202" s="1">
        <v>143839.0</v>
      </c>
      <c r="D202" s="26">
        <v>43831.0</v>
      </c>
    </row>
    <row r="203">
      <c r="A203" s="1" t="s">
        <v>109</v>
      </c>
      <c r="B203" s="1" t="s">
        <v>169</v>
      </c>
      <c r="C203" s="1">
        <v>10827.0</v>
      </c>
      <c r="D203" s="26">
        <v>43831.0</v>
      </c>
    </row>
    <row r="204">
      <c r="A204" s="1" t="s">
        <v>113</v>
      </c>
      <c r="B204" s="1" t="s">
        <v>169</v>
      </c>
      <c r="C204" s="1">
        <v>47253.0</v>
      </c>
      <c r="D204" s="26">
        <v>43831.0</v>
      </c>
    </row>
    <row r="205">
      <c r="A205" s="1" t="s">
        <v>115</v>
      </c>
      <c r="B205" s="1" t="s">
        <v>169</v>
      </c>
      <c r="C205" s="1">
        <v>24248.0</v>
      </c>
      <c r="D205" s="26">
        <v>43831.0</v>
      </c>
    </row>
    <row r="206">
      <c r="A206" s="1" t="s">
        <v>117</v>
      </c>
      <c r="B206" s="1" t="s">
        <v>169</v>
      </c>
      <c r="C206" s="1">
        <v>17928.0</v>
      </c>
      <c r="D206" s="26">
        <v>43831.0</v>
      </c>
    </row>
    <row r="207">
      <c r="A207" s="1" t="s">
        <v>118</v>
      </c>
      <c r="B207" s="1" t="s">
        <v>169</v>
      </c>
      <c r="C207" s="1">
        <v>27804.0</v>
      </c>
      <c r="D207" s="26">
        <v>43831.0</v>
      </c>
    </row>
    <row r="208">
      <c r="A208" s="1" t="s">
        <v>120</v>
      </c>
      <c r="B208" s="1" t="s">
        <v>169</v>
      </c>
      <c r="C208" s="1">
        <v>15381.0</v>
      </c>
      <c r="D208" s="26">
        <v>43831.0</v>
      </c>
    </row>
    <row r="209">
      <c r="A209" s="1" t="s">
        <v>121</v>
      </c>
      <c r="B209" s="1" t="s">
        <v>169</v>
      </c>
      <c r="C209" s="1">
        <v>25960.0</v>
      </c>
      <c r="D209" s="26">
        <v>43831.0</v>
      </c>
    </row>
    <row r="210">
      <c r="A210" s="1" t="s">
        <v>123</v>
      </c>
      <c r="B210" s="1" t="s">
        <v>169</v>
      </c>
      <c r="C210" s="1">
        <v>11255.0</v>
      </c>
      <c r="D210" s="26">
        <v>43831.0</v>
      </c>
    </row>
    <row r="211">
      <c r="A211" s="1" t="s">
        <v>125</v>
      </c>
      <c r="B211" s="1" t="s">
        <v>169</v>
      </c>
      <c r="C211" s="1">
        <v>25263.0</v>
      </c>
      <c r="D211" s="26">
        <v>43831.0</v>
      </c>
    </row>
    <row r="212">
      <c r="A212" s="1" t="s">
        <v>126</v>
      </c>
      <c r="B212" s="1" t="s">
        <v>169</v>
      </c>
      <c r="C212" s="1">
        <v>10004.0</v>
      </c>
      <c r="D212" s="26">
        <v>43831.0</v>
      </c>
    </row>
    <row r="213">
      <c r="A213" s="1" t="s">
        <v>128</v>
      </c>
      <c r="B213" s="1" t="s">
        <v>169</v>
      </c>
      <c r="C213" s="1">
        <v>53320.0</v>
      </c>
      <c r="D213" s="26">
        <v>43831.0</v>
      </c>
    </row>
    <row r="214">
      <c r="A214" s="1" t="s">
        <v>130</v>
      </c>
      <c r="B214" s="1" t="s">
        <v>169</v>
      </c>
      <c r="C214" s="1">
        <v>24048.0</v>
      </c>
      <c r="D214" s="26">
        <v>43831.0</v>
      </c>
    </row>
    <row r="215">
      <c r="A215" s="1" t="s">
        <v>131</v>
      </c>
      <c r="B215" s="1" t="s">
        <v>169</v>
      </c>
      <c r="C215" s="1">
        <v>13892.0</v>
      </c>
      <c r="D215" s="26">
        <v>43831.0</v>
      </c>
    </row>
    <row r="216">
      <c r="A216" s="1" t="s">
        <v>133</v>
      </c>
      <c r="B216" s="1" t="s">
        <v>169</v>
      </c>
      <c r="C216" s="1">
        <v>7373.0</v>
      </c>
      <c r="D216" s="26">
        <v>43831.0</v>
      </c>
    </row>
    <row r="217">
      <c r="A217" s="1" t="s">
        <v>135</v>
      </c>
      <c r="B217" s="1"/>
      <c r="C217" s="1">
        <f>sum(C182:C216)</f>
        <v>1097982</v>
      </c>
      <c r="D217" s="26"/>
    </row>
    <row r="218">
      <c r="A218" s="1" t="s">
        <v>43</v>
      </c>
      <c r="B218" s="1" t="s">
        <v>187</v>
      </c>
      <c r="C218" s="1">
        <v>21534.0</v>
      </c>
      <c r="D218" s="26">
        <v>44197.0</v>
      </c>
    </row>
    <row r="219">
      <c r="A219" s="1" t="s">
        <v>49</v>
      </c>
      <c r="B219" s="1" t="s">
        <v>187</v>
      </c>
      <c r="C219" s="1">
        <v>66262.0</v>
      </c>
      <c r="D219" s="26">
        <v>44197.0</v>
      </c>
    </row>
    <row r="220">
      <c r="A220" s="1" t="s">
        <v>51</v>
      </c>
      <c r="B220" s="1" t="s">
        <v>187</v>
      </c>
      <c r="C220" s="1">
        <v>14354.0</v>
      </c>
      <c r="D220" s="26">
        <v>44197.0</v>
      </c>
    </row>
    <row r="221">
      <c r="A221" s="1" t="s">
        <v>54</v>
      </c>
      <c r="B221" s="1" t="s">
        <v>187</v>
      </c>
      <c r="C221" s="1">
        <v>18302.0</v>
      </c>
      <c r="D221" s="26">
        <v>44197.0</v>
      </c>
    </row>
    <row r="222">
      <c r="A222" s="1" t="s">
        <v>57</v>
      </c>
      <c r="B222" s="1" t="s">
        <v>187</v>
      </c>
      <c r="C222" s="1">
        <v>68932.0</v>
      </c>
      <c r="D222" s="26">
        <v>44197.0</v>
      </c>
    </row>
    <row r="223">
      <c r="A223" s="1" t="s">
        <v>60</v>
      </c>
      <c r="B223" s="1" t="s">
        <v>187</v>
      </c>
      <c r="C223" s="1">
        <v>10197.0</v>
      </c>
      <c r="D223" s="26">
        <v>44197.0</v>
      </c>
    </row>
    <row r="224">
      <c r="A224" s="1" t="s">
        <v>81</v>
      </c>
      <c r="B224" s="1" t="s">
        <v>187</v>
      </c>
      <c r="C224" s="1">
        <v>15205.0</v>
      </c>
      <c r="D224" s="26">
        <v>44197.0</v>
      </c>
    </row>
    <row r="225">
      <c r="A225" s="1" t="s">
        <v>84</v>
      </c>
      <c r="B225" s="1" t="s">
        <v>187</v>
      </c>
      <c r="C225" s="1">
        <v>52750.0</v>
      </c>
      <c r="D225" s="26">
        <v>44197.0</v>
      </c>
    </row>
    <row r="226">
      <c r="A226" s="1" t="s">
        <v>86</v>
      </c>
      <c r="B226" s="1" t="s">
        <v>187</v>
      </c>
      <c r="C226" s="1">
        <v>61086.0</v>
      </c>
      <c r="D226" s="26">
        <v>44197.0</v>
      </c>
    </row>
    <row r="227">
      <c r="A227" s="1" t="s">
        <v>88</v>
      </c>
      <c r="B227" s="1" t="s">
        <v>187</v>
      </c>
      <c r="C227" s="1">
        <v>127794.0</v>
      </c>
      <c r="D227" s="26">
        <v>44197.0</v>
      </c>
    </row>
    <row r="228">
      <c r="A228" s="1" t="s">
        <v>90</v>
      </c>
      <c r="B228" s="1" t="s">
        <v>187</v>
      </c>
      <c r="C228" s="1">
        <v>31858.0</v>
      </c>
      <c r="D228" s="26">
        <v>44197.0</v>
      </c>
    </row>
    <row r="229">
      <c r="A229" s="1" t="s">
        <v>92</v>
      </c>
      <c r="B229" s="1" t="s">
        <v>187</v>
      </c>
      <c r="C229" s="1">
        <v>78176.0</v>
      </c>
      <c r="D229" s="26">
        <v>44197.0</v>
      </c>
    </row>
    <row r="230">
      <c r="A230" s="1" t="s">
        <v>94</v>
      </c>
      <c r="B230" s="1" t="s">
        <v>187</v>
      </c>
      <c r="C230" s="1">
        <v>18874.0</v>
      </c>
      <c r="D230" s="26">
        <v>44197.0</v>
      </c>
    </row>
    <row r="231">
      <c r="A231" s="1" t="s">
        <v>96</v>
      </c>
      <c r="B231" s="1" t="s">
        <v>187</v>
      </c>
      <c r="C231" s="1">
        <v>34968.0</v>
      </c>
      <c r="D231" s="26">
        <v>44197.0</v>
      </c>
    </row>
    <row r="232">
      <c r="A232" s="1" t="s">
        <v>98</v>
      </c>
      <c r="B232" s="1" t="s">
        <v>187</v>
      </c>
      <c r="C232" s="1">
        <v>82125.0</v>
      </c>
      <c r="D232" s="26">
        <v>44197.0</v>
      </c>
    </row>
    <row r="233">
      <c r="A233" s="1" t="s">
        <v>100</v>
      </c>
      <c r="B233" s="1" t="s">
        <v>187</v>
      </c>
      <c r="C233" s="1">
        <v>129528.0</v>
      </c>
      <c r="D233" s="26">
        <v>44197.0</v>
      </c>
    </row>
    <row r="234">
      <c r="A234" s="1" t="s">
        <v>102</v>
      </c>
      <c r="B234" s="1" t="s">
        <v>187</v>
      </c>
      <c r="C234" s="1">
        <v>84949.0</v>
      </c>
      <c r="D234" s="26">
        <v>44197.0</v>
      </c>
    </row>
    <row r="235">
      <c r="A235" s="1" t="s">
        <v>103</v>
      </c>
      <c r="B235" s="1" t="s">
        <v>187</v>
      </c>
      <c r="C235" s="1">
        <v>38836.0</v>
      </c>
      <c r="D235" s="26">
        <v>44197.0</v>
      </c>
    </row>
    <row r="236">
      <c r="A236" s="1" t="s">
        <v>105</v>
      </c>
      <c r="B236" s="1" t="s">
        <v>187</v>
      </c>
      <c r="C236" s="1">
        <v>31368.0</v>
      </c>
      <c r="D236" s="26">
        <v>44197.0</v>
      </c>
    </row>
    <row r="237">
      <c r="A237" s="1" t="s">
        <v>106</v>
      </c>
      <c r="B237" s="1" t="s">
        <v>187</v>
      </c>
      <c r="C237" s="1">
        <v>22057.0</v>
      </c>
      <c r="D237" s="26">
        <v>44197.0</v>
      </c>
    </row>
    <row r="238">
      <c r="A238" s="1" t="s">
        <v>108</v>
      </c>
      <c r="B238" s="1" t="s">
        <v>187</v>
      </c>
      <c r="C238" s="1">
        <v>195864.0</v>
      </c>
      <c r="D238" s="26">
        <v>44197.0</v>
      </c>
    </row>
    <row r="239">
      <c r="A239" s="1" t="s">
        <v>109</v>
      </c>
      <c r="B239" s="1" t="s">
        <v>187</v>
      </c>
      <c r="C239" s="1">
        <v>19596.0</v>
      </c>
      <c r="D239" s="26">
        <v>44197.0</v>
      </c>
    </row>
    <row r="240">
      <c r="A240" s="1" t="s">
        <v>113</v>
      </c>
      <c r="B240" s="1" t="s">
        <v>187</v>
      </c>
      <c r="C240" s="1">
        <v>61474.0</v>
      </c>
      <c r="D240" s="26">
        <v>44197.0</v>
      </c>
    </row>
    <row r="241">
      <c r="A241" s="1" t="s">
        <v>115</v>
      </c>
      <c r="B241" s="1" t="s">
        <v>187</v>
      </c>
      <c r="C241" s="1">
        <v>37194.0</v>
      </c>
      <c r="D241" s="26">
        <v>44197.0</v>
      </c>
    </row>
    <row r="242">
      <c r="A242" s="1" t="s">
        <v>117</v>
      </c>
      <c r="B242" s="1" t="s">
        <v>187</v>
      </c>
      <c r="C242" s="1">
        <v>27563.0</v>
      </c>
      <c r="D242" s="26">
        <v>44197.0</v>
      </c>
    </row>
    <row r="243">
      <c r="A243" s="1" t="s">
        <v>118</v>
      </c>
      <c r="B243" s="1" t="s">
        <v>187</v>
      </c>
      <c r="C243" s="1">
        <v>46108.0</v>
      </c>
      <c r="D243" s="26">
        <v>44197.0</v>
      </c>
    </row>
    <row r="244">
      <c r="A244" s="1" t="s">
        <v>120</v>
      </c>
      <c r="B244" s="1" t="s">
        <v>187</v>
      </c>
      <c r="C244" s="1">
        <v>27865.0</v>
      </c>
      <c r="D244" s="26">
        <v>44197.0</v>
      </c>
    </row>
    <row r="245">
      <c r="A245" s="1" t="s">
        <v>121</v>
      </c>
      <c r="B245" s="1" t="s">
        <v>187</v>
      </c>
      <c r="C245" s="1">
        <v>50295.0</v>
      </c>
      <c r="D245" s="26">
        <v>44197.0</v>
      </c>
    </row>
    <row r="246">
      <c r="A246" s="1" t="s">
        <v>123</v>
      </c>
      <c r="B246" s="1" t="s">
        <v>187</v>
      </c>
      <c r="C246" s="1">
        <v>22507.0</v>
      </c>
      <c r="D246" s="26">
        <v>44197.0</v>
      </c>
    </row>
    <row r="247">
      <c r="A247" s="1" t="s">
        <v>125</v>
      </c>
      <c r="B247" s="1" t="s">
        <v>187</v>
      </c>
      <c r="C247" s="1">
        <v>46781.0</v>
      </c>
      <c r="D247" s="26">
        <v>44197.0</v>
      </c>
    </row>
    <row r="248">
      <c r="A248" s="1" t="s">
        <v>126</v>
      </c>
      <c r="B248" s="1" t="s">
        <v>187</v>
      </c>
      <c r="C248" s="1">
        <v>16747.0</v>
      </c>
      <c r="D248" s="26">
        <v>44197.0</v>
      </c>
    </row>
    <row r="249">
      <c r="A249" s="1" t="s">
        <v>128</v>
      </c>
      <c r="B249" s="1" t="s">
        <v>187</v>
      </c>
      <c r="C249" s="1">
        <v>49062.0</v>
      </c>
      <c r="D249" s="26">
        <v>44197.0</v>
      </c>
    </row>
    <row r="250">
      <c r="A250" s="1" t="s">
        <v>130</v>
      </c>
      <c r="B250" s="1" t="s">
        <v>187</v>
      </c>
      <c r="C250" s="1">
        <v>35775.0</v>
      </c>
      <c r="D250" s="26">
        <v>44197.0</v>
      </c>
    </row>
    <row r="251">
      <c r="A251" s="1" t="s">
        <v>131</v>
      </c>
      <c r="B251" s="1" t="s">
        <v>187</v>
      </c>
      <c r="C251" s="1">
        <v>26563.0</v>
      </c>
      <c r="D251" s="26">
        <v>44197.0</v>
      </c>
    </row>
    <row r="252">
      <c r="A252" s="1" t="s">
        <v>133</v>
      </c>
      <c r="B252" s="1" t="s">
        <v>187</v>
      </c>
      <c r="C252" s="1">
        <v>13490.0</v>
      </c>
      <c r="D252" s="26">
        <v>44197.0</v>
      </c>
    </row>
    <row r="253">
      <c r="A253" s="1" t="s">
        <v>135</v>
      </c>
      <c r="B253" s="1"/>
      <c r="C253" s="1">
        <f>sum(C218:C252)</f>
        <v>1686039</v>
      </c>
      <c r="D253" s="26"/>
    </row>
    <row r="254">
      <c r="A254" s="1" t="s">
        <v>43</v>
      </c>
      <c r="B254" s="1" t="s">
        <v>237</v>
      </c>
      <c r="C254" s="1">
        <v>23808.0</v>
      </c>
      <c r="D254" s="26">
        <v>44562.0</v>
      </c>
    </row>
    <row r="255">
      <c r="A255" s="1" t="s">
        <v>49</v>
      </c>
      <c r="B255" s="1" t="s">
        <v>237</v>
      </c>
      <c r="C255" s="1">
        <v>72508.0</v>
      </c>
      <c r="D255" s="26">
        <v>44562.0</v>
      </c>
    </row>
    <row r="256">
      <c r="A256" s="1" t="s">
        <v>51</v>
      </c>
      <c r="B256" s="1" t="s">
        <v>237</v>
      </c>
      <c r="C256" s="1">
        <v>21286.0</v>
      </c>
      <c r="D256" s="26">
        <v>44562.0</v>
      </c>
    </row>
    <row r="257">
      <c r="A257" s="1" t="s">
        <v>54</v>
      </c>
      <c r="B257" s="1" t="s">
        <v>237</v>
      </c>
      <c r="C257" s="1">
        <v>22876.0</v>
      </c>
      <c r="D257" s="26">
        <v>44562.0</v>
      </c>
    </row>
    <row r="258">
      <c r="A258" s="1" t="s">
        <v>57</v>
      </c>
      <c r="B258" s="1" t="s">
        <v>237</v>
      </c>
      <c r="C258" s="1">
        <v>81471.0</v>
      </c>
      <c r="D258" s="26">
        <v>44562.0</v>
      </c>
    </row>
    <row r="259">
      <c r="A259" s="1" t="s">
        <v>60</v>
      </c>
      <c r="B259" s="1" t="s">
        <v>237</v>
      </c>
      <c r="C259" s="1">
        <v>13415.0</v>
      </c>
      <c r="D259" s="26">
        <v>44562.0</v>
      </c>
    </row>
    <row r="260">
      <c r="A260" s="1" t="s">
        <v>81</v>
      </c>
      <c r="B260" s="1" t="s">
        <v>237</v>
      </c>
      <c r="C260" s="1">
        <v>20069.0</v>
      </c>
      <c r="D260" s="26">
        <v>44562.0</v>
      </c>
    </row>
    <row r="261">
      <c r="A261" s="1" t="s">
        <v>84</v>
      </c>
      <c r="B261" s="1" t="s">
        <v>237</v>
      </c>
      <c r="C261" s="1">
        <v>61332.0</v>
      </c>
      <c r="D261" s="26">
        <v>44562.0</v>
      </c>
    </row>
    <row r="262">
      <c r="A262" s="1" t="s">
        <v>86</v>
      </c>
      <c r="B262" s="1" t="s">
        <v>237</v>
      </c>
      <c r="C262" s="1">
        <v>30284.0</v>
      </c>
      <c r="D262" s="26">
        <v>44562.0</v>
      </c>
    </row>
    <row r="263">
      <c r="A263" s="1" t="s">
        <v>88</v>
      </c>
      <c r="B263" s="1" t="s">
        <v>237</v>
      </c>
      <c r="C263" s="1">
        <v>91370.0</v>
      </c>
      <c r="D263" s="26">
        <v>44562.0</v>
      </c>
    </row>
    <row r="264">
      <c r="A264" s="1" t="s">
        <v>90</v>
      </c>
      <c r="B264" s="1" t="s">
        <v>237</v>
      </c>
      <c r="C264" s="1">
        <v>26401.0</v>
      </c>
      <c r="D264" s="26">
        <v>44562.0</v>
      </c>
    </row>
    <row r="265">
      <c r="A265" s="1" t="s">
        <v>92</v>
      </c>
      <c r="B265" s="1" t="s">
        <v>237</v>
      </c>
      <c r="C265" s="1">
        <v>43657.0</v>
      </c>
      <c r="D265" s="26">
        <v>44562.0</v>
      </c>
    </row>
    <row r="266">
      <c r="A266" s="1" t="s">
        <v>94</v>
      </c>
      <c r="B266" s="1" t="s">
        <v>237</v>
      </c>
      <c r="C266" s="1">
        <v>114805.0</v>
      </c>
      <c r="D266" s="26">
        <v>44562.0</v>
      </c>
    </row>
    <row r="267">
      <c r="A267" s="1" t="s">
        <v>96</v>
      </c>
      <c r="B267" s="1" t="s">
        <v>237</v>
      </c>
      <c r="C267" s="1">
        <v>258699.0</v>
      </c>
      <c r="D267" s="26">
        <v>44562.0</v>
      </c>
    </row>
    <row r="268">
      <c r="A268" s="1" t="s">
        <v>98</v>
      </c>
      <c r="B268" s="1" t="s">
        <v>237</v>
      </c>
      <c r="C268" s="1">
        <v>101347.0</v>
      </c>
      <c r="D268" s="26">
        <v>44562.0</v>
      </c>
    </row>
    <row r="269">
      <c r="A269" s="1" t="s">
        <v>100</v>
      </c>
      <c r="B269" s="1" t="s">
        <v>237</v>
      </c>
      <c r="C269" s="1">
        <v>42684.0</v>
      </c>
      <c r="D269" s="26">
        <v>44562.0</v>
      </c>
    </row>
    <row r="270">
      <c r="A270" s="1" t="s">
        <v>102</v>
      </c>
      <c r="B270" s="1" t="s">
        <v>237</v>
      </c>
      <c r="C270" s="1">
        <v>41319.0</v>
      </c>
      <c r="D270" s="26">
        <v>44562.0</v>
      </c>
    </row>
    <row r="271">
      <c r="A271" s="1" t="s">
        <v>103</v>
      </c>
      <c r="B271" s="1" t="s">
        <v>237</v>
      </c>
      <c r="C271" s="1">
        <v>28734.0</v>
      </c>
      <c r="D271" s="26">
        <v>44562.0</v>
      </c>
    </row>
    <row r="272">
      <c r="A272" s="1" t="s">
        <v>105</v>
      </c>
      <c r="B272" s="1" t="s">
        <v>237</v>
      </c>
      <c r="C272" s="1">
        <v>194259.0</v>
      </c>
      <c r="D272" s="26">
        <v>44562.0</v>
      </c>
    </row>
    <row r="273">
      <c r="A273" s="1" t="s">
        <v>106</v>
      </c>
      <c r="B273" s="1" t="s">
        <v>237</v>
      </c>
      <c r="C273" s="1">
        <v>24227.0</v>
      </c>
      <c r="D273" s="26">
        <v>44562.0</v>
      </c>
    </row>
    <row r="274">
      <c r="A274" s="1" t="s">
        <v>108</v>
      </c>
      <c r="B274" s="1" t="s">
        <v>237</v>
      </c>
      <c r="C274" s="1">
        <v>81608.0</v>
      </c>
      <c r="D274" s="26">
        <v>44562.0</v>
      </c>
    </row>
    <row r="275">
      <c r="A275" s="1" t="s">
        <v>109</v>
      </c>
      <c r="B275" s="1" t="s">
        <v>237</v>
      </c>
      <c r="C275" s="1">
        <v>46362.0</v>
      </c>
      <c r="D275" s="26">
        <v>44562.0</v>
      </c>
    </row>
    <row r="276">
      <c r="A276" s="1" t="s">
        <v>113</v>
      </c>
      <c r="B276" s="1" t="s">
        <v>237</v>
      </c>
      <c r="C276" s="1">
        <v>32259.0</v>
      </c>
      <c r="D276" s="26">
        <v>44562.0</v>
      </c>
    </row>
    <row r="277">
      <c r="A277" s="1" t="s">
        <v>115</v>
      </c>
      <c r="B277" s="1" t="s">
        <v>237</v>
      </c>
      <c r="C277" s="1">
        <v>53294.0</v>
      </c>
      <c r="D277" s="26">
        <v>44562.0</v>
      </c>
    </row>
    <row r="278">
      <c r="A278" s="1" t="s">
        <v>117</v>
      </c>
      <c r="B278" s="1" t="s">
        <v>237</v>
      </c>
      <c r="C278" s="1">
        <v>35229.0</v>
      </c>
      <c r="D278" s="26">
        <v>44562.0</v>
      </c>
    </row>
    <row r="279">
      <c r="A279" s="1" t="s">
        <v>118</v>
      </c>
      <c r="B279" s="1" t="s">
        <v>237</v>
      </c>
      <c r="C279" s="1">
        <v>61297.0</v>
      </c>
      <c r="D279" s="26">
        <v>44562.0</v>
      </c>
    </row>
    <row r="280">
      <c r="A280" s="1" t="s">
        <v>120</v>
      </c>
      <c r="B280" s="1" t="s">
        <v>237</v>
      </c>
      <c r="C280" s="1">
        <v>29163.0</v>
      </c>
      <c r="D280" s="26">
        <v>44562.0</v>
      </c>
    </row>
    <row r="281">
      <c r="A281" s="1" t="s">
        <v>121</v>
      </c>
      <c r="B281" s="1" t="s">
        <v>237</v>
      </c>
      <c r="C281" s="1">
        <v>48474.0</v>
      </c>
      <c r="D281" s="26">
        <v>44562.0</v>
      </c>
    </row>
    <row r="282">
      <c r="A282" s="1" t="s">
        <v>123</v>
      </c>
      <c r="B282" s="1" t="s">
        <v>237</v>
      </c>
      <c r="C282" s="1">
        <v>25076.0</v>
      </c>
      <c r="D282" s="26">
        <v>44562.0</v>
      </c>
    </row>
    <row r="283">
      <c r="A283" s="1" t="s">
        <v>125</v>
      </c>
      <c r="B283" s="1" t="s">
        <v>237</v>
      </c>
      <c r="C283" s="1">
        <v>54092.0</v>
      </c>
      <c r="D283" s="26">
        <v>44562.0</v>
      </c>
    </row>
    <row r="284">
      <c r="A284" s="1" t="s">
        <v>126</v>
      </c>
      <c r="B284" s="1" t="s">
        <v>237</v>
      </c>
      <c r="C284" s="1">
        <v>47854.0</v>
      </c>
      <c r="D284" s="26">
        <v>44562.0</v>
      </c>
    </row>
    <row r="285">
      <c r="A285" s="1" t="s">
        <v>128</v>
      </c>
      <c r="B285" s="1" t="s">
        <v>237</v>
      </c>
      <c r="C285" s="1">
        <v>30429.0</v>
      </c>
      <c r="D285" s="26">
        <v>44562.0</v>
      </c>
    </row>
    <row r="286">
      <c r="A286" s="1" t="s">
        <v>130</v>
      </c>
      <c r="B286" s="1" t="s">
        <v>237</v>
      </c>
      <c r="C286" s="1">
        <v>16076.0</v>
      </c>
      <c r="D286" s="26">
        <v>44562.0</v>
      </c>
    </row>
    <row r="287">
      <c r="A287" s="1" t="s">
        <v>131</v>
      </c>
      <c r="B287" s="1" t="s">
        <v>237</v>
      </c>
      <c r="C287" s="1">
        <v>64384.0</v>
      </c>
      <c r="D287" s="26">
        <v>44562.0</v>
      </c>
    </row>
    <row r="288">
      <c r="A288" s="1" t="s">
        <v>133</v>
      </c>
      <c r="B288" s="1" t="s">
        <v>237</v>
      </c>
      <c r="C288" s="1">
        <v>176619.0</v>
      </c>
      <c r="D288" s="26">
        <v>44562.0</v>
      </c>
    </row>
    <row r="289">
      <c r="A289" s="1" t="s">
        <v>135</v>
      </c>
      <c r="B289" s="1"/>
      <c r="C289" s="1">
        <f>sum(C254:C288)</f>
        <v>2116767</v>
      </c>
      <c r="D289" s="26"/>
    </row>
    <row r="290">
      <c r="A290" s="1" t="s">
        <v>43</v>
      </c>
      <c r="B290" s="1" t="s">
        <v>249</v>
      </c>
      <c r="C290" s="1">
        <v>23214.0</v>
      </c>
      <c r="D290" s="26">
        <v>44927.0</v>
      </c>
    </row>
    <row r="291">
      <c r="A291" s="1" t="s">
        <v>49</v>
      </c>
      <c r="B291" s="1" t="s">
        <v>249</v>
      </c>
      <c r="C291" s="1">
        <v>88416.0</v>
      </c>
      <c r="D291" s="26">
        <v>44927.0</v>
      </c>
    </row>
    <row r="292">
      <c r="A292" s="1" t="s">
        <v>51</v>
      </c>
      <c r="B292" s="1" t="s">
        <v>249</v>
      </c>
      <c r="C292" s="1">
        <v>15816.0</v>
      </c>
      <c r="D292" s="26">
        <v>44927.0</v>
      </c>
    </row>
    <row r="293">
      <c r="A293" s="1" t="s">
        <v>54</v>
      </c>
      <c r="B293" s="1" t="s">
        <v>249</v>
      </c>
      <c r="C293" s="1">
        <v>32791.0</v>
      </c>
      <c r="D293" s="26">
        <v>44927.0</v>
      </c>
    </row>
    <row r="294">
      <c r="A294" s="1" t="s">
        <v>57</v>
      </c>
      <c r="B294" s="1" t="s">
        <v>249</v>
      </c>
      <c r="C294" s="1">
        <v>96416.0</v>
      </c>
      <c r="D294" s="26">
        <v>44927.0</v>
      </c>
    </row>
    <row r="295">
      <c r="A295" s="1" t="s">
        <v>60</v>
      </c>
      <c r="B295" s="1" t="s">
        <v>249</v>
      </c>
      <c r="C295" s="1">
        <v>16667.0</v>
      </c>
      <c r="D295" s="26">
        <v>44927.0</v>
      </c>
    </row>
    <row r="296">
      <c r="A296" s="1" t="s">
        <v>81</v>
      </c>
      <c r="B296" s="1" t="s">
        <v>249</v>
      </c>
      <c r="C296" s="1">
        <v>23655.0</v>
      </c>
      <c r="D296" s="26">
        <v>44927.0</v>
      </c>
    </row>
    <row r="297">
      <c r="A297" s="1" t="s">
        <v>84</v>
      </c>
      <c r="B297" s="1" t="s">
        <v>249</v>
      </c>
      <c r="C297" s="1">
        <v>75928.0</v>
      </c>
      <c r="D297" s="26">
        <v>44927.0</v>
      </c>
    </row>
    <row r="298">
      <c r="A298" s="1" t="s">
        <v>86</v>
      </c>
      <c r="B298" s="1" t="s">
        <v>249</v>
      </c>
      <c r="C298" s="1">
        <v>61379.0</v>
      </c>
      <c r="D298" s="26">
        <v>44927.0</v>
      </c>
    </row>
    <row r="299">
      <c r="A299" s="1" t="s">
        <v>88</v>
      </c>
      <c r="B299" s="1" t="s">
        <v>249</v>
      </c>
      <c r="C299" s="1">
        <v>147830.0</v>
      </c>
      <c r="D299" s="26">
        <v>44927.0</v>
      </c>
    </row>
    <row r="300">
      <c r="A300" s="1" t="s">
        <v>90</v>
      </c>
      <c r="B300" s="1" t="s">
        <v>249</v>
      </c>
      <c r="C300" s="1">
        <v>31212.0</v>
      </c>
      <c r="D300" s="26">
        <v>44927.0</v>
      </c>
    </row>
    <row r="301">
      <c r="A301" s="1" t="s">
        <v>92</v>
      </c>
      <c r="B301" s="1" t="s">
        <v>249</v>
      </c>
      <c r="C301" s="1">
        <v>122218.0</v>
      </c>
      <c r="D301" s="26">
        <v>44927.0</v>
      </c>
    </row>
    <row r="302">
      <c r="A302" s="1" t="s">
        <v>94</v>
      </c>
      <c r="B302" s="1" t="s">
        <v>249</v>
      </c>
      <c r="C302" s="1">
        <v>31783.0</v>
      </c>
      <c r="D302" s="26">
        <v>44927.0</v>
      </c>
    </row>
    <row r="303">
      <c r="A303" s="1" t="s">
        <v>96</v>
      </c>
      <c r="B303" s="1" t="s">
        <v>249</v>
      </c>
      <c r="C303" s="1">
        <v>43217.0</v>
      </c>
      <c r="D303" s="26">
        <v>44927.0</v>
      </c>
    </row>
    <row r="304">
      <c r="A304" s="1" t="s">
        <v>98</v>
      </c>
      <c r="B304" s="1" t="s">
        <v>249</v>
      </c>
      <c r="C304" s="1">
        <v>139086.0</v>
      </c>
      <c r="D304" s="26">
        <v>44927.0</v>
      </c>
    </row>
    <row r="305">
      <c r="A305" s="1" t="s">
        <v>100</v>
      </c>
      <c r="B305" s="1" t="s">
        <v>249</v>
      </c>
      <c r="C305" s="1">
        <v>382061.0</v>
      </c>
      <c r="D305" s="26">
        <v>44927.0</v>
      </c>
    </row>
    <row r="306">
      <c r="A306" s="1" t="s">
        <v>102</v>
      </c>
      <c r="B306" s="1" t="s">
        <v>249</v>
      </c>
      <c r="C306" s="1">
        <v>114856.0</v>
      </c>
      <c r="D306" s="26">
        <v>44927.0</v>
      </c>
    </row>
    <row r="307">
      <c r="A307" s="1" t="s">
        <v>103</v>
      </c>
      <c r="B307" s="1" t="s">
        <v>249</v>
      </c>
      <c r="C307" s="1">
        <v>48605.0</v>
      </c>
      <c r="D307" s="26">
        <v>44927.0</v>
      </c>
    </row>
    <row r="308">
      <c r="A308" s="1" t="s">
        <v>105</v>
      </c>
      <c r="B308" s="1" t="s">
        <v>249</v>
      </c>
      <c r="C308" s="1">
        <v>50164.0</v>
      </c>
      <c r="D308" s="26">
        <v>44927.0</v>
      </c>
    </row>
    <row r="309">
      <c r="A309" s="1" t="s">
        <v>106</v>
      </c>
      <c r="B309" s="1" t="s">
        <v>249</v>
      </c>
      <c r="C309" s="1">
        <v>27328.0</v>
      </c>
      <c r="D309" s="26">
        <v>44927.0</v>
      </c>
    </row>
    <row r="310">
      <c r="A310" s="1" t="s">
        <v>108</v>
      </c>
      <c r="B310" s="1" t="s">
        <v>249</v>
      </c>
      <c r="C310" s="1">
        <v>172655.0</v>
      </c>
      <c r="D310" s="26">
        <v>44927.0</v>
      </c>
    </row>
    <row r="311">
      <c r="A311" s="1" t="s">
        <v>109</v>
      </c>
      <c r="B311" s="1" t="s">
        <v>249</v>
      </c>
      <c r="C311" s="1">
        <v>30101.0</v>
      </c>
      <c r="D311" s="26">
        <v>44927.0</v>
      </c>
    </row>
    <row r="312">
      <c r="A312" s="1" t="s">
        <v>113</v>
      </c>
      <c r="B312" s="1" t="s">
        <v>249</v>
      </c>
      <c r="C312" s="1">
        <v>101811.0</v>
      </c>
      <c r="D312" s="26">
        <v>44927.0</v>
      </c>
    </row>
    <row r="313">
      <c r="A313" s="1" t="s">
        <v>115</v>
      </c>
      <c r="B313" s="1" t="s">
        <v>249</v>
      </c>
      <c r="C313" s="1">
        <v>54669.0</v>
      </c>
      <c r="D313" s="26">
        <v>44927.0</v>
      </c>
    </row>
    <row r="314">
      <c r="A314" s="1" t="s">
        <v>117</v>
      </c>
      <c r="B314" s="1" t="s">
        <v>249</v>
      </c>
      <c r="C314" s="1">
        <v>38288.0</v>
      </c>
      <c r="D314" s="26">
        <v>44927.0</v>
      </c>
    </row>
    <row r="315">
      <c r="A315" s="1" t="s">
        <v>118</v>
      </c>
      <c r="B315" s="1" t="s">
        <v>249</v>
      </c>
      <c r="C315" s="1">
        <v>57981.0</v>
      </c>
      <c r="D315" s="26">
        <v>44927.0</v>
      </c>
    </row>
    <row r="316">
      <c r="A316" s="1" t="s">
        <v>120</v>
      </c>
      <c r="B316" s="1" t="s">
        <v>249</v>
      </c>
      <c r="C316" s="1">
        <v>52956.0</v>
      </c>
      <c r="D316" s="26">
        <v>44927.0</v>
      </c>
    </row>
    <row r="317">
      <c r="A317" s="1" t="s">
        <v>121</v>
      </c>
      <c r="B317" s="1" t="s">
        <v>249</v>
      </c>
      <c r="C317" s="1">
        <v>56086.0</v>
      </c>
      <c r="D317" s="26">
        <v>44927.0</v>
      </c>
    </row>
    <row r="318">
      <c r="A318" s="1" t="s">
        <v>123</v>
      </c>
      <c r="B318" s="1" t="s">
        <v>249</v>
      </c>
      <c r="C318" s="1">
        <v>43120.0</v>
      </c>
      <c r="D318" s="26">
        <v>44927.0</v>
      </c>
    </row>
    <row r="319">
      <c r="A319" s="1" t="s">
        <v>125</v>
      </c>
      <c r="B319" s="1" t="s">
        <v>249</v>
      </c>
      <c r="C319" s="1">
        <v>81183.0</v>
      </c>
      <c r="D319" s="26">
        <v>44927.0</v>
      </c>
    </row>
    <row r="320">
      <c r="A320" s="1" t="s">
        <v>126</v>
      </c>
      <c r="B320" s="1" t="s">
        <v>249</v>
      </c>
      <c r="C320" s="1">
        <v>24551.0</v>
      </c>
      <c r="D320" s="26">
        <v>44927.0</v>
      </c>
    </row>
    <row r="321">
      <c r="A321" s="1" t="s">
        <v>128</v>
      </c>
      <c r="B321" s="1" t="s">
        <v>249</v>
      </c>
      <c r="C321" s="1">
        <v>72455.0</v>
      </c>
      <c r="D321" s="26">
        <v>44927.0</v>
      </c>
    </row>
    <row r="322">
      <c r="A322" s="1" t="s">
        <v>130</v>
      </c>
      <c r="B322" s="1" t="s">
        <v>249</v>
      </c>
      <c r="C322" s="1">
        <v>47432.0</v>
      </c>
      <c r="D322" s="26">
        <v>44927.0</v>
      </c>
    </row>
    <row r="323">
      <c r="A323" s="1" t="s">
        <v>131</v>
      </c>
      <c r="B323" s="1" t="s">
        <v>249</v>
      </c>
      <c r="C323" s="1">
        <v>33295.0</v>
      </c>
      <c r="D323" s="26">
        <v>44927.0</v>
      </c>
    </row>
    <row r="324">
      <c r="A324" s="1" t="s">
        <v>133</v>
      </c>
      <c r="B324" s="1" t="s">
        <v>249</v>
      </c>
      <c r="C324" s="1">
        <v>19286.0</v>
      </c>
      <c r="D324" s="26">
        <v>44927.0</v>
      </c>
    </row>
    <row r="325">
      <c r="A325" s="1" t="s">
        <v>135</v>
      </c>
      <c r="C325" s="1">
        <f>sum(C290:C324)</f>
        <v>2458511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0.5"/>
  </cols>
  <sheetData>
    <row r="1">
      <c r="A1" s="1" t="s">
        <v>41</v>
      </c>
      <c r="B1" s="1" t="s">
        <v>44</v>
      </c>
      <c r="C1" s="1" t="s">
        <v>46</v>
      </c>
      <c r="D1" s="1" t="s">
        <v>47</v>
      </c>
      <c r="E1" s="1" t="s">
        <v>48</v>
      </c>
    </row>
    <row r="2">
      <c r="A2" s="27">
        <v>2.0</v>
      </c>
      <c r="B2" s="27">
        <v>5.0</v>
      </c>
      <c r="C2" s="27">
        <v>27.0</v>
      </c>
      <c r="D2" s="27" t="s">
        <v>52</v>
      </c>
      <c r="E2" s="27">
        <v>487836.0</v>
      </c>
      <c r="F2" s="1" t="s">
        <v>53</v>
      </c>
    </row>
    <row r="3">
      <c r="A3" s="27">
        <v>14.0</v>
      </c>
      <c r="B3" s="27">
        <v>40.0</v>
      </c>
      <c r="C3" s="27">
        <v>34.0</v>
      </c>
      <c r="D3" s="27" t="s">
        <v>55</v>
      </c>
      <c r="E3" s="27">
        <v>463239.0</v>
      </c>
      <c r="F3" s="1" t="s">
        <v>56</v>
      </c>
    </row>
    <row r="4">
      <c r="A4" s="27">
        <v>40.0</v>
      </c>
      <c r="B4" s="27">
        <v>54.0</v>
      </c>
      <c r="C4" s="27">
        <v>7.0</v>
      </c>
      <c r="D4" s="27" t="s">
        <v>58</v>
      </c>
      <c r="E4" s="27">
        <v>442702.0</v>
      </c>
      <c r="F4" s="1" t="s">
        <v>59</v>
      </c>
    </row>
    <row r="5">
      <c r="A5" s="27">
        <v>11.0</v>
      </c>
      <c r="B5" s="27">
        <v>17.0</v>
      </c>
      <c r="C5" s="27">
        <v>47.0</v>
      </c>
      <c r="D5" s="27" t="s">
        <v>61</v>
      </c>
      <c r="E5" s="27">
        <v>416970.0</v>
      </c>
      <c r="F5" s="1" t="s">
        <v>62</v>
      </c>
    </row>
    <row r="6">
      <c r="A6" s="27">
        <v>15.0</v>
      </c>
      <c r="B6" s="27">
        <v>6.0</v>
      </c>
      <c r="C6" s="27">
        <v>64.0</v>
      </c>
      <c r="D6" s="27" t="s">
        <v>63</v>
      </c>
      <c r="E6" s="27">
        <v>385753.0</v>
      </c>
      <c r="F6" s="1" t="s">
        <v>64</v>
      </c>
      <c r="G6" s="1" t="s">
        <v>65</v>
      </c>
    </row>
    <row r="7">
      <c r="A7" s="1">
        <v>15.0</v>
      </c>
      <c r="B7" s="1">
        <v>54.0</v>
      </c>
      <c r="C7" s="1">
        <v>93.0</v>
      </c>
      <c r="D7" s="1" t="s">
        <v>66</v>
      </c>
      <c r="E7" s="1">
        <v>367979.0</v>
      </c>
    </row>
    <row r="8">
      <c r="A8" s="1">
        <v>15.0</v>
      </c>
      <c r="B8" s="1">
        <v>6.0</v>
      </c>
      <c r="C8" s="1">
        <v>62.0</v>
      </c>
      <c r="D8" s="1" t="s">
        <v>67</v>
      </c>
      <c r="E8" s="1">
        <v>362738.0</v>
      </c>
    </row>
    <row r="9">
      <c r="A9" s="1">
        <v>40.0</v>
      </c>
      <c r="B9" s="1">
        <v>54.0</v>
      </c>
      <c r="C9" s="1">
        <v>31.0</v>
      </c>
      <c r="D9" s="1" t="s">
        <v>68</v>
      </c>
      <c r="E9" s="1">
        <v>333119.0</v>
      </c>
    </row>
    <row r="10">
      <c r="A10" s="1">
        <v>14.0</v>
      </c>
      <c r="B10" s="1">
        <v>38.0</v>
      </c>
      <c r="C10" s="1">
        <v>53.0</v>
      </c>
      <c r="D10" s="1" t="s">
        <v>69</v>
      </c>
      <c r="E10" s="1">
        <v>326674.0</v>
      </c>
    </row>
    <row r="11">
      <c r="A11" s="1">
        <v>25.0</v>
      </c>
      <c r="B11" s="1">
        <v>1.0</v>
      </c>
      <c r="C11" s="1">
        <v>47.0</v>
      </c>
      <c r="D11" s="1" t="s">
        <v>61</v>
      </c>
      <c r="E11" s="1">
        <v>325448.0</v>
      </c>
    </row>
    <row r="12">
      <c r="A12" s="1">
        <v>16.0</v>
      </c>
      <c r="B12" s="1">
        <v>1.0</v>
      </c>
      <c r="C12" s="1">
        <v>220.0</v>
      </c>
      <c r="D12" s="1" t="s">
        <v>70</v>
      </c>
      <c r="E12" s="1">
        <v>323328.0</v>
      </c>
    </row>
    <row r="13">
      <c r="A13" s="1">
        <v>8.0</v>
      </c>
      <c r="B13" s="1">
        <v>1.0</v>
      </c>
      <c r="C13" s="1">
        <v>33.0</v>
      </c>
      <c r="D13" s="1" t="s">
        <v>71</v>
      </c>
      <c r="E13" s="1">
        <v>300129.0</v>
      </c>
    </row>
    <row r="14">
      <c r="A14" s="1">
        <v>20.0</v>
      </c>
      <c r="B14" s="1">
        <v>8.0</v>
      </c>
      <c r="C14" s="1">
        <v>19.0</v>
      </c>
      <c r="D14" s="1" t="s">
        <v>72</v>
      </c>
      <c r="E14" s="1">
        <v>298497.0</v>
      </c>
    </row>
    <row r="15">
      <c r="A15" s="1">
        <v>26.0</v>
      </c>
      <c r="B15" s="1">
        <v>3.0</v>
      </c>
      <c r="C15" s="1">
        <v>37.0</v>
      </c>
      <c r="D15" s="1" t="s">
        <v>73</v>
      </c>
      <c r="E15" s="1">
        <v>288590.0</v>
      </c>
    </row>
    <row r="16">
      <c r="A16" s="1">
        <v>15.0</v>
      </c>
      <c r="B16" s="1">
        <v>54.0</v>
      </c>
      <c r="C16" s="1">
        <v>68.0</v>
      </c>
      <c r="D16" s="1" t="s">
        <v>74</v>
      </c>
      <c r="E16" s="1">
        <v>282335.0</v>
      </c>
    </row>
    <row r="17">
      <c r="A17" s="1">
        <v>40.0</v>
      </c>
      <c r="B17" s="1">
        <v>6.0</v>
      </c>
      <c r="C17" s="1">
        <v>28.0</v>
      </c>
      <c r="D17" s="1" t="s">
        <v>75</v>
      </c>
      <c r="E17" s="1">
        <v>281775.0</v>
      </c>
    </row>
    <row r="18">
      <c r="A18" s="1">
        <v>40.0</v>
      </c>
      <c r="B18" s="1">
        <v>1.0</v>
      </c>
      <c r="C18" s="1">
        <v>18.0</v>
      </c>
      <c r="D18" s="1" t="s">
        <v>76</v>
      </c>
      <c r="E18" s="1">
        <v>281174.0</v>
      </c>
    </row>
    <row r="19">
      <c r="A19" s="1">
        <v>14.0</v>
      </c>
      <c r="B19" s="1">
        <v>38.0</v>
      </c>
      <c r="C19" s="1">
        <v>171.0</v>
      </c>
      <c r="D19" s="1" t="s">
        <v>77</v>
      </c>
      <c r="E19" s="1">
        <v>281168.0</v>
      </c>
    </row>
    <row r="20">
      <c r="A20" s="1">
        <v>14.0</v>
      </c>
      <c r="B20" s="1">
        <v>39.0</v>
      </c>
      <c r="C20" s="1">
        <v>48.0</v>
      </c>
      <c r="D20" s="1" t="s">
        <v>78</v>
      </c>
      <c r="E20" s="1">
        <v>279031.0</v>
      </c>
    </row>
    <row r="21">
      <c r="A21" s="1">
        <v>14.0</v>
      </c>
      <c r="B21" s="1">
        <v>39.0</v>
      </c>
      <c r="C21" s="1">
        <v>39.0</v>
      </c>
      <c r="D21" s="1" t="s">
        <v>79</v>
      </c>
      <c r="E21" s="1">
        <v>269828.0</v>
      </c>
    </row>
    <row r="22">
      <c r="A22" s="1">
        <v>15.0</v>
      </c>
      <c r="B22" s="1">
        <v>6.0</v>
      </c>
      <c r="C22" s="1">
        <v>52.0</v>
      </c>
      <c r="D22" s="1" t="s">
        <v>80</v>
      </c>
      <c r="E22" s="1">
        <v>269621.0</v>
      </c>
    </row>
    <row r="23">
      <c r="A23" s="1">
        <v>39.0</v>
      </c>
      <c r="B23" s="1">
        <v>11.0</v>
      </c>
      <c r="C23" s="1">
        <v>41.0</v>
      </c>
      <c r="D23" s="1" t="s">
        <v>82</v>
      </c>
      <c r="E23" s="1">
        <v>269410.0</v>
      </c>
    </row>
    <row r="24">
      <c r="A24" s="1">
        <v>5.0</v>
      </c>
      <c r="B24" s="1">
        <v>9.0</v>
      </c>
      <c r="C24" s="1">
        <v>16.0</v>
      </c>
      <c r="D24" s="1" t="s">
        <v>83</v>
      </c>
      <c r="E24" s="1">
        <v>266164.0</v>
      </c>
    </row>
    <row r="25">
      <c r="A25" s="1">
        <v>29.0</v>
      </c>
      <c r="B25" s="1">
        <v>4.0</v>
      </c>
      <c r="C25" s="1">
        <v>33.0</v>
      </c>
      <c r="D25" s="1" t="s">
        <v>71</v>
      </c>
      <c r="E25" s="1">
        <v>265280.0</v>
      </c>
    </row>
    <row r="26">
      <c r="A26" s="1">
        <v>17.0</v>
      </c>
      <c r="B26" s="1">
        <v>3.0</v>
      </c>
      <c r="C26" s="1">
        <v>80.0</v>
      </c>
      <c r="D26" s="1" t="s">
        <v>85</v>
      </c>
      <c r="E26" s="1">
        <v>264599.0</v>
      </c>
    </row>
    <row r="27">
      <c r="A27" s="1">
        <v>13.0</v>
      </c>
      <c r="B27" s="1">
        <v>1.0</v>
      </c>
      <c r="C27" s="1">
        <v>1.0</v>
      </c>
      <c r="D27" s="1" t="s">
        <v>87</v>
      </c>
      <c r="E27" s="1">
        <v>262099.0</v>
      </c>
    </row>
    <row r="28">
      <c r="A28" s="1">
        <v>22.0</v>
      </c>
      <c r="B28" s="1">
        <v>22.0</v>
      </c>
      <c r="C28" s="1">
        <v>57.0</v>
      </c>
      <c r="D28" s="1" t="s">
        <v>89</v>
      </c>
      <c r="E28" s="1">
        <v>259248.0</v>
      </c>
    </row>
    <row r="29">
      <c r="A29" s="1">
        <v>22.0</v>
      </c>
      <c r="B29" s="1">
        <v>1.0</v>
      </c>
      <c r="C29" s="1">
        <v>55.0</v>
      </c>
      <c r="D29" s="1" t="s">
        <v>91</v>
      </c>
      <c r="E29" s="1">
        <v>257835.0</v>
      </c>
    </row>
    <row r="30">
      <c r="A30" s="1">
        <v>24.0</v>
      </c>
      <c r="B30" s="1">
        <v>2.0</v>
      </c>
      <c r="C30" s="1">
        <v>11.0</v>
      </c>
      <c r="D30" s="1" t="s">
        <v>93</v>
      </c>
      <c r="E30" s="1">
        <v>253755.0</v>
      </c>
    </row>
    <row r="31">
      <c r="A31" s="1">
        <v>26.0</v>
      </c>
      <c r="B31" s="1">
        <v>1.0</v>
      </c>
      <c r="C31" s="1">
        <v>36.0</v>
      </c>
      <c r="D31" s="1" t="s">
        <v>95</v>
      </c>
      <c r="E31" s="1">
        <v>253427.0</v>
      </c>
    </row>
    <row r="32">
      <c r="A32" s="1">
        <v>29.0</v>
      </c>
      <c r="B32" s="1">
        <v>10.0</v>
      </c>
      <c r="C32" s="1">
        <v>77.0</v>
      </c>
      <c r="D32" s="1" t="s">
        <v>97</v>
      </c>
      <c r="E32" s="1">
        <v>248211.0</v>
      </c>
    </row>
    <row r="33">
      <c r="A33" s="1">
        <v>23.0</v>
      </c>
      <c r="B33" s="1">
        <v>1.0</v>
      </c>
      <c r="C33" s="1">
        <v>13.0</v>
      </c>
      <c r="D33" s="1" t="s">
        <v>99</v>
      </c>
      <c r="E33" s="1">
        <v>247219.0</v>
      </c>
    </row>
    <row r="34">
      <c r="A34" s="1">
        <v>27.0</v>
      </c>
      <c r="B34" s="1">
        <v>70.0</v>
      </c>
      <c r="C34" s="1">
        <v>1.0</v>
      </c>
      <c r="D34" s="1" t="s">
        <v>101</v>
      </c>
      <c r="E34" s="1">
        <v>246713.0</v>
      </c>
    </row>
    <row r="35">
      <c r="A35" s="1">
        <v>11.0</v>
      </c>
      <c r="B35" s="1">
        <v>17.0</v>
      </c>
      <c r="C35" s="1">
        <v>53.0</v>
      </c>
      <c r="D35" s="1" t="s">
        <v>69</v>
      </c>
      <c r="E35" s="1">
        <v>243280.0</v>
      </c>
    </row>
    <row r="36">
      <c r="A36" s="1">
        <v>7.0</v>
      </c>
      <c r="B36" s="1">
        <v>1.0</v>
      </c>
      <c r="C36" s="1">
        <v>23.0</v>
      </c>
      <c r="D36" s="1" t="s">
        <v>104</v>
      </c>
      <c r="E36" s="1">
        <v>241555.0</v>
      </c>
    </row>
    <row r="37">
      <c r="A37" s="1">
        <v>2.0</v>
      </c>
      <c r="B37" s="1">
        <v>1.0</v>
      </c>
      <c r="C37" s="1">
        <v>28.0</v>
      </c>
      <c r="D37" s="1" t="s">
        <v>75</v>
      </c>
      <c r="E37" s="1">
        <v>241231.0</v>
      </c>
    </row>
    <row r="38">
      <c r="A38" s="1">
        <v>20.0</v>
      </c>
      <c r="B38" s="1">
        <v>31.0</v>
      </c>
      <c r="C38" s="1">
        <v>6.0</v>
      </c>
      <c r="D38" s="1" t="s">
        <v>107</v>
      </c>
      <c r="E38" s="1">
        <v>239963.0</v>
      </c>
    </row>
    <row r="39">
      <c r="A39" s="1">
        <v>27.0</v>
      </c>
      <c r="B39" s="1">
        <v>1.0</v>
      </c>
      <c r="C39" s="1">
        <v>37.0</v>
      </c>
      <c r="D39" s="1" t="s">
        <v>73</v>
      </c>
      <c r="E39" s="1">
        <v>237748.0</v>
      </c>
    </row>
    <row r="40">
      <c r="A40" s="1">
        <v>16.0</v>
      </c>
      <c r="B40" s="1">
        <v>5.0</v>
      </c>
      <c r="C40" s="1">
        <v>61.0</v>
      </c>
      <c r="D40" s="1" t="s">
        <v>110</v>
      </c>
      <c r="E40" s="1">
        <v>237304.0</v>
      </c>
    </row>
    <row r="41">
      <c r="A41" s="1">
        <v>14.0</v>
      </c>
      <c r="B41" s="1">
        <v>38.0</v>
      </c>
      <c r="C41" s="1">
        <v>2.0</v>
      </c>
      <c r="D41" s="1" t="s">
        <v>112</v>
      </c>
      <c r="E41" s="1">
        <v>236778.0</v>
      </c>
    </row>
    <row r="42">
      <c r="A42" s="1">
        <v>15.0</v>
      </c>
      <c r="B42" s="1">
        <v>80.0</v>
      </c>
      <c r="C42" s="1">
        <v>75.0</v>
      </c>
      <c r="D42" s="1" t="s">
        <v>114</v>
      </c>
      <c r="E42" s="1">
        <v>233839.0</v>
      </c>
    </row>
    <row r="43">
      <c r="A43" s="1">
        <v>40.0</v>
      </c>
      <c r="B43" s="1">
        <v>54.0</v>
      </c>
      <c r="C43" s="1">
        <v>15.0</v>
      </c>
      <c r="D43" s="1" t="s">
        <v>116</v>
      </c>
      <c r="E43" s="1">
        <v>233809.0</v>
      </c>
    </row>
    <row r="44">
      <c r="A44" s="1">
        <v>20.0</v>
      </c>
      <c r="B44" s="1">
        <v>34.0</v>
      </c>
      <c r="C44" s="1">
        <v>7.0</v>
      </c>
      <c r="D44" s="1" t="s">
        <v>58</v>
      </c>
      <c r="E44" s="1">
        <v>232248.0</v>
      </c>
    </row>
    <row r="45">
      <c r="A45" s="1">
        <v>11.0</v>
      </c>
      <c r="B45" s="1">
        <v>5.0</v>
      </c>
      <c r="C45" s="1">
        <v>2.0</v>
      </c>
      <c r="D45" s="1" t="s">
        <v>119</v>
      </c>
      <c r="E45" s="1">
        <v>230994.0</v>
      </c>
    </row>
    <row r="46">
      <c r="A46" s="1">
        <v>8.0</v>
      </c>
      <c r="B46" s="1">
        <v>10.0</v>
      </c>
      <c r="C46" s="1">
        <v>48.0</v>
      </c>
      <c r="D46" s="1" t="s">
        <v>78</v>
      </c>
      <c r="E46" s="1">
        <v>225631.0</v>
      </c>
    </row>
    <row r="47">
      <c r="A47" s="1">
        <v>11.0</v>
      </c>
      <c r="B47" s="1">
        <v>17.0</v>
      </c>
      <c r="C47" s="1">
        <v>21.0</v>
      </c>
      <c r="D47" s="1" t="s">
        <v>122</v>
      </c>
      <c r="E47" s="1">
        <v>224199.0</v>
      </c>
    </row>
    <row r="48">
      <c r="A48" s="1">
        <v>23.0</v>
      </c>
      <c r="B48" s="1">
        <v>1.0</v>
      </c>
      <c r="C48" s="1">
        <v>9.0</v>
      </c>
      <c r="D48" s="1" t="s">
        <v>124</v>
      </c>
      <c r="E48" s="1">
        <v>223567.0</v>
      </c>
    </row>
    <row r="49">
      <c r="A49" s="1">
        <v>31.0</v>
      </c>
      <c r="B49" s="1">
        <v>12.0</v>
      </c>
      <c r="C49" s="1">
        <v>57.0</v>
      </c>
      <c r="D49" s="1" t="s">
        <v>89</v>
      </c>
      <c r="E49" s="1">
        <v>217978.0</v>
      </c>
    </row>
    <row r="50">
      <c r="A50" s="1">
        <v>20.0</v>
      </c>
      <c r="B50" s="1">
        <v>33.0</v>
      </c>
      <c r="C50" s="1">
        <v>32.0</v>
      </c>
      <c r="D50" s="1" t="s">
        <v>127</v>
      </c>
      <c r="E50" s="1">
        <v>216473.0</v>
      </c>
    </row>
    <row r="51">
      <c r="A51" s="1">
        <v>29.0</v>
      </c>
      <c r="B51" s="1">
        <v>18.0</v>
      </c>
      <c r="C51" s="1">
        <v>78.0</v>
      </c>
      <c r="D51" s="1" t="s">
        <v>129</v>
      </c>
      <c r="E51" s="1">
        <v>213829.0</v>
      </c>
    </row>
    <row r="52">
      <c r="A52" s="1">
        <v>14.0</v>
      </c>
      <c r="B52" s="1">
        <v>39.0</v>
      </c>
      <c r="C52" s="1">
        <v>93.0</v>
      </c>
      <c r="D52" s="1" t="s">
        <v>66</v>
      </c>
      <c r="E52" s="1">
        <v>213236.0</v>
      </c>
    </row>
    <row r="53">
      <c r="A53" s="1">
        <v>31.0</v>
      </c>
      <c r="B53" s="1">
        <v>2.0</v>
      </c>
      <c r="C53" s="1">
        <v>66.0</v>
      </c>
      <c r="D53" s="1" t="s">
        <v>132</v>
      </c>
      <c r="E53" s="1">
        <v>213052.0</v>
      </c>
    </row>
    <row r="54">
      <c r="A54" s="1">
        <v>11.0</v>
      </c>
      <c r="B54" s="1">
        <v>8.0</v>
      </c>
      <c r="C54" s="1">
        <v>49.0</v>
      </c>
      <c r="D54" s="1" t="s">
        <v>134</v>
      </c>
      <c r="E54" s="1">
        <v>209800.0</v>
      </c>
    </row>
    <row r="55">
      <c r="A55" s="1">
        <v>39.0</v>
      </c>
      <c r="B55" s="1">
        <v>57.0</v>
      </c>
      <c r="C55" s="1">
        <v>35.0</v>
      </c>
      <c r="D55" s="1" t="s">
        <v>136</v>
      </c>
      <c r="E55" s="1">
        <v>208719.0</v>
      </c>
    </row>
    <row r="56">
      <c r="A56" s="1">
        <v>27.0</v>
      </c>
      <c r="B56" s="1">
        <v>1.0</v>
      </c>
      <c r="C56" s="1">
        <v>2.0</v>
      </c>
      <c r="D56" s="1" t="s">
        <v>112</v>
      </c>
      <c r="E56" s="1">
        <v>208112.0</v>
      </c>
    </row>
    <row r="57">
      <c r="A57" s="1">
        <v>5.0</v>
      </c>
      <c r="B57" s="1">
        <v>3.0</v>
      </c>
      <c r="C57" s="1">
        <v>73.0</v>
      </c>
      <c r="D57" s="1" t="s">
        <v>137</v>
      </c>
      <c r="E57" s="1">
        <v>206877.0</v>
      </c>
    </row>
    <row r="58">
      <c r="A58" s="1">
        <v>15.0</v>
      </c>
      <c r="B58" s="1">
        <v>54.0</v>
      </c>
      <c r="C58" s="1">
        <v>92.0</v>
      </c>
      <c r="D58" s="1" t="s">
        <v>138</v>
      </c>
      <c r="E58" s="1">
        <v>205878.0</v>
      </c>
    </row>
    <row r="59">
      <c r="A59" s="1">
        <v>40.0</v>
      </c>
      <c r="B59" s="1">
        <v>58.0</v>
      </c>
      <c r="C59" s="1">
        <v>9.0</v>
      </c>
      <c r="D59" s="1" t="s">
        <v>124</v>
      </c>
      <c r="E59" s="1">
        <v>205151.0</v>
      </c>
    </row>
    <row r="60">
      <c r="A60" s="1">
        <v>15.0</v>
      </c>
      <c r="B60" s="1">
        <v>54.0</v>
      </c>
      <c r="C60" s="1">
        <v>77.0</v>
      </c>
      <c r="D60" s="1" t="s">
        <v>97</v>
      </c>
      <c r="E60" s="1">
        <v>204033.0</v>
      </c>
    </row>
    <row r="61">
      <c r="A61" s="1">
        <v>26.0</v>
      </c>
      <c r="B61" s="1">
        <v>5.0</v>
      </c>
      <c r="C61" s="1">
        <v>3.0</v>
      </c>
      <c r="D61" s="1" t="s">
        <v>139</v>
      </c>
      <c r="E61" s="1">
        <v>203813.0</v>
      </c>
    </row>
    <row r="62">
      <c r="A62" s="1">
        <v>1.0</v>
      </c>
      <c r="B62" s="1">
        <v>1.0</v>
      </c>
      <c r="C62" s="1">
        <v>10.0</v>
      </c>
      <c r="D62" s="1" t="s">
        <v>140</v>
      </c>
      <c r="E62" s="1">
        <v>199268.0</v>
      </c>
    </row>
    <row r="63">
      <c r="A63" s="1">
        <v>24.0</v>
      </c>
      <c r="B63" s="1">
        <v>7.0</v>
      </c>
      <c r="C63" s="1">
        <v>14.0</v>
      </c>
      <c r="D63" s="1" t="s">
        <v>141</v>
      </c>
      <c r="E63" s="1">
        <v>198427.0</v>
      </c>
    </row>
    <row r="64">
      <c r="A64" s="1">
        <v>16.0</v>
      </c>
      <c r="B64" s="1">
        <v>1.0</v>
      </c>
      <c r="C64" s="1">
        <v>222.0</v>
      </c>
      <c r="D64" s="1" t="s">
        <v>142</v>
      </c>
      <c r="E64" s="1">
        <v>197046.0</v>
      </c>
    </row>
    <row r="65">
      <c r="A65" s="1">
        <v>16.0</v>
      </c>
      <c r="B65" s="1">
        <v>5.0</v>
      </c>
      <c r="C65" s="1">
        <v>63.0</v>
      </c>
      <c r="D65" s="1" t="s">
        <v>144</v>
      </c>
      <c r="E65" s="1">
        <v>195148.0</v>
      </c>
    </row>
    <row r="66">
      <c r="A66" s="1">
        <v>31.0</v>
      </c>
      <c r="B66" s="1">
        <v>12.0</v>
      </c>
      <c r="C66" s="1">
        <v>61.0</v>
      </c>
      <c r="D66" s="1" t="s">
        <v>145</v>
      </c>
      <c r="E66" s="1">
        <v>192459.0</v>
      </c>
    </row>
    <row r="67">
      <c r="A67" s="1">
        <v>20.0</v>
      </c>
      <c r="B67" s="1">
        <v>31.0</v>
      </c>
      <c r="C67" s="1">
        <v>31.0</v>
      </c>
      <c r="D67" s="1" t="s">
        <v>68</v>
      </c>
      <c r="E67" s="1">
        <v>192412.0</v>
      </c>
    </row>
    <row r="68">
      <c r="A68" s="1">
        <v>20.0</v>
      </c>
      <c r="B68" s="1">
        <v>8.0</v>
      </c>
      <c r="C68" s="1">
        <v>66.0</v>
      </c>
      <c r="D68" s="1" t="s">
        <v>132</v>
      </c>
      <c r="E68" s="1">
        <v>191260.0</v>
      </c>
    </row>
    <row r="69">
      <c r="A69" s="1">
        <v>39.0</v>
      </c>
      <c r="B69" s="1">
        <v>56.0</v>
      </c>
      <c r="C69" s="1">
        <v>94.0</v>
      </c>
      <c r="D69" s="1" t="s">
        <v>146</v>
      </c>
      <c r="E69" s="1">
        <v>189923.0</v>
      </c>
    </row>
    <row r="70">
      <c r="A70" s="1">
        <v>5.0</v>
      </c>
      <c r="B70" s="1">
        <v>3.0</v>
      </c>
      <c r="C70" s="1">
        <v>82.0</v>
      </c>
      <c r="D70" s="1" t="s">
        <v>147</v>
      </c>
      <c r="E70" s="1">
        <v>189386.0</v>
      </c>
    </row>
    <row r="71">
      <c r="A71" s="1">
        <v>19.0</v>
      </c>
      <c r="B71" s="1">
        <v>1.0</v>
      </c>
      <c r="C71" s="1">
        <v>24.0</v>
      </c>
      <c r="D71" s="1" t="s">
        <v>148</v>
      </c>
      <c r="E71" s="1">
        <v>188684.0</v>
      </c>
    </row>
    <row r="72">
      <c r="A72" s="1">
        <v>20.0</v>
      </c>
      <c r="B72" s="1">
        <v>31.0</v>
      </c>
      <c r="C72" s="1">
        <v>15.0</v>
      </c>
      <c r="D72" s="1" t="s">
        <v>116</v>
      </c>
      <c r="E72" s="1">
        <v>186123.0</v>
      </c>
    </row>
    <row r="73">
      <c r="A73" s="1">
        <v>5.0</v>
      </c>
      <c r="B73" s="1">
        <v>9.0</v>
      </c>
      <c r="C73" s="1">
        <v>66.0</v>
      </c>
      <c r="D73" s="1" t="s">
        <v>132</v>
      </c>
      <c r="E73" s="1">
        <v>182327.0</v>
      </c>
    </row>
    <row r="74">
      <c r="A74" s="1">
        <v>40.0</v>
      </c>
      <c r="B74" s="1">
        <v>11.0</v>
      </c>
      <c r="C74" s="1">
        <v>21.0</v>
      </c>
      <c r="D74" s="1" t="s">
        <v>149</v>
      </c>
      <c r="E74" s="1">
        <v>180133.0</v>
      </c>
    </row>
    <row r="75">
      <c r="A75" s="1">
        <v>20.0</v>
      </c>
      <c r="B75" s="1">
        <v>32.0</v>
      </c>
      <c r="C75" s="1">
        <v>26.0</v>
      </c>
      <c r="D75" s="1" t="s">
        <v>150</v>
      </c>
      <c r="E75" s="1">
        <v>179605.0</v>
      </c>
    </row>
    <row r="76">
      <c r="A76" s="1">
        <v>33.0</v>
      </c>
      <c r="B76" s="1">
        <v>1.0</v>
      </c>
      <c r="C76" s="1">
        <v>59.0</v>
      </c>
      <c r="D76" s="1" t="s">
        <v>151</v>
      </c>
      <c r="E76" s="1">
        <v>177934.0</v>
      </c>
    </row>
    <row r="77">
      <c r="A77" s="1">
        <v>21.0</v>
      </c>
      <c r="B77" s="1">
        <v>2.0</v>
      </c>
      <c r="C77" s="1">
        <v>1.0</v>
      </c>
      <c r="D77" s="1" t="s">
        <v>101</v>
      </c>
      <c r="E77" s="1">
        <v>176931.0</v>
      </c>
    </row>
    <row r="78">
      <c r="A78" s="1">
        <v>11.0</v>
      </c>
      <c r="B78" s="1">
        <v>17.0</v>
      </c>
      <c r="C78" s="1">
        <v>51.0</v>
      </c>
      <c r="D78" s="1" t="s">
        <v>152</v>
      </c>
      <c r="E78" s="1">
        <v>174785.0</v>
      </c>
    </row>
    <row r="79">
      <c r="A79" s="1">
        <v>18.0</v>
      </c>
      <c r="B79" s="1">
        <v>1.0</v>
      </c>
      <c r="C79" s="1">
        <v>1.0</v>
      </c>
      <c r="D79" s="1" t="s">
        <v>153</v>
      </c>
      <c r="E79" s="1">
        <v>173842.0</v>
      </c>
    </row>
    <row r="80">
      <c r="A80" s="1">
        <v>39.0</v>
      </c>
      <c r="B80" s="1">
        <v>54.0</v>
      </c>
      <c r="C80" s="1">
        <v>2.0</v>
      </c>
      <c r="D80" s="1" t="s">
        <v>112</v>
      </c>
      <c r="E80" s="1">
        <v>173378.0</v>
      </c>
    </row>
    <row r="81">
      <c r="A81" s="1">
        <v>33.0</v>
      </c>
      <c r="B81" s="1">
        <v>33.0</v>
      </c>
      <c r="C81" s="1">
        <v>58.0</v>
      </c>
      <c r="D81" s="1" t="s">
        <v>154</v>
      </c>
      <c r="E81" s="1">
        <v>170934.0</v>
      </c>
    </row>
    <row r="82">
      <c r="A82" s="1">
        <v>14.0</v>
      </c>
      <c r="B82" s="1">
        <v>39.0</v>
      </c>
      <c r="C82" s="1">
        <v>3.0</v>
      </c>
      <c r="D82" s="1" t="s">
        <v>155</v>
      </c>
      <c r="E82" s="1">
        <v>170921.0</v>
      </c>
    </row>
    <row r="83">
      <c r="A83" s="1">
        <v>14.0</v>
      </c>
      <c r="B83" s="1">
        <v>40.0</v>
      </c>
      <c r="C83" s="1">
        <v>92.0</v>
      </c>
      <c r="D83" s="1" t="s">
        <v>138</v>
      </c>
      <c r="E83" s="1">
        <v>168244.0</v>
      </c>
    </row>
    <row r="84">
      <c r="A84" s="1">
        <v>39.0</v>
      </c>
      <c r="B84" s="1">
        <v>16.0</v>
      </c>
      <c r="C84" s="1">
        <v>5.0</v>
      </c>
      <c r="D84" s="1" t="s">
        <v>160</v>
      </c>
      <c r="E84" s="1">
        <v>167441.0</v>
      </c>
    </row>
    <row r="85">
      <c r="A85" s="1">
        <v>20.0</v>
      </c>
      <c r="B85" s="1">
        <v>31.0</v>
      </c>
      <c r="C85" s="1">
        <v>43.0</v>
      </c>
      <c r="D85" s="1" t="s">
        <v>164</v>
      </c>
      <c r="E85" s="1">
        <v>167412.0</v>
      </c>
    </row>
    <row r="86">
      <c r="A86" s="1">
        <v>15.0</v>
      </c>
      <c r="B86" s="1">
        <v>54.0</v>
      </c>
      <c r="C86" s="1">
        <v>91.0</v>
      </c>
      <c r="D86" s="1" t="s">
        <v>167</v>
      </c>
      <c r="E86" s="1">
        <v>167088.0</v>
      </c>
    </row>
    <row r="87">
      <c r="A87" s="1">
        <v>15.0</v>
      </c>
      <c r="B87" s="1">
        <v>54.0</v>
      </c>
      <c r="C87" s="1">
        <v>55.0</v>
      </c>
      <c r="D87" s="1" t="s">
        <v>91</v>
      </c>
      <c r="E87" s="1">
        <v>167013.0</v>
      </c>
    </row>
    <row r="88">
      <c r="A88" s="1">
        <v>12.0</v>
      </c>
      <c r="B88" s="1">
        <v>2.0</v>
      </c>
      <c r="C88" s="1">
        <v>9.0</v>
      </c>
      <c r="D88" s="1" t="s">
        <v>124</v>
      </c>
      <c r="E88" s="1">
        <v>166303.0</v>
      </c>
    </row>
    <row r="89">
      <c r="A89" s="1">
        <v>22.0</v>
      </c>
      <c r="B89" s="1">
        <v>1.0</v>
      </c>
      <c r="C89" s="1">
        <v>2.0</v>
      </c>
      <c r="D89" s="1" t="s">
        <v>112</v>
      </c>
      <c r="E89" s="1">
        <v>166106.0</v>
      </c>
    </row>
    <row r="90">
      <c r="A90" s="1">
        <v>24.0</v>
      </c>
      <c r="B90" s="1">
        <v>7.0</v>
      </c>
      <c r="C90" s="1">
        <v>16.0</v>
      </c>
      <c r="D90" s="1" t="s">
        <v>168</v>
      </c>
      <c r="E90" s="1">
        <v>165857.0</v>
      </c>
    </row>
    <row r="91">
      <c r="A91" s="1">
        <v>17.0</v>
      </c>
      <c r="B91" s="1">
        <v>3.0</v>
      </c>
      <c r="C91" s="1">
        <v>75.0</v>
      </c>
      <c r="D91" s="1" t="s">
        <v>114</v>
      </c>
      <c r="E91" s="1">
        <v>165436.0</v>
      </c>
    </row>
    <row r="92">
      <c r="A92" s="1">
        <v>25.0</v>
      </c>
      <c r="B92" s="1">
        <v>1.0</v>
      </c>
      <c r="C92" s="1">
        <v>45.0</v>
      </c>
      <c r="D92" s="1" t="s">
        <v>171</v>
      </c>
      <c r="E92" s="1">
        <v>164529.0</v>
      </c>
    </row>
    <row r="93">
      <c r="A93" s="1">
        <v>16.0</v>
      </c>
      <c r="B93" s="1">
        <v>5.0</v>
      </c>
      <c r="C93" s="1">
        <v>58.0</v>
      </c>
      <c r="D93" s="1" t="s">
        <v>154</v>
      </c>
      <c r="E93" s="1">
        <v>164201.0</v>
      </c>
    </row>
    <row r="94">
      <c r="A94" s="1">
        <v>20.0</v>
      </c>
      <c r="B94" s="1">
        <v>34.0</v>
      </c>
      <c r="C94" s="1">
        <v>24.0</v>
      </c>
      <c r="D94" s="1" t="s">
        <v>148</v>
      </c>
      <c r="E94" s="1">
        <v>163202.0</v>
      </c>
    </row>
    <row r="95">
      <c r="A95" s="1">
        <v>40.0</v>
      </c>
      <c r="B95" s="1">
        <v>11.0</v>
      </c>
      <c r="C95" s="1">
        <v>10.0</v>
      </c>
      <c r="D95" s="1" t="s">
        <v>172</v>
      </c>
      <c r="E95" s="1">
        <v>162781.0</v>
      </c>
    </row>
    <row r="96">
      <c r="A96" s="1">
        <v>39.0</v>
      </c>
      <c r="B96" s="1">
        <v>56.0</v>
      </c>
      <c r="C96" s="1">
        <v>23.0</v>
      </c>
      <c r="D96" s="1" t="s">
        <v>104</v>
      </c>
      <c r="E96" s="1">
        <v>162772.0</v>
      </c>
    </row>
    <row r="97">
      <c r="A97" s="1">
        <v>1.0</v>
      </c>
      <c r="B97" s="1">
        <v>19.0</v>
      </c>
      <c r="C97" s="1">
        <v>1.0</v>
      </c>
      <c r="D97" s="1" t="s">
        <v>101</v>
      </c>
      <c r="E97" s="1">
        <v>162440.0</v>
      </c>
    </row>
    <row r="98">
      <c r="A98" s="1">
        <v>8.0</v>
      </c>
      <c r="B98" s="1">
        <v>1.0</v>
      </c>
      <c r="C98" s="1">
        <v>44.0</v>
      </c>
      <c r="D98" s="1" t="s">
        <v>173</v>
      </c>
      <c r="E98" s="1">
        <v>161991.0</v>
      </c>
    </row>
    <row r="99">
      <c r="A99" s="1">
        <v>2.0</v>
      </c>
      <c r="B99" s="1">
        <v>5.0</v>
      </c>
      <c r="C99" s="1">
        <v>7.0</v>
      </c>
      <c r="D99" s="1" t="s">
        <v>174</v>
      </c>
      <c r="E99" s="1">
        <v>159440.0</v>
      </c>
    </row>
    <row r="100">
      <c r="A100" s="1">
        <v>29.0</v>
      </c>
      <c r="B100" s="1">
        <v>4.0</v>
      </c>
      <c r="C100" s="1">
        <v>40.0</v>
      </c>
      <c r="D100" s="1" t="s">
        <v>175</v>
      </c>
      <c r="E100" s="1">
        <v>158384.0</v>
      </c>
    </row>
    <row r="101">
      <c r="A101" s="1">
        <v>28.0</v>
      </c>
      <c r="B101" s="1">
        <v>1.0</v>
      </c>
      <c r="C101" s="1">
        <v>39.0</v>
      </c>
      <c r="D101" s="1" t="s">
        <v>79</v>
      </c>
      <c r="E101" s="1">
        <v>158346.0</v>
      </c>
    </row>
    <row r="102">
      <c r="A102" s="1">
        <v>31.0</v>
      </c>
      <c r="B102" s="1">
        <v>7.0</v>
      </c>
      <c r="C102" s="1">
        <v>73.0</v>
      </c>
      <c r="D102" s="1" t="s">
        <v>137</v>
      </c>
      <c r="E102" s="1">
        <v>158036.0</v>
      </c>
    </row>
    <row r="103">
      <c r="A103" s="1">
        <v>20.0</v>
      </c>
      <c r="B103" s="1">
        <v>32.0</v>
      </c>
      <c r="C103" s="1">
        <v>28.0</v>
      </c>
      <c r="D103" s="1" t="s">
        <v>75</v>
      </c>
      <c r="E103" s="1">
        <v>157284.0</v>
      </c>
    </row>
    <row r="104">
      <c r="A104" s="1">
        <v>2.0</v>
      </c>
      <c r="B104" s="1">
        <v>5.0</v>
      </c>
      <c r="C104" s="1">
        <v>18.0</v>
      </c>
      <c r="D104" s="1" t="s">
        <v>76</v>
      </c>
      <c r="E104" s="1">
        <v>155614.0</v>
      </c>
    </row>
    <row r="105">
      <c r="A105" s="1">
        <v>20.0</v>
      </c>
      <c r="B105" s="1">
        <v>33.0</v>
      </c>
      <c r="C105" s="1">
        <v>20.0</v>
      </c>
      <c r="D105" s="1" t="s">
        <v>176</v>
      </c>
      <c r="E105" s="1">
        <v>154999.0</v>
      </c>
    </row>
    <row r="106">
      <c r="A106" s="1">
        <v>22.0</v>
      </c>
      <c r="B106" s="1">
        <v>22.0</v>
      </c>
      <c r="C106" s="1">
        <v>12.0</v>
      </c>
      <c r="D106" s="1" t="s">
        <v>177</v>
      </c>
      <c r="E106" s="1">
        <v>154763.0</v>
      </c>
    </row>
    <row r="107">
      <c r="A107" s="1">
        <v>11.0</v>
      </c>
      <c r="B107" s="1">
        <v>14.0</v>
      </c>
      <c r="C107" s="1">
        <v>3.0</v>
      </c>
      <c r="D107" s="1" t="s">
        <v>139</v>
      </c>
      <c r="E107" s="1">
        <v>154492.0</v>
      </c>
    </row>
    <row r="108">
      <c r="A108" s="1">
        <v>15.0</v>
      </c>
      <c r="B108" s="1">
        <v>80.0</v>
      </c>
      <c r="C108" s="1">
        <v>69.0</v>
      </c>
      <c r="D108" s="1" t="s">
        <v>178</v>
      </c>
      <c r="E108" s="1">
        <v>151973.0</v>
      </c>
    </row>
    <row r="109">
      <c r="A109" s="1">
        <v>20.0</v>
      </c>
      <c r="B109" s="1">
        <v>32.0</v>
      </c>
      <c r="C109" s="1">
        <v>35.0</v>
      </c>
      <c r="D109" s="1" t="s">
        <v>136</v>
      </c>
      <c r="E109" s="1">
        <v>151750.0</v>
      </c>
    </row>
    <row r="110">
      <c r="A110" s="1">
        <v>10.0</v>
      </c>
      <c r="B110" s="1">
        <v>1.0</v>
      </c>
      <c r="C110" s="1">
        <v>44.0</v>
      </c>
      <c r="D110" s="1" t="s">
        <v>173</v>
      </c>
      <c r="E110" s="1">
        <v>151435.0</v>
      </c>
    </row>
    <row r="111">
      <c r="A111" s="1">
        <v>5.0</v>
      </c>
      <c r="B111" s="1">
        <v>12.0</v>
      </c>
      <c r="C111" s="1">
        <v>79.0</v>
      </c>
      <c r="D111" s="1" t="s">
        <v>179</v>
      </c>
      <c r="E111" s="1">
        <v>149462.0</v>
      </c>
    </row>
    <row r="112">
      <c r="A112" s="1">
        <v>14.0</v>
      </c>
      <c r="B112" s="1">
        <v>50.0</v>
      </c>
      <c r="C112" s="1">
        <v>170.0</v>
      </c>
      <c r="D112" s="1" t="s">
        <v>180</v>
      </c>
      <c r="E112" s="1">
        <v>148726.0</v>
      </c>
    </row>
    <row r="113">
      <c r="A113" s="1">
        <v>40.0</v>
      </c>
      <c r="B113" s="1">
        <v>6.0</v>
      </c>
      <c r="C113" s="1">
        <v>19.0</v>
      </c>
      <c r="D113" s="1" t="s">
        <v>72</v>
      </c>
      <c r="E113" s="1">
        <v>148415.0</v>
      </c>
    </row>
    <row r="114">
      <c r="A114" s="1">
        <v>20.0</v>
      </c>
      <c r="B114" s="1">
        <v>33.0</v>
      </c>
      <c r="C114" s="1">
        <v>30.0</v>
      </c>
      <c r="D114" s="1" t="s">
        <v>181</v>
      </c>
      <c r="E114" s="1">
        <v>146762.0</v>
      </c>
    </row>
    <row r="115">
      <c r="A115" s="1">
        <v>18.0</v>
      </c>
      <c r="B115" s="1">
        <v>1.0</v>
      </c>
      <c r="C115" s="1">
        <v>20.0</v>
      </c>
      <c r="D115" s="1" t="s">
        <v>176</v>
      </c>
      <c r="E115" s="1">
        <v>145831.0</v>
      </c>
    </row>
    <row r="116">
      <c r="A116" s="1">
        <v>23.0</v>
      </c>
      <c r="B116" s="1">
        <v>1.0</v>
      </c>
      <c r="C116" s="1">
        <v>15.0</v>
      </c>
      <c r="D116" s="1" t="s">
        <v>116</v>
      </c>
      <c r="E116" s="1">
        <v>145795.0</v>
      </c>
    </row>
    <row r="117">
      <c r="A117" s="1">
        <v>22.0</v>
      </c>
      <c r="B117" s="1">
        <v>22.0</v>
      </c>
      <c r="C117" s="1">
        <v>1.0</v>
      </c>
      <c r="D117" s="1" t="s">
        <v>101</v>
      </c>
      <c r="E117" s="1">
        <v>144687.0</v>
      </c>
    </row>
    <row r="118">
      <c r="A118" s="1">
        <v>39.0</v>
      </c>
      <c r="B118" s="1">
        <v>11.0</v>
      </c>
      <c r="C118" s="1">
        <v>20.0</v>
      </c>
      <c r="D118" s="1" t="s">
        <v>176</v>
      </c>
      <c r="E118" s="1">
        <v>144322.0</v>
      </c>
    </row>
    <row r="119">
      <c r="A119" s="1">
        <v>8.0</v>
      </c>
      <c r="B119" s="1">
        <v>10.0</v>
      </c>
      <c r="C119" s="1">
        <v>65.0</v>
      </c>
      <c r="D119" s="1" t="s">
        <v>182</v>
      </c>
      <c r="E119" s="1">
        <v>144151.0</v>
      </c>
    </row>
    <row r="120">
      <c r="A120" s="1">
        <v>8.0</v>
      </c>
      <c r="B120" s="1">
        <v>10.0</v>
      </c>
      <c r="C120" s="1">
        <v>70.0</v>
      </c>
      <c r="D120" s="1" t="s">
        <v>183</v>
      </c>
      <c r="E120" s="1">
        <v>143955.0</v>
      </c>
    </row>
    <row r="121">
      <c r="A121" s="1">
        <v>34.0</v>
      </c>
      <c r="B121" s="1">
        <v>9.0</v>
      </c>
      <c r="C121" s="1">
        <v>55.0</v>
      </c>
      <c r="D121" s="1" t="s">
        <v>91</v>
      </c>
      <c r="E121" s="1">
        <v>142010.0</v>
      </c>
    </row>
    <row r="122">
      <c r="A122" s="1">
        <v>26.0</v>
      </c>
      <c r="B122" s="1">
        <v>1.0</v>
      </c>
      <c r="C122" s="1">
        <v>35.0</v>
      </c>
      <c r="D122" s="1" t="s">
        <v>136</v>
      </c>
      <c r="E122" s="1">
        <v>141129.0</v>
      </c>
    </row>
    <row r="123">
      <c r="A123" s="1">
        <v>14.0</v>
      </c>
      <c r="B123" s="1">
        <v>12.0</v>
      </c>
      <c r="C123" s="1">
        <v>177.0</v>
      </c>
      <c r="D123" s="1" t="s">
        <v>184</v>
      </c>
      <c r="E123" s="1">
        <v>140972.0</v>
      </c>
    </row>
    <row r="124">
      <c r="A124" s="1">
        <v>23.0</v>
      </c>
      <c r="B124" s="1">
        <v>3.0</v>
      </c>
      <c r="C124" s="1">
        <v>6.0</v>
      </c>
      <c r="D124" s="1" t="s">
        <v>185</v>
      </c>
      <c r="E124" s="1">
        <v>140970.0</v>
      </c>
    </row>
    <row r="125">
      <c r="A125" s="1">
        <v>40.0</v>
      </c>
      <c r="B125" s="1">
        <v>6.0</v>
      </c>
      <c r="C125" s="1">
        <v>42.0</v>
      </c>
      <c r="D125" s="1" t="s">
        <v>186</v>
      </c>
      <c r="E125" s="1">
        <v>140550.0</v>
      </c>
    </row>
    <row r="126">
      <c r="A126" s="1">
        <v>22.0</v>
      </c>
      <c r="B126" s="1">
        <v>6.0</v>
      </c>
      <c r="C126" s="1">
        <v>9.0</v>
      </c>
      <c r="D126" s="1" t="s">
        <v>124</v>
      </c>
      <c r="E126" s="1">
        <v>139858.0</v>
      </c>
    </row>
    <row r="127">
      <c r="A127" s="1">
        <v>40.0</v>
      </c>
      <c r="B127" s="1">
        <v>54.0</v>
      </c>
      <c r="C127" s="1">
        <v>160.0</v>
      </c>
      <c r="D127" s="1" t="s">
        <v>188</v>
      </c>
      <c r="E127" s="1">
        <v>139532.0</v>
      </c>
    </row>
    <row r="128">
      <c r="A128" s="1">
        <v>23.0</v>
      </c>
      <c r="B128" s="1">
        <v>1.0</v>
      </c>
      <c r="C128" s="1">
        <v>8.0</v>
      </c>
      <c r="D128" s="1" t="s">
        <v>189</v>
      </c>
      <c r="E128" s="1">
        <v>139446.0</v>
      </c>
    </row>
    <row r="129">
      <c r="A129" s="1">
        <v>14.0</v>
      </c>
      <c r="B129" s="1">
        <v>39.0</v>
      </c>
      <c r="C129" s="1">
        <v>78.0</v>
      </c>
      <c r="D129" s="1" t="s">
        <v>129</v>
      </c>
      <c r="E129" s="1">
        <v>138987.0</v>
      </c>
    </row>
    <row r="130">
      <c r="A130" s="1">
        <v>8.0</v>
      </c>
      <c r="B130" s="1">
        <v>10.0</v>
      </c>
      <c r="C130" s="1">
        <v>47.0</v>
      </c>
      <c r="D130" s="1" t="s">
        <v>61</v>
      </c>
      <c r="E130" s="1">
        <v>138963.0</v>
      </c>
    </row>
    <row r="131">
      <c r="A131" s="1">
        <v>8.0</v>
      </c>
      <c r="B131" s="1">
        <v>60.0</v>
      </c>
      <c r="C131" s="1">
        <v>46.0</v>
      </c>
      <c r="D131" s="1" t="s">
        <v>190</v>
      </c>
      <c r="E131" s="1">
        <v>138442.0</v>
      </c>
    </row>
    <row r="132">
      <c r="A132" s="1">
        <v>14.0</v>
      </c>
      <c r="B132" s="1">
        <v>38.0</v>
      </c>
      <c r="C132" s="1">
        <v>51.0</v>
      </c>
      <c r="D132" s="1" t="s">
        <v>152</v>
      </c>
      <c r="E132" s="1">
        <v>138172.0</v>
      </c>
    </row>
    <row r="133">
      <c r="A133" s="1">
        <v>20.0</v>
      </c>
      <c r="B133" s="1">
        <v>33.0</v>
      </c>
      <c r="C133" s="1">
        <v>2.0</v>
      </c>
      <c r="D133" s="1" t="s">
        <v>119</v>
      </c>
      <c r="E133" s="1">
        <v>137962.0</v>
      </c>
    </row>
    <row r="134">
      <c r="A134" s="1">
        <v>24.0</v>
      </c>
      <c r="B134" s="1">
        <v>7.0</v>
      </c>
      <c r="C134" s="1">
        <v>13.0</v>
      </c>
      <c r="D134" s="1" t="s">
        <v>99</v>
      </c>
      <c r="E134" s="1">
        <v>137362.0</v>
      </c>
    </row>
    <row r="135">
      <c r="A135" s="1">
        <v>23.0</v>
      </c>
      <c r="B135" s="1">
        <v>1.0</v>
      </c>
      <c r="C135" s="1">
        <v>16.0</v>
      </c>
      <c r="D135" s="1" t="s">
        <v>168</v>
      </c>
      <c r="E135" s="1">
        <v>136496.0</v>
      </c>
    </row>
    <row r="136">
      <c r="A136" s="1">
        <v>16.0</v>
      </c>
      <c r="B136" s="1">
        <v>1.0</v>
      </c>
      <c r="C136" s="1">
        <v>223.0</v>
      </c>
      <c r="D136" s="1" t="s">
        <v>191</v>
      </c>
      <c r="E136" s="1">
        <v>135788.0</v>
      </c>
    </row>
    <row r="137">
      <c r="A137" s="1">
        <v>17.0</v>
      </c>
      <c r="B137" s="1">
        <v>13.0</v>
      </c>
      <c r="C137" s="1">
        <v>82.0</v>
      </c>
      <c r="D137" s="1" t="s">
        <v>147</v>
      </c>
      <c r="E137" s="1">
        <v>134473.0</v>
      </c>
    </row>
    <row r="138">
      <c r="A138" s="1">
        <v>15.0</v>
      </c>
      <c r="B138" s="1">
        <v>80.0</v>
      </c>
      <c r="C138" s="1">
        <v>195.0</v>
      </c>
      <c r="D138" s="1" t="s">
        <v>192</v>
      </c>
      <c r="E138" s="1">
        <v>133562.0</v>
      </c>
    </row>
    <row r="139">
      <c r="A139" s="1">
        <v>5.0</v>
      </c>
      <c r="B139" s="1">
        <v>3.0</v>
      </c>
      <c r="C139" s="1">
        <v>89.0</v>
      </c>
      <c r="D139" s="1" t="s">
        <v>193</v>
      </c>
      <c r="E139" s="1">
        <v>133307.0</v>
      </c>
    </row>
    <row r="140">
      <c r="A140" s="1">
        <v>7.0</v>
      </c>
      <c r="B140" s="1">
        <v>1.0</v>
      </c>
      <c r="C140" s="1">
        <v>13.0</v>
      </c>
      <c r="D140" s="1" t="s">
        <v>99</v>
      </c>
      <c r="E140" s="1">
        <v>132843.0</v>
      </c>
    </row>
    <row r="141">
      <c r="A141" s="1">
        <v>39.0</v>
      </c>
      <c r="B141" s="1">
        <v>54.0</v>
      </c>
      <c r="C141" s="1">
        <v>33.0</v>
      </c>
      <c r="D141" s="1" t="s">
        <v>71</v>
      </c>
      <c r="E141" s="1">
        <v>130772.0</v>
      </c>
    </row>
    <row r="142">
      <c r="A142" s="1">
        <v>15.0</v>
      </c>
      <c r="B142" s="1">
        <v>6.0</v>
      </c>
      <c r="C142" s="1">
        <v>60.0</v>
      </c>
      <c r="D142" s="1" t="s">
        <v>194</v>
      </c>
      <c r="E142" s="1">
        <v>128119.0</v>
      </c>
    </row>
    <row r="143">
      <c r="A143" s="1">
        <v>26.0</v>
      </c>
      <c r="B143" s="1">
        <v>4.0</v>
      </c>
      <c r="C143" s="1">
        <v>32.0</v>
      </c>
      <c r="D143" s="1" t="s">
        <v>127</v>
      </c>
      <c r="E143" s="1">
        <v>127045.0</v>
      </c>
    </row>
    <row r="144">
      <c r="A144" s="1">
        <v>30.0</v>
      </c>
      <c r="B144" s="1">
        <v>1.0</v>
      </c>
      <c r="C144" s="1">
        <v>8.0</v>
      </c>
      <c r="D144" s="1" t="s">
        <v>195</v>
      </c>
      <c r="E144" s="1">
        <v>127038.0</v>
      </c>
    </row>
    <row r="145">
      <c r="A145" s="1">
        <v>27.0</v>
      </c>
      <c r="B145" s="1">
        <v>10.0</v>
      </c>
      <c r="C145" s="1">
        <v>5.0</v>
      </c>
      <c r="D145" s="1" t="s">
        <v>196</v>
      </c>
      <c r="E145" s="1">
        <v>126118.0</v>
      </c>
    </row>
    <row r="146">
      <c r="A146" s="1">
        <v>29.0</v>
      </c>
      <c r="B146" s="1">
        <v>19.0</v>
      </c>
      <c r="C146" s="1">
        <v>79.0</v>
      </c>
      <c r="D146" s="1" t="s">
        <v>179</v>
      </c>
      <c r="E146" s="1">
        <v>125306.0</v>
      </c>
    </row>
    <row r="147">
      <c r="A147" s="1">
        <v>20.0</v>
      </c>
      <c r="B147" s="1">
        <v>33.0</v>
      </c>
      <c r="C147" s="1">
        <v>68.0</v>
      </c>
      <c r="D147" s="1" t="s">
        <v>74</v>
      </c>
      <c r="E147" s="1">
        <v>125096.0</v>
      </c>
    </row>
    <row r="148">
      <c r="A148" s="1">
        <v>15.0</v>
      </c>
      <c r="B148" s="1">
        <v>80.0</v>
      </c>
      <c r="C148" s="1">
        <v>70.0</v>
      </c>
      <c r="D148" s="1" t="s">
        <v>183</v>
      </c>
      <c r="E148" s="1">
        <v>124235.0</v>
      </c>
    </row>
    <row r="149">
      <c r="A149" s="1">
        <v>8.0</v>
      </c>
      <c r="B149" s="1">
        <v>3.0</v>
      </c>
      <c r="C149" s="1">
        <v>16.0</v>
      </c>
      <c r="D149" s="1" t="s">
        <v>83</v>
      </c>
      <c r="E149" s="1">
        <v>123410.0</v>
      </c>
    </row>
    <row r="150">
      <c r="A150" s="1">
        <v>1.0</v>
      </c>
      <c r="B150" s="1">
        <v>1.0</v>
      </c>
      <c r="C150" s="1">
        <v>8.0</v>
      </c>
      <c r="D150" s="1" t="s">
        <v>189</v>
      </c>
      <c r="E150" s="1">
        <v>122592.0</v>
      </c>
    </row>
    <row r="151">
      <c r="A151" s="1">
        <v>16.0</v>
      </c>
      <c r="B151" s="1">
        <v>1.0</v>
      </c>
      <c r="C151" s="1">
        <v>249.0</v>
      </c>
      <c r="D151" s="1" t="s">
        <v>197</v>
      </c>
      <c r="E151" s="1">
        <v>122235.0</v>
      </c>
    </row>
    <row r="152">
      <c r="A152" s="1">
        <v>2.0</v>
      </c>
      <c r="B152" s="1">
        <v>5.0</v>
      </c>
      <c r="C152" s="1">
        <v>33.0</v>
      </c>
      <c r="D152" s="1" t="s">
        <v>71</v>
      </c>
      <c r="E152" s="1">
        <v>121963.0</v>
      </c>
    </row>
    <row r="153">
      <c r="A153" s="1">
        <v>15.0</v>
      </c>
      <c r="B153" s="1">
        <v>80.0</v>
      </c>
      <c r="C153" s="1">
        <v>193.0</v>
      </c>
      <c r="D153" s="1" t="s">
        <v>198</v>
      </c>
      <c r="E153" s="1">
        <v>121534.0</v>
      </c>
    </row>
    <row r="154">
      <c r="A154" s="1">
        <v>40.0</v>
      </c>
      <c r="B154" s="1">
        <v>54.0</v>
      </c>
      <c r="C154" s="1">
        <v>163.0</v>
      </c>
      <c r="D154" s="1" t="s">
        <v>199</v>
      </c>
      <c r="E154" s="1">
        <v>121361.0</v>
      </c>
    </row>
    <row r="155">
      <c r="A155" s="1">
        <v>22.0</v>
      </c>
      <c r="B155" s="1">
        <v>1.0</v>
      </c>
      <c r="C155" s="1">
        <v>6.0</v>
      </c>
      <c r="D155" s="1" t="s">
        <v>185</v>
      </c>
      <c r="E155" s="1">
        <v>120995.0</v>
      </c>
    </row>
    <row r="156">
      <c r="A156" s="1">
        <v>40.0</v>
      </c>
      <c r="B156" s="1">
        <v>54.0</v>
      </c>
      <c r="C156" s="1">
        <v>46.0</v>
      </c>
      <c r="D156" s="1" t="s">
        <v>190</v>
      </c>
      <c r="E156" s="1">
        <v>120349.0</v>
      </c>
    </row>
    <row r="157">
      <c r="A157" s="1">
        <v>29.0</v>
      </c>
      <c r="B157" s="1">
        <v>19.0</v>
      </c>
      <c r="C157" s="1">
        <v>36.0</v>
      </c>
      <c r="D157" s="1" t="s">
        <v>95</v>
      </c>
      <c r="E157" s="1">
        <v>120234.0</v>
      </c>
    </row>
    <row r="158">
      <c r="A158" s="1">
        <v>29.0</v>
      </c>
      <c r="B158" s="1">
        <v>1.0</v>
      </c>
      <c r="C158" s="1">
        <v>1.0</v>
      </c>
      <c r="D158" s="1" t="s">
        <v>200</v>
      </c>
      <c r="E158" s="1">
        <v>119063.0</v>
      </c>
    </row>
    <row r="159">
      <c r="A159" s="1">
        <v>27.0</v>
      </c>
      <c r="B159" s="1">
        <v>1.0</v>
      </c>
      <c r="C159" s="1">
        <v>68.0</v>
      </c>
      <c r="D159" s="1" t="s">
        <v>74</v>
      </c>
      <c r="E159" s="1">
        <v>118077.0</v>
      </c>
    </row>
    <row r="160">
      <c r="A160" s="1">
        <v>39.0</v>
      </c>
      <c r="B160" s="1">
        <v>56.0</v>
      </c>
      <c r="C160" s="1">
        <v>11.0</v>
      </c>
      <c r="D160" s="1" t="s">
        <v>93</v>
      </c>
      <c r="E160" s="1">
        <v>117959.0</v>
      </c>
    </row>
    <row r="161">
      <c r="A161" s="1">
        <v>14.0</v>
      </c>
      <c r="B161" s="1">
        <v>40.0</v>
      </c>
      <c r="C161" s="1">
        <v>59.0</v>
      </c>
      <c r="D161" s="1" t="s">
        <v>151</v>
      </c>
      <c r="E161" s="1">
        <v>117947.0</v>
      </c>
    </row>
    <row r="162">
      <c r="A162" s="1">
        <v>14.0</v>
      </c>
      <c r="B162" s="1">
        <v>40.0</v>
      </c>
      <c r="C162" s="1">
        <v>1.0</v>
      </c>
      <c r="D162" s="1" t="s">
        <v>101</v>
      </c>
      <c r="E162" s="1">
        <v>117596.0</v>
      </c>
    </row>
    <row r="163">
      <c r="A163" s="1">
        <v>5.0</v>
      </c>
      <c r="B163" s="1">
        <v>3.0</v>
      </c>
      <c r="C163" s="1">
        <v>2.0</v>
      </c>
      <c r="D163" s="1" t="s">
        <v>119</v>
      </c>
      <c r="E163" s="1">
        <v>117379.0</v>
      </c>
    </row>
    <row r="164">
      <c r="A164" s="1">
        <v>33.0</v>
      </c>
      <c r="B164" s="1">
        <v>1.0</v>
      </c>
      <c r="C164" s="1">
        <v>20.0</v>
      </c>
      <c r="D164" s="1" t="s">
        <v>176</v>
      </c>
      <c r="E164" s="1">
        <v>117242.0</v>
      </c>
    </row>
    <row r="165">
      <c r="A165" s="1">
        <v>25.0</v>
      </c>
      <c r="B165" s="1">
        <v>5.0</v>
      </c>
      <c r="C165" s="1">
        <v>3.0</v>
      </c>
      <c r="D165" s="1" t="s">
        <v>155</v>
      </c>
      <c r="E165" s="1">
        <v>116904.0</v>
      </c>
    </row>
    <row r="166">
      <c r="A166" s="1">
        <v>40.0</v>
      </c>
      <c r="B166" s="1">
        <v>1.0</v>
      </c>
      <c r="C166" s="1">
        <v>22.0</v>
      </c>
      <c r="D166" s="1" t="s">
        <v>201</v>
      </c>
      <c r="E166" s="1">
        <v>116636.0</v>
      </c>
    </row>
    <row r="167">
      <c r="A167" s="1">
        <v>26.0</v>
      </c>
      <c r="B167" s="1">
        <v>1.0</v>
      </c>
      <c r="C167" s="1">
        <v>46.0</v>
      </c>
      <c r="D167" s="1" t="s">
        <v>190</v>
      </c>
      <c r="E167" s="1">
        <v>116530.0</v>
      </c>
    </row>
    <row r="168">
      <c r="A168" s="1">
        <v>15.0</v>
      </c>
      <c r="B168" s="1">
        <v>80.0</v>
      </c>
      <c r="C168" s="1">
        <v>78.0</v>
      </c>
      <c r="D168" s="1" t="s">
        <v>129</v>
      </c>
      <c r="E168" s="1">
        <v>116508.0</v>
      </c>
    </row>
    <row r="169">
      <c r="A169" s="1">
        <v>11.0</v>
      </c>
      <c r="B169" s="1">
        <v>17.0</v>
      </c>
      <c r="C169" s="1">
        <v>14.0</v>
      </c>
      <c r="D169" s="1" t="s">
        <v>141</v>
      </c>
      <c r="E169" s="1">
        <v>116392.0</v>
      </c>
    </row>
    <row r="170">
      <c r="A170" s="1">
        <v>15.0</v>
      </c>
      <c r="B170" s="1">
        <v>80.0</v>
      </c>
      <c r="C170" s="1">
        <v>84.0</v>
      </c>
      <c r="D170" s="1" t="s">
        <v>202</v>
      </c>
      <c r="E170" s="1">
        <v>116156.0</v>
      </c>
    </row>
    <row r="171">
      <c r="A171" s="1">
        <v>12.0</v>
      </c>
      <c r="B171" s="1">
        <v>2.0</v>
      </c>
      <c r="C171" s="1">
        <v>26.0</v>
      </c>
      <c r="D171" s="1" t="s">
        <v>150</v>
      </c>
      <c r="E171" s="1">
        <v>114261.0</v>
      </c>
    </row>
    <row r="172">
      <c r="A172" s="1">
        <v>15.0</v>
      </c>
      <c r="B172" s="1">
        <v>80.0</v>
      </c>
      <c r="C172" s="1">
        <v>83.0</v>
      </c>
      <c r="D172" s="1" t="s">
        <v>203</v>
      </c>
      <c r="E172" s="1">
        <v>113829.0</v>
      </c>
    </row>
    <row r="173">
      <c r="A173" s="1">
        <v>3.0</v>
      </c>
      <c r="B173" s="1">
        <v>8.0</v>
      </c>
      <c r="C173" s="1">
        <v>6.0</v>
      </c>
      <c r="D173" s="1" t="s">
        <v>185</v>
      </c>
      <c r="E173" s="1">
        <v>113472.0</v>
      </c>
    </row>
    <row r="174">
      <c r="A174" s="1">
        <v>39.0</v>
      </c>
      <c r="B174" s="1">
        <v>54.0</v>
      </c>
      <c r="C174" s="1">
        <v>13.0</v>
      </c>
      <c r="D174" s="1" t="s">
        <v>99</v>
      </c>
      <c r="E174" s="1">
        <v>113216.0</v>
      </c>
    </row>
    <row r="175">
      <c r="A175" s="1">
        <v>13.0</v>
      </c>
      <c r="B175" s="1">
        <v>1.0</v>
      </c>
      <c r="C175" s="1">
        <v>18.0</v>
      </c>
      <c r="D175" s="1" t="s">
        <v>76</v>
      </c>
      <c r="E175" s="1">
        <v>112777.0</v>
      </c>
    </row>
    <row r="176">
      <c r="A176" s="1">
        <v>21.0</v>
      </c>
      <c r="B176" s="1">
        <v>2.0</v>
      </c>
      <c r="C176" s="1">
        <v>38.0</v>
      </c>
      <c r="D176" s="1" t="s">
        <v>204</v>
      </c>
      <c r="E176" s="1">
        <v>112724.0</v>
      </c>
    </row>
    <row r="177">
      <c r="A177" s="1">
        <v>2.0</v>
      </c>
      <c r="B177" s="1">
        <v>1.0</v>
      </c>
      <c r="C177" s="1">
        <v>40.0</v>
      </c>
      <c r="D177" s="1" t="s">
        <v>175</v>
      </c>
      <c r="E177" s="1">
        <v>112296.0</v>
      </c>
    </row>
    <row r="178">
      <c r="A178" s="1">
        <v>2.0</v>
      </c>
      <c r="B178" s="1">
        <v>5.0</v>
      </c>
      <c r="C178" s="1">
        <v>36.0</v>
      </c>
      <c r="D178" s="1" t="s">
        <v>95</v>
      </c>
      <c r="E178" s="1">
        <v>112259.0</v>
      </c>
    </row>
    <row r="179">
      <c r="A179" s="1">
        <v>1.0</v>
      </c>
      <c r="B179" s="1">
        <v>1.0</v>
      </c>
      <c r="C179" s="1">
        <v>9.0</v>
      </c>
      <c r="D179" s="1" t="s">
        <v>124</v>
      </c>
      <c r="E179" s="1">
        <v>112202.0</v>
      </c>
    </row>
    <row r="180">
      <c r="A180" s="1">
        <v>29.0</v>
      </c>
      <c r="B180" s="1">
        <v>10.0</v>
      </c>
      <c r="C180" s="1">
        <v>16.0</v>
      </c>
      <c r="D180" s="1" t="s">
        <v>168</v>
      </c>
      <c r="E180" s="1">
        <v>112180.0</v>
      </c>
    </row>
    <row r="181">
      <c r="A181" s="1">
        <v>34.0</v>
      </c>
      <c r="B181" s="1">
        <v>1.0</v>
      </c>
      <c r="C181" s="1">
        <v>1.0</v>
      </c>
      <c r="D181" s="1" t="s">
        <v>101</v>
      </c>
      <c r="E181" s="1">
        <v>111542.0</v>
      </c>
    </row>
    <row r="182">
      <c r="A182" s="1">
        <v>2.0</v>
      </c>
      <c r="B182" s="1">
        <v>1.0</v>
      </c>
      <c r="C182" s="1">
        <v>16.0</v>
      </c>
      <c r="D182" s="1" t="s">
        <v>168</v>
      </c>
      <c r="E182" s="1">
        <v>111317.0</v>
      </c>
    </row>
    <row r="183">
      <c r="A183" s="1">
        <v>39.0</v>
      </c>
      <c r="B183" s="1">
        <v>57.0</v>
      </c>
      <c r="C183" s="1">
        <v>14.0</v>
      </c>
      <c r="D183" s="1" t="s">
        <v>141</v>
      </c>
      <c r="E183" s="1">
        <v>111166.0</v>
      </c>
    </row>
    <row r="184">
      <c r="A184" s="1">
        <v>31.0</v>
      </c>
      <c r="B184" s="1">
        <v>2.0</v>
      </c>
      <c r="C184" s="1">
        <v>10.0</v>
      </c>
      <c r="D184" s="1" t="s">
        <v>140</v>
      </c>
      <c r="E184" s="1">
        <v>110171.0</v>
      </c>
    </row>
    <row r="185">
      <c r="A185" s="1">
        <v>16.0</v>
      </c>
      <c r="B185" s="1">
        <v>1.0</v>
      </c>
      <c r="C185" s="1">
        <v>250.0</v>
      </c>
      <c r="D185" s="1" t="s">
        <v>205</v>
      </c>
      <c r="E185" s="1">
        <v>109999.0</v>
      </c>
    </row>
    <row r="186">
      <c r="A186" s="1">
        <v>40.0</v>
      </c>
      <c r="B186" s="1">
        <v>58.0</v>
      </c>
      <c r="C186" s="1">
        <v>12.0</v>
      </c>
      <c r="D186" s="1" t="s">
        <v>177</v>
      </c>
      <c r="E186" s="1">
        <v>109384.0</v>
      </c>
    </row>
    <row r="187">
      <c r="A187" s="1">
        <v>32.0</v>
      </c>
      <c r="B187" s="1">
        <v>2.0</v>
      </c>
      <c r="C187" s="1">
        <v>61.0</v>
      </c>
      <c r="D187" s="1" t="s">
        <v>145</v>
      </c>
      <c r="E187" s="1">
        <v>109218.0</v>
      </c>
    </row>
    <row r="188">
      <c r="A188" s="1">
        <v>16.0</v>
      </c>
      <c r="B188" s="1">
        <v>1.0</v>
      </c>
      <c r="C188" s="1">
        <v>224.0</v>
      </c>
      <c r="D188" s="1" t="s">
        <v>206</v>
      </c>
      <c r="E188" s="1">
        <v>108454.0</v>
      </c>
    </row>
    <row r="189">
      <c r="A189" s="1">
        <v>14.0</v>
      </c>
      <c r="B189" s="1">
        <v>39.0</v>
      </c>
      <c r="C189" s="1">
        <v>5.0</v>
      </c>
      <c r="D189" s="1" t="s">
        <v>207</v>
      </c>
      <c r="E189" s="1">
        <v>106928.0</v>
      </c>
    </row>
    <row r="190">
      <c r="A190" s="1">
        <v>11.0</v>
      </c>
      <c r="B190" s="1">
        <v>1.0</v>
      </c>
      <c r="C190" s="1">
        <v>50.0</v>
      </c>
      <c r="D190" s="1" t="s">
        <v>208</v>
      </c>
      <c r="E190" s="1">
        <v>106921.0</v>
      </c>
    </row>
    <row r="191">
      <c r="A191" s="1">
        <v>10.0</v>
      </c>
      <c r="B191" s="1">
        <v>13.0</v>
      </c>
      <c r="C191" s="1">
        <v>10.0</v>
      </c>
      <c r="D191" s="1" t="s">
        <v>140</v>
      </c>
      <c r="E191" s="1">
        <v>106228.0</v>
      </c>
    </row>
    <row r="192">
      <c r="A192" s="1">
        <v>27.0</v>
      </c>
      <c r="B192" s="1">
        <v>3.0</v>
      </c>
      <c r="C192" s="1">
        <v>4.0</v>
      </c>
      <c r="D192" s="1" t="s">
        <v>209</v>
      </c>
      <c r="E192" s="1">
        <v>106151.0</v>
      </c>
    </row>
    <row r="193">
      <c r="A193" s="1">
        <v>17.0</v>
      </c>
      <c r="B193" s="1">
        <v>9.0</v>
      </c>
      <c r="C193" s="1">
        <v>81.0</v>
      </c>
      <c r="D193" s="1" t="s">
        <v>210</v>
      </c>
      <c r="E193" s="1">
        <v>105701.0</v>
      </c>
    </row>
    <row r="194">
      <c r="A194" s="1">
        <v>7.0</v>
      </c>
      <c r="B194" s="1">
        <v>2.0</v>
      </c>
      <c r="C194" s="1">
        <v>1.0</v>
      </c>
      <c r="D194" s="1" t="s">
        <v>101</v>
      </c>
      <c r="E194" s="1">
        <v>104723.0</v>
      </c>
    </row>
    <row r="195">
      <c r="A195" s="1">
        <v>20.0</v>
      </c>
      <c r="B195" s="1">
        <v>8.0</v>
      </c>
      <c r="C195" s="1">
        <v>71.0</v>
      </c>
      <c r="D195" s="1" t="s">
        <v>211</v>
      </c>
      <c r="E195" s="1">
        <v>104456.0</v>
      </c>
    </row>
    <row r="196">
      <c r="A196" s="1">
        <v>2.0</v>
      </c>
      <c r="B196" s="1">
        <v>2.0</v>
      </c>
      <c r="C196" s="1">
        <v>39.0</v>
      </c>
      <c r="D196" s="1" t="s">
        <v>79</v>
      </c>
      <c r="E196" s="1">
        <v>104057.0</v>
      </c>
    </row>
    <row r="197">
      <c r="A197" s="1">
        <v>6.0</v>
      </c>
      <c r="B197" s="1">
        <v>1.0</v>
      </c>
      <c r="C197" s="1">
        <v>19.0</v>
      </c>
      <c r="D197" s="1" t="s">
        <v>212</v>
      </c>
      <c r="E197" s="1">
        <v>103935.0</v>
      </c>
    </row>
    <row r="198">
      <c r="A198" s="1">
        <v>25.0</v>
      </c>
      <c r="B198" s="1">
        <v>60.0</v>
      </c>
      <c r="C198" s="1">
        <v>51.0</v>
      </c>
      <c r="D198" s="1" t="s">
        <v>152</v>
      </c>
      <c r="E198" s="1">
        <v>103745.0</v>
      </c>
    </row>
    <row r="199">
      <c r="A199" s="1">
        <v>24.0</v>
      </c>
      <c r="B199" s="1">
        <v>1.0</v>
      </c>
      <c r="C199" s="1">
        <v>1.0</v>
      </c>
      <c r="D199" s="1" t="s">
        <v>87</v>
      </c>
      <c r="E199" s="1">
        <v>103597.0</v>
      </c>
    </row>
    <row r="200">
      <c r="A200" s="1">
        <v>15.0</v>
      </c>
      <c r="B200" s="1">
        <v>54.0</v>
      </c>
      <c r="C200" s="1">
        <v>67.0</v>
      </c>
      <c r="D200" s="1" t="s">
        <v>213</v>
      </c>
      <c r="E200" s="1">
        <v>103209.0</v>
      </c>
    </row>
    <row r="201">
      <c r="A201" s="1">
        <v>14.0</v>
      </c>
      <c r="B201" s="1">
        <v>38.0</v>
      </c>
      <c r="C201" s="1">
        <v>182.0</v>
      </c>
      <c r="D201" s="1" t="s">
        <v>214</v>
      </c>
      <c r="E201" s="1">
        <v>102505.0</v>
      </c>
    </row>
    <row r="202">
      <c r="A202" s="1">
        <v>23.0</v>
      </c>
      <c r="B202" s="1">
        <v>1.0</v>
      </c>
      <c r="C202" s="1">
        <v>11.0</v>
      </c>
      <c r="D202" s="1" t="s">
        <v>93</v>
      </c>
      <c r="E202" s="1">
        <v>102400.0</v>
      </c>
    </row>
    <row r="203">
      <c r="A203" s="1">
        <v>7.0</v>
      </c>
      <c r="B203" s="1">
        <v>2.0</v>
      </c>
      <c r="C203" s="1">
        <v>11.0</v>
      </c>
      <c r="D203" s="1" t="s">
        <v>93</v>
      </c>
      <c r="E203" s="1">
        <v>102183.0</v>
      </c>
    </row>
    <row r="204">
      <c r="A204" s="1">
        <v>14.0</v>
      </c>
      <c r="B204" s="1">
        <v>38.0</v>
      </c>
      <c r="C204" s="1">
        <v>178.0</v>
      </c>
      <c r="D204" s="1" t="s">
        <v>215</v>
      </c>
      <c r="E204" s="1">
        <v>101852.0</v>
      </c>
    </row>
    <row r="205">
      <c r="A205" s="1">
        <v>16.0</v>
      </c>
      <c r="B205" s="1">
        <v>5.0</v>
      </c>
      <c r="C205" s="1">
        <v>187.0</v>
      </c>
      <c r="D205" s="1" t="s">
        <v>216</v>
      </c>
      <c r="E205" s="1">
        <v>101719.0</v>
      </c>
    </row>
    <row r="206">
      <c r="A206" s="1">
        <v>20.0</v>
      </c>
      <c r="B206" s="1">
        <v>34.0</v>
      </c>
      <c r="C206" s="1">
        <v>5.0</v>
      </c>
      <c r="D206" s="1" t="s">
        <v>160</v>
      </c>
      <c r="E206" s="1">
        <v>101707.0</v>
      </c>
    </row>
    <row r="207">
      <c r="A207" s="1">
        <v>24.0</v>
      </c>
      <c r="B207" s="1">
        <v>7.0</v>
      </c>
      <c r="C207" s="1">
        <v>19.0</v>
      </c>
      <c r="D207" s="1" t="s">
        <v>72</v>
      </c>
      <c r="E207" s="1">
        <v>101620.0</v>
      </c>
    </row>
    <row r="208">
      <c r="A208" s="1">
        <v>22.0</v>
      </c>
      <c r="B208" s="1">
        <v>5.0</v>
      </c>
      <c r="C208" s="1">
        <v>22.0</v>
      </c>
      <c r="D208" s="1" t="s">
        <v>201</v>
      </c>
      <c r="E208" s="1">
        <v>101594.0</v>
      </c>
    </row>
    <row r="209">
      <c r="A209" s="1">
        <v>5.0</v>
      </c>
      <c r="B209" s="1">
        <v>17.0</v>
      </c>
      <c r="C209" s="1">
        <v>7.0</v>
      </c>
      <c r="D209" s="1" t="s">
        <v>217</v>
      </c>
      <c r="E209" s="1">
        <v>101515.0</v>
      </c>
    </row>
    <row r="210">
      <c r="A210" s="1">
        <v>11.0</v>
      </c>
      <c r="B210" s="1">
        <v>5.0</v>
      </c>
      <c r="C210" s="1">
        <v>57.0</v>
      </c>
      <c r="D210" s="1" t="s">
        <v>89</v>
      </c>
      <c r="E210" s="1">
        <v>100996.0</v>
      </c>
    </row>
    <row r="211">
      <c r="A211" s="1">
        <v>4.0</v>
      </c>
      <c r="B211" s="1">
        <v>1.0</v>
      </c>
      <c r="C211" s="1">
        <v>1.0</v>
      </c>
      <c r="D211" s="1" t="s">
        <v>87</v>
      </c>
      <c r="E211" s="1">
        <v>100825.0</v>
      </c>
    </row>
    <row r="212">
      <c r="A212" s="1">
        <v>40.0</v>
      </c>
      <c r="B212" s="1">
        <v>58.0</v>
      </c>
      <c r="C212" s="1">
        <v>1.0</v>
      </c>
      <c r="D212" s="1" t="s">
        <v>101</v>
      </c>
      <c r="E212" s="1">
        <v>100288.0</v>
      </c>
    </row>
    <row r="213">
      <c r="A213" s="1">
        <v>8.0</v>
      </c>
      <c r="B213" s="1">
        <v>10.0</v>
      </c>
      <c r="C213" s="1">
        <v>67.0</v>
      </c>
      <c r="D213" s="1" t="s">
        <v>213</v>
      </c>
      <c r="E213" s="1">
        <v>99613.0</v>
      </c>
    </row>
    <row r="214">
      <c r="A214" s="1">
        <v>39.0</v>
      </c>
      <c r="B214" s="1">
        <v>16.0</v>
      </c>
      <c r="C214" s="1">
        <v>17.0</v>
      </c>
      <c r="D214" s="1" t="s">
        <v>218</v>
      </c>
      <c r="E214" s="1">
        <v>99598.0</v>
      </c>
    </row>
    <row r="215">
      <c r="A215" s="1">
        <v>8.0</v>
      </c>
      <c r="B215" s="1">
        <v>1.0</v>
      </c>
      <c r="C215" s="1">
        <v>4.0</v>
      </c>
      <c r="D215" s="1" t="s">
        <v>209</v>
      </c>
      <c r="E215" s="1">
        <v>99441.0</v>
      </c>
    </row>
    <row r="216">
      <c r="A216" s="1">
        <v>11.0</v>
      </c>
      <c r="B216" s="1">
        <v>8.0</v>
      </c>
      <c r="C216" s="1">
        <v>59.0</v>
      </c>
      <c r="D216" s="1" t="s">
        <v>151</v>
      </c>
      <c r="E216" s="1">
        <v>98895.0</v>
      </c>
    </row>
    <row r="217">
      <c r="A217" s="1">
        <v>17.0</v>
      </c>
      <c r="B217" s="1">
        <v>3.0</v>
      </c>
      <c r="C217" s="1">
        <v>85.0</v>
      </c>
      <c r="D217" s="1" t="s">
        <v>219</v>
      </c>
      <c r="E217" s="1">
        <v>98625.0</v>
      </c>
    </row>
    <row r="218">
      <c r="A218" s="1">
        <v>15.0</v>
      </c>
      <c r="B218" s="1">
        <v>54.0</v>
      </c>
      <c r="C218" s="1">
        <v>198.0</v>
      </c>
      <c r="D218" s="1" t="s">
        <v>220</v>
      </c>
      <c r="E218" s="1">
        <v>97363.0</v>
      </c>
    </row>
    <row r="219">
      <c r="A219" s="1">
        <v>4.0</v>
      </c>
      <c r="B219" s="1">
        <v>4.0</v>
      </c>
      <c r="C219" s="1">
        <v>12.0</v>
      </c>
      <c r="D219" s="1" t="s">
        <v>177</v>
      </c>
      <c r="E219" s="1">
        <v>96698.0</v>
      </c>
    </row>
    <row r="220">
      <c r="A220" s="1">
        <v>15.0</v>
      </c>
      <c r="B220" s="1">
        <v>80.0</v>
      </c>
      <c r="C220" s="1">
        <v>86.0</v>
      </c>
      <c r="D220" s="1" t="s">
        <v>221</v>
      </c>
      <c r="E220" s="1">
        <v>96263.0</v>
      </c>
    </row>
    <row r="221">
      <c r="A221" s="1">
        <v>14.0</v>
      </c>
      <c r="B221" s="1">
        <v>22.0</v>
      </c>
      <c r="C221" s="1">
        <v>9.0</v>
      </c>
      <c r="D221" s="1" t="s">
        <v>222</v>
      </c>
      <c r="E221" s="1">
        <v>96005.0</v>
      </c>
    </row>
    <row r="222">
      <c r="A222" s="1">
        <v>2.0</v>
      </c>
      <c r="B222" s="1">
        <v>3.0</v>
      </c>
      <c r="C222" s="1">
        <v>25.0</v>
      </c>
      <c r="D222" s="1" t="s">
        <v>223</v>
      </c>
      <c r="E222" s="1">
        <v>95883.0</v>
      </c>
    </row>
    <row r="223">
      <c r="A223" s="1">
        <v>32.0</v>
      </c>
      <c r="B223" s="1">
        <v>45.0</v>
      </c>
      <c r="C223" s="1">
        <v>32.0</v>
      </c>
      <c r="D223" s="1" t="s">
        <v>224</v>
      </c>
      <c r="E223" s="1">
        <v>95497.0</v>
      </c>
    </row>
    <row r="224">
      <c r="A224" s="1">
        <v>14.0</v>
      </c>
      <c r="B224" s="1">
        <v>50.0</v>
      </c>
      <c r="C224" s="1">
        <v>179.0</v>
      </c>
      <c r="D224" s="1" t="s">
        <v>225</v>
      </c>
      <c r="E224" s="1">
        <v>94945.0</v>
      </c>
    </row>
    <row r="225">
      <c r="A225" s="1">
        <v>7.0</v>
      </c>
      <c r="B225" s="1">
        <v>1.0</v>
      </c>
      <c r="C225" s="1">
        <v>25.0</v>
      </c>
      <c r="D225" s="1" t="s">
        <v>226</v>
      </c>
      <c r="E225" s="1">
        <v>94866.0</v>
      </c>
    </row>
    <row r="226">
      <c r="A226" s="1">
        <v>10.0</v>
      </c>
      <c r="B226" s="1">
        <v>1.0</v>
      </c>
      <c r="C226" s="1">
        <v>49.0</v>
      </c>
      <c r="D226" s="1" t="s">
        <v>134</v>
      </c>
      <c r="E226" s="1">
        <v>94062.0</v>
      </c>
    </row>
    <row r="227">
      <c r="A227" s="1">
        <v>6.0</v>
      </c>
      <c r="B227" s="1">
        <v>3.0</v>
      </c>
      <c r="C227" s="1">
        <v>17.0</v>
      </c>
      <c r="D227" s="1" t="s">
        <v>218</v>
      </c>
      <c r="E227" s="1">
        <v>94012.0</v>
      </c>
    </row>
    <row r="228">
      <c r="A228" s="1">
        <v>14.0</v>
      </c>
      <c r="B228" s="1">
        <v>12.0</v>
      </c>
      <c r="C228" s="1">
        <v>168.0</v>
      </c>
      <c r="D228" s="1" t="s">
        <v>227</v>
      </c>
      <c r="E228" s="1">
        <v>93979.0</v>
      </c>
    </row>
    <row r="229">
      <c r="A229" s="1">
        <v>25.0</v>
      </c>
      <c r="B229" s="1">
        <v>1.0</v>
      </c>
      <c r="C229" s="1">
        <v>5.0</v>
      </c>
      <c r="D229" s="1" t="s">
        <v>160</v>
      </c>
      <c r="E229" s="1">
        <v>93847.0</v>
      </c>
    </row>
    <row r="230">
      <c r="A230" s="1">
        <v>40.0</v>
      </c>
      <c r="B230" s="1">
        <v>11.0</v>
      </c>
      <c r="C230" s="1">
        <v>45.0</v>
      </c>
      <c r="D230" s="1" t="s">
        <v>171</v>
      </c>
      <c r="E230" s="1">
        <v>93738.0</v>
      </c>
    </row>
    <row r="231">
      <c r="A231" s="1">
        <v>32.0</v>
      </c>
      <c r="B231" s="1">
        <v>3.0</v>
      </c>
      <c r="C231" s="1">
        <v>1.0</v>
      </c>
      <c r="D231" s="1" t="s">
        <v>101</v>
      </c>
      <c r="E231" s="1">
        <v>93727.0</v>
      </c>
    </row>
    <row r="232">
      <c r="A232" s="1">
        <v>2.0</v>
      </c>
      <c r="B232" s="1">
        <v>4.0</v>
      </c>
      <c r="C232" s="1">
        <v>38.0</v>
      </c>
      <c r="D232" s="1" t="s">
        <v>204</v>
      </c>
      <c r="E232" s="1">
        <v>93533.0</v>
      </c>
    </row>
    <row r="233">
      <c r="A233" s="1">
        <v>40.0</v>
      </c>
      <c r="B233" s="1">
        <v>1.0</v>
      </c>
      <c r="C233" s="1">
        <v>8.0</v>
      </c>
      <c r="D233" s="1" t="s">
        <v>228</v>
      </c>
      <c r="E233" s="1">
        <v>92486.0</v>
      </c>
    </row>
    <row r="234">
      <c r="A234" s="1">
        <v>20.0</v>
      </c>
      <c r="B234" s="1">
        <v>32.0</v>
      </c>
      <c r="C234" s="1">
        <v>39.0</v>
      </c>
      <c r="D234" s="1" t="s">
        <v>79</v>
      </c>
      <c r="E234" s="1">
        <v>91253.0</v>
      </c>
    </row>
    <row r="235">
      <c r="A235" s="1">
        <v>8.0</v>
      </c>
      <c r="B235" s="1">
        <v>60.0</v>
      </c>
      <c r="C235" s="1">
        <v>34.0</v>
      </c>
      <c r="D235" s="1" t="s">
        <v>55</v>
      </c>
      <c r="E235" s="1">
        <v>90909.0</v>
      </c>
    </row>
    <row r="236">
      <c r="A236" s="1">
        <v>8.0</v>
      </c>
      <c r="B236" s="1">
        <v>1.0</v>
      </c>
      <c r="C236" s="1">
        <v>2.0</v>
      </c>
      <c r="D236" s="1" t="s">
        <v>112</v>
      </c>
      <c r="E236" s="1">
        <v>90676.0</v>
      </c>
    </row>
    <row r="237">
      <c r="A237" s="1">
        <v>16.0</v>
      </c>
      <c r="B237" s="1">
        <v>1.0</v>
      </c>
      <c r="C237" s="1">
        <v>248.0</v>
      </c>
      <c r="D237" s="1" t="s">
        <v>229</v>
      </c>
      <c r="E237" s="1">
        <v>90615.0</v>
      </c>
    </row>
    <row r="238">
      <c r="A238" s="1">
        <v>33.0</v>
      </c>
      <c r="B238" s="1">
        <v>1.0</v>
      </c>
      <c r="C238" s="1">
        <v>57.0</v>
      </c>
      <c r="D238" s="1" t="s">
        <v>89</v>
      </c>
      <c r="E238" s="1">
        <v>90486.0</v>
      </c>
    </row>
    <row r="239">
      <c r="A239" s="1">
        <v>31.0</v>
      </c>
      <c r="B239" s="1">
        <v>12.0</v>
      </c>
      <c r="C239" s="1">
        <v>68.0</v>
      </c>
      <c r="D239" s="1" t="s">
        <v>74</v>
      </c>
      <c r="E239" s="1">
        <v>90159.0</v>
      </c>
    </row>
    <row r="240">
      <c r="A240" s="1">
        <v>23.0</v>
      </c>
      <c r="B240" s="1">
        <v>3.0</v>
      </c>
      <c r="C240" s="1">
        <v>7.0</v>
      </c>
      <c r="D240" s="1" t="s">
        <v>58</v>
      </c>
      <c r="E240" s="1">
        <v>89958.0</v>
      </c>
    </row>
    <row r="241">
      <c r="A241" s="1">
        <v>3.0</v>
      </c>
      <c r="B241" s="1">
        <v>1.0</v>
      </c>
      <c r="C241" s="1">
        <v>40.0</v>
      </c>
      <c r="D241" s="1" t="s">
        <v>230</v>
      </c>
      <c r="E241" s="1">
        <v>89695.0</v>
      </c>
    </row>
    <row r="242">
      <c r="A242" s="1">
        <v>8.0</v>
      </c>
      <c r="B242" s="1">
        <v>22.0</v>
      </c>
      <c r="C242" s="1">
        <v>23.0</v>
      </c>
      <c r="D242" s="1" t="s">
        <v>231</v>
      </c>
      <c r="E242" s="1">
        <v>89323.0</v>
      </c>
    </row>
    <row r="243">
      <c r="A243" s="1">
        <v>14.0</v>
      </c>
      <c r="B243" s="1">
        <v>39.0</v>
      </c>
      <c r="C243" s="1">
        <v>184.0</v>
      </c>
      <c r="D243" s="1" t="s">
        <v>232</v>
      </c>
      <c r="E243" s="1">
        <v>89059.0</v>
      </c>
    </row>
    <row r="244">
      <c r="A244" s="1">
        <v>13.0</v>
      </c>
      <c r="B244" s="1">
        <v>5.0</v>
      </c>
      <c r="C244" s="1">
        <v>34.0</v>
      </c>
      <c r="D244" s="1" t="s">
        <v>55</v>
      </c>
      <c r="E244" s="1">
        <v>88191.0</v>
      </c>
    </row>
    <row r="245">
      <c r="A245" s="1">
        <v>15.0</v>
      </c>
      <c r="B245" s="1">
        <v>80.0</v>
      </c>
      <c r="C245" s="1">
        <v>181.0</v>
      </c>
      <c r="D245" s="1" t="s">
        <v>233</v>
      </c>
      <c r="E245" s="1">
        <v>87988.0</v>
      </c>
    </row>
    <row r="246">
      <c r="A246" s="1">
        <v>20.0</v>
      </c>
      <c r="B246" s="1">
        <v>34.0</v>
      </c>
      <c r="C246" s="1">
        <v>64.0</v>
      </c>
      <c r="D246" s="1" t="s">
        <v>63</v>
      </c>
      <c r="E246" s="1">
        <v>87325.0</v>
      </c>
    </row>
    <row r="247">
      <c r="A247" s="1">
        <v>25.0</v>
      </c>
      <c r="B247" s="1">
        <v>60.0</v>
      </c>
      <c r="C247" s="1">
        <v>7.0</v>
      </c>
      <c r="D247" s="1" t="s">
        <v>58</v>
      </c>
      <c r="E247" s="1">
        <v>87129.0</v>
      </c>
    </row>
    <row r="248">
      <c r="A248" s="1">
        <v>12.0</v>
      </c>
      <c r="B248" s="1">
        <v>1.0</v>
      </c>
      <c r="C248" s="1">
        <v>3.0</v>
      </c>
      <c r="D248" s="1" t="s">
        <v>234</v>
      </c>
      <c r="E248" s="1">
        <v>87067.0</v>
      </c>
    </row>
    <row r="249">
      <c r="A249" s="1">
        <v>16.0</v>
      </c>
      <c r="B249" s="1">
        <v>5.0</v>
      </c>
      <c r="C249" s="1">
        <v>51.0</v>
      </c>
      <c r="D249" s="1" t="s">
        <v>152</v>
      </c>
      <c r="E249" s="1">
        <v>86887.0</v>
      </c>
    </row>
    <row r="250">
      <c r="A250" s="1">
        <v>29.0</v>
      </c>
      <c r="B250" s="1">
        <v>4.0</v>
      </c>
      <c r="C250" s="1">
        <v>41.0</v>
      </c>
      <c r="D250" s="1" t="s">
        <v>82</v>
      </c>
      <c r="E250" s="1">
        <v>86843.0</v>
      </c>
    </row>
    <row r="251">
      <c r="A251" s="1">
        <v>21.0</v>
      </c>
      <c r="B251" s="1">
        <v>4.0</v>
      </c>
      <c r="C251" s="1">
        <v>64.0</v>
      </c>
      <c r="D251" s="1" t="s">
        <v>63</v>
      </c>
      <c r="E251" s="1">
        <v>86310.0</v>
      </c>
    </row>
    <row r="252">
      <c r="A252" s="1">
        <v>32.0</v>
      </c>
      <c r="B252" s="1">
        <v>2.0</v>
      </c>
      <c r="C252" s="1">
        <v>64.0</v>
      </c>
      <c r="D252" s="1" t="s">
        <v>63</v>
      </c>
      <c r="E252" s="1">
        <v>86253.0</v>
      </c>
    </row>
    <row r="253">
      <c r="A253" s="1">
        <v>40.0</v>
      </c>
      <c r="B253" s="1">
        <v>54.0</v>
      </c>
      <c r="C253" s="1">
        <v>43.0</v>
      </c>
      <c r="D253" s="1" t="s">
        <v>164</v>
      </c>
      <c r="E253" s="1">
        <v>85779.0</v>
      </c>
    </row>
    <row r="254">
      <c r="A254" s="1">
        <v>16.0</v>
      </c>
      <c r="B254" s="1">
        <v>1.0</v>
      </c>
      <c r="C254" s="1">
        <v>235.0</v>
      </c>
      <c r="D254" s="1" t="s">
        <v>235</v>
      </c>
      <c r="E254" s="1">
        <v>85656.0</v>
      </c>
    </row>
    <row r="255">
      <c r="A255" s="1">
        <v>40.0</v>
      </c>
      <c r="B255" s="1">
        <v>1.0</v>
      </c>
      <c r="C255" s="1">
        <v>140.0</v>
      </c>
      <c r="D255" s="1" t="s">
        <v>236</v>
      </c>
      <c r="E255" s="1">
        <v>85287.0</v>
      </c>
    </row>
    <row r="256">
      <c r="A256" s="1">
        <v>5.0</v>
      </c>
      <c r="B256" s="1">
        <v>11.0</v>
      </c>
      <c r="C256" s="1">
        <v>81.0</v>
      </c>
      <c r="D256" s="1" t="s">
        <v>210</v>
      </c>
      <c r="E256" s="1">
        <v>84734.0</v>
      </c>
    </row>
    <row r="257">
      <c r="A257" s="1">
        <v>24.0</v>
      </c>
      <c r="B257" s="1">
        <v>7.0</v>
      </c>
      <c r="C257" s="1">
        <v>15.0</v>
      </c>
      <c r="D257" s="1" t="s">
        <v>116</v>
      </c>
      <c r="E257" s="1">
        <v>83989.0</v>
      </c>
    </row>
    <row r="258">
      <c r="A258" s="1">
        <v>39.0</v>
      </c>
      <c r="B258" s="1">
        <v>56.0</v>
      </c>
      <c r="C258" s="1">
        <v>3.0</v>
      </c>
      <c r="D258" s="1" t="s">
        <v>155</v>
      </c>
      <c r="E258" s="1">
        <v>83760.0</v>
      </c>
    </row>
    <row r="259">
      <c r="A259" s="1">
        <v>40.0</v>
      </c>
      <c r="B259" s="1">
        <v>54.0</v>
      </c>
      <c r="C259" s="1">
        <v>162.0</v>
      </c>
      <c r="D259" s="1" t="s">
        <v>238</v>
      </c>
      <c r="E259" s="1">
        <v>83708.0</v>
      </c>
    </row>
    <row r="260">
      <c r="A260" s="1">
        <v>14.0</v>
      </c>
      <c r="B260" s="1">
        <v>39.0</v>
      </c>
      <c r="C260" s="1">
        <v>52.0</v>
      </c>
      <c r="D260" s="1" t="s">
        <v>80</v>
      </c>
      <c r="E260" s="1">
        <v>83347.0</v>
      </c>
    </row>
    <row r="261">
      <c r="A261" s="1">
        <v>1.0</v>
      </c>
      <c r="B261" s="1">
        <v>1.0</v>
      </c>
      <c r="C261" s="1">
        <v>7.0</v>
      </c>
      <c r="D261" s="1" t="s">
        <v>58</v>
      </c>
      <c r="E261" s="1">
        <v>82583.0</v>
      </c>
    </row>
    <row r="262">
      <c r="A262" s="1">
        <v>26.0</v>
      </c>
      <c r="B262" s="1">
        <v>5.0</v>
      </c>
      <c r="C262" s="1">
        <v>56.0</v>
      </c>
      <c r="D262" s="1" t="s">
        <v>239</v>
      </c>
      <c r="E262" s="1">
        <v>82471.0</v>
      </c>
    </row>
    <row r="263">
      <c r="A263" s="1">
        <v>20.0</v>
      </c>
      <c r="B263" s="1">
        <v>33.0</v>
      </c>
      <c r="C263" s="1">
        <v>36.0</v>
      </c>
      <c r="D263" s="1" t="s">
        <v>95</v>
      </c>
      <c r="E263" s="1">
        <v>82456.0</v>
      </c>
    </row>
    <row r="264">
      <c r="A264" s="1">
        <v>16.0</v>
      </c>
      <c r="B264" s="1">
        <v>1.0</v>
      </c>
      <c r="C264" s="1">
        <v>226.0</v>
      </c>
      <c r="D264" s="1" t="s">
        <v>240</v>
      </c>
      <c r="E264" s="1">
        <v>82173.0</v>
      </c>
    </row>
    <row r="265">
      <c r="A265" s="1">
        <v>14.0</v>
      </c>
      <c r="B265" s="1">
        <v>39.0</v>
      </c>
      <c r="C265" s="1">
        <v>54.0</v>
      </c>
      <c r="D265" s="1" t="s">
        <v>241</v>
      </c>
      <c r="E265" s="1">
        <v>81017.0</v>
      </c>
    </row>
    <row r="266">
      <c r="A266" s="1">
        <v>18.0</v>
      </c>
      <c r="B266" s="1">
        <v>11.0</v>
      </c>
      <c r="C266" s="1">
        <v>7.0</v>
      </c>
      <c r="D266" s="1" t="s">
        <v>217</v>
      </c>
      <c r="E266" s="1">
        <v>80984.0</v>
      </c>
    </row>
    <row r="267">
      <c r="A267" s="1">
        <v>26.0</v>
      </c>
      <c r="B267" s="1">
        <v>1.0</v>
      </c>
      <c r="C267" s="1">
        <v>55.0</v>
      </c>
      <c r="D267" s="1" t="s">
        <v>242</v>
      </c>
      <c r="E267" s="1">
        <v>80682.0</v>
      </c>
    </row>
    <row r="268">
      <c r="A268" s="1">
        <v>29.0</v>
      </c>
      <c r="B268" s="1">
        <v>18.0</v>
      </c>
      <c r="C268" s="1">
        <v>76.0</v>
      </c>
      <c r="D268" s="1" t="s">
        <v>243</v>
      </c>
      <c r="E268" s="1">
        <v>80540.0</v>
      </c>
    </row>
    <row r="269">
      <c r="A269" s="1">
        <v>12.0</v>
      </c>
      <c r="B269" s="1">
        <v>3.0</v>
      </c>
      <c r="C269" s="1">
        <v>4.0</v>
      </c>
      <c r="D269" s="1" t="s">
        <v>244</v>
      </c>
      <c r="E269" s="1">
        <v>79957.0</v>
      </c>
    </row>
    <row r="270">
      <c r="A270" s="1">
        <v>17.0</v>
      </c>
      <c r="B270" s="1">
        <v>3.0</v>
      </c>
      <c r="C270" s="1">
        <v>84.0</v>
      </c>
      <c r="D270" s="1" t="s">
        <v>202</v>
      </c>
      <c r="E270" s="1">
        <v>79677.0</v>
      </c>
    </row>
    <row r="271">
      <c r="A271" s="1">
        <v>22.0</v>
      </c>
      <c r="B271" s="1">
        <v>22.0</v>
      </c>
      <c r="C271" s="1">
        <v>11.0</v>
      </c>
      <c r="D271" s="1" t="s">
        <v>93</v>
      </c>
      <c r="E271" s="1">
        <v>79544.0</v>
      </c>
    </row>
    <row r="272">
      <c r="A272" s="1">
        <v>2.0</v>
      </c>
      <c r="B272" s="1">
        <v>3.0</v>
      </c>
      <c r="C272" s="1">
        <v>8.0</v>
      </c>
      <c r="D272" s="1" t="s">
        <v>228</v>
      </c>
      <c r="E272" s="1">
        <v>79524.0</v>
      </c>
    </row>
    <row r="273">
      <c r="A273" s="1">
        <v>8.0</v>
      </c>
      <c r="B273" s="1">
        <v>1.0</v>
      </c>
      <c r="C273" s="1">
        <v>69.0</v>
      </c>
      <c r="D273" s="1" t="s">
        <v>245</v>
      </c>
      <c r="E273" s="1">
        <v>79451.0</v>
      </c>
    </row>
    <row r="274">
      <c r="A274" s="1">
        <v>40.0</v>
      </c>
      <c r="B274" s="1">
        <v>54.0</v>
      </c>
      <c r="C274" s="1">
        <v>164.0</v>
      </c>
      <c r="D274" s="1" t="s">
        <v>246</v>
      </c>
      <c r="E274" s="1">
        <v>79416.0</v>
      </c>
    </row>
    <row r="275">
      <c r="A275" s="1">
        <v>10.0</v>
      </c>
      <c r="B275" s="1">
        <v>13.0</v>
      </c>
      <c r="C275" s="1">
        <v>43.0</v>
      </c>
      <c r="D275" s="1" t="s">
        <v>164</v>
      </c>
      <c r="E275" s="1">
        <v>79130.0</v>
      </c>
    </row>
    <row r="276">
      <c r="A276" s="1">
        <v>10.0</v>
      </c>
      <c r="B276" s="1">
        <v>1.0</v>
      </c>
      <c r="C276" s="1">
        <v>1.0</v>
      </c>
      <c r="D276" s="1" t="s">
        <v>101</v>
      </c>
      <c r="E276" s="1">
        <v>78688.0</v>
      </c>
    </row>
    <row r="277">
      <c r="A277" s="1">
        <v>29.0</v>
      </c>
      <c r="B277" s="1">
        <v>10.0</v>
      </c>
      <c r="C277" s="1">
        <v>38.0</v>
      </c>
      <c r="D277" s="1" t="s">
        <v>204</v>
      </c>
      <c r="E277" s="1">
        <v>78644.0</v>
      </c>
    </row>
    <row r="278">
      <c r="A278" s="1">
        <v>39.0</v>
      </c>
      <c r="B278" s="1">
        <v>57.0</v>
      </c>
      <c r="C278" s="1">
        <v>120.0</v>
      </c>
      <c r="D278" s="1" t="s">
        <v>247</v>
      </c>
      <c r="E278" s="1">
        <v>78588.0</v>
      </c>
    </row>
    <row r="279">
      <c r="A279" s="1">
        <v>15.0</v>
      </c>
      <c r="B279" s="1">
        <v>80.0</v>
      </c>
      <c r="C279" s="1">
        <v>180.0</v>
      </c>
      <c r="D279" s="1" t="s">
        <v>248</v>
      </c>
      <c r="E279" s="1">
        <v>78187.0</v>
      </c>
    </row>
    <row r="280">
      <c r="A280" s="1">
        <v>20.0</v>
      </c>
      <c r="B280" s="1">
        <v>32.0</v>
      </c>
      <c r="C280" s="1">
        <v>69.0</v>
      </c>
      <c r="D280" s="1" t="s">
        <v>245</v>
      </c>
      <c r="E280" s="1">
        <v>78185.0</v>
      </c>
    </row>
    <row r="281">
      <c r="A281" s="1">
        <v>28.0</v>
      </c>
      <c r="B281" s="1">
        <v>1.0</v>
      </c>
      <c r="C281" s="1">
        <v>43.0</v>
      </c>
      <c r="D281" s="1" t="s">
        <v>164</v>
      </c>
      <c r="E281" s="1">
        <v>78085.0</v>
      </c>
    </row>
    <row r="282">
      <c r="A282" s="1">
        <v>6.0</v>
      </c>
      <c r="B282" s="1">
        <v>1.0</v>
      </c>
      <c r="C282" s="1">
        <v>18.0</v>
      </c>
      <c r="D282" s="1" t="s">
        <v>76</v>
      </c>
      <c r="E282" s="1">
        <v>77902.0</v>
      </c>
    </row>
    <row r="283">
      <c r="A283" s="1">
        <v>13.0</v>
      </c>
      <c r="B283" s="1">
        <v>7.0</v>
      </c>
      <c r="C283" s="1">
        <v>8.0</v>
      </c>
      <c r="D283" s="1" t="s">
        <v>228</v>
      </c>
      <c r="E283" s="1">
        <v>77801.0</v>
      </c>
    </row>
    <row r="284">
      <c r="A284" s="1">
        <v>10.0</v>
      </c>
      <c r="B284" s="1">
        <v>13.0</v>
      </c>
      <c r="C284" s="1">
        <v>53.0</v>
      </c>
      <c r="D284" s="1" t="s">
        <v>69</v>
      </c>
      <c r="E284" s="1">
        <v>77646.0</v>
      </c>
    </row>
    <row r="285">
      <c r="A285" s="1">
        <v>2.0</v>
      </c>
      <c r="B285" s="1">
        <v>5.0</v>
      </c>
      <c r="C285" s="1">
        <v>35.0</v>
      </c>
      <c r="D285" s="1" t="s">
        <v>136</v>
      </c>
      <c r="E285" s="1">
        <v>77633.0</v>
      </c>
    </row>
    <row r="286">
      <c r="A286" s="1">
        <v>2.0</v>
      </c>
      <c r="B286" s="1">
        <v>1.0</v>
      </c>
      <c r="C286" s="1">
        <v>37.0</v>
      </c>
      <c r="D286" s="1" t="s">
        <v>73</v>
      </c>
      <c r="E286" s="1">
        <v>77548.0</v>
      </c>
    </row>
    <row r="287">
      <c r="A287" s="1">
        <v>22.0</v>
      </c>
      <c r="B287" s="1">
        <v>22.0</v>
      </c>
      <c r="C287" s="1">
        <v>13.0</v>
      </c>
      <c r="D287" s="1" t="s">
        <v>99</v>
      </c>
      <c r="E287" s="1">
        <v>77378.0</v>
      </c>
    </row>
    <row r="288">
      <c r="A288" s="1">
        <v>29.0</v>
      </c>
      <c r="B288" s="1">
        <v>19.0</v>
      </c>
      <c r="C288" s="1">
        <v>39.0</v>
      </c>
      <c r="D288" s="1" t="s">
        <v>79</v>
      </c>
      <c r="E288" s="1">
        <v>77083.0</v>
      </c>
    </row>
    <row r="289">
      <c r="A289" s="1">
        <v>16.0</v>
      </c>
      <c r="B289" s="1">
        <v>5.0</v>
      </c>
      <c r="C289" s="1">
        <v>190.0</v>
      </c>
      <c r="D289" s="1" t="s">
        <v>250</v>
      </c>
      <c r="E289" s="1">
        <v>76976.0</v>
      </c>
    </row>
    <row r="290">
      <c r="A290" s="1">
        <v>21.0</v>
      </c>
      <c r="B290" s="1">
        <v>2.0</v>
      </c>
      <c r="C290" s="1">
        <v>65.0</v>
      </c>
      <c r="D290" s="1" t="s">
        <v>182</v>
      </c>
      <c r="E290" s="1">
        <v>76704.0</v>
      </c>
    </row>
    <row r="291">
      <c r="A291" s="1">
        <v>13.0</v>
      </c>
      <c r="B291" s="1">
        <v>10.0</v>
      </c>
      <c r="C291" s="1">
        <v>6.0</v>
      </c>
      <c r="D291" s="1" t="s">
        <v>251</v>
      </c>
      <c r="E291" s="1">
        <v>76653.0</v>
      </c>
    </row>
    <row r="292">
      <c r="A292" s="1">
        <v>40.0</v>
      </c>
      <c r="B292" s="1">
        <v>58.0</v>
      </c>
      <c r="C292" s="1">
        <v>4.0</v>
      </c>
      <c r="D292" s="1" t="s">
        <v>209</v>
      </c>
      <c r="E292" s="1">
        <v>76570.0</v>
      </c>
    </row>
    <row r="293">
      <c r="A293" s="1">
        <v>17.0</v>
      </c>
      <c r="B293" s="1">
        <v>9.0</v>
      </c>
      <c r="C293" s="1">
        <v>76.0</v>
      </c>
      <c r="D293" s="1" t="s">
        <v>243</v>
      </c>
      <c r="E293" s="1">
        <v>76395.0</v>
      </c>
    </row>
    <row r="294">
      <c r="A294" s="1">
        <v>13.0</v>
      </c>
      <c r="B294" s="1">
        <v>1.0</v>
      </c>
      <c r="C294" s="1">
        <v>32.0</v>
      </c>
      <c r="D294" s="1" t="s">
        <v>127</v>
      </c>
      <c r="E294" s="1">
        <v>76156.0</v>
      </c>
    </row>
    <row r="295">
      <c r="A295" s="1">
        <v>22.0</v>
      </c>
      <c r="B295" s="1">
        <v>6.0</v>
      </c>
      <c r="C295" s="1">
        <v>30.0</v>
      </c>
      <c r="D295" s="1" t="s">
        <v>181</v>
      </c>
      <c r="E295" s="1">
        <v>76060.0</v>
      </c>
    </row>
    <row r="296">
      <c r="A296" s="1">
        <v>15.0</v>
      </c>
      <c r="B296" s="1">
        <v>6.0</v>
      </c>
      <c r="C296" s="1">
        <v>79.0</v>
      </c>
      <c r="D296" s="1" t="s">
        <v>179</v>
      </c>
      <c r="E296" s="1">
        <v>75940.0</v>
      </c>
    </row>
    <row r="297">
      <c r="A297" s="1">
        <v>23.0</v>
      </c>
      <c r="B297" s="1">
        <v>1.0</v>
      </c>
      <c r="C297" s="1">
        <v>2.0</v>
      </c>
      <c r="D297" s="1" t="s">
        <v>112</v>
      </c>
      <c r="E297" s="1">
        <v>75682.0</v>
      </c>
    </row>
    <row r="298">
      <c r="A298" s="1">
        <v>14.0</v>
      </c>
      <c r="B298" s="1">
        <v>40.0</v>
      </c>
      <c r="C298" s="1">
        <v>26.0</v>
      </c>
      <c r="D298" s="1" t="s">
        <v>252</v>
      </c>
      <c r="E298" s="1">
        <v>75459.0</v>
      </c>
    </row>
    <row r="299">
      <c r="A299" s="1">
        <v>10.0</v>
      </c>
      <c r="B299" s="1">
        <v>13.0</v>
      </c>
      <c r="C299" s="1">
        <v>11.0</v>
      </c>
      <c r="D299" s="1" t="s">
        <v>93</v>
      </c>
      <c r="E299" s="1">
        <v>75002.0</v>
      </c>
    </row>
    <row r="300">
      <c r="A300" s="1">
        <v>10.0</v>
      </c>
      <c r="B300" s="1">
        <v>1.0</v>
      </c>
      <c r="C300" s="1">
        <v>50.0</v>
      </c>
      <c r="D300" s="1" t="s">
        <v>208</v>
      </c>
      <c r="E300" s="1">
        <v>74494.0</v>
      </c>
    </row>
    <row r="301">
      <c r="A301" s="1">
        <v>28.0</v>
      </c>
      <c r="B301" s="1">
        <v>1.0</v>
      </c>
      <c r="C301" s="1">
        <v>47.0</v>
      </c>
      <c r="D301" s="1" t="s">
        <v>61</v>
      </c>
      <c r="E301" s="1">
        <v>74316.0</v>
      </c>
    </row>
    <row r="302">
      <c r="A302" s="1">
        <v>16.0</v>
      </c>
      <c r="B302" s="1">
        <v>1.0</v>
      </c>
      <c r="C302" s="1">
        <v>228.0</v>
      </c>
      <c r="D302" s="1" t="s">
        <v>253</v>
      </c>
      <c r="E302" s="1">
        <v>74202.0</v>
      </c>
    </row>
    <row r="303">
      <c r="A303" s="1">
        <v>3.0</v>
      </c>
      <c r="B303" s="1">
        <v>1.0</v>
      </c>
      <c r="C303" s="1">
        <v>34.0</v>
      </c>
      <c r="D303" s="1" t="s">
        <v>55</v>
      </c>
      <c r="E303" s="1">
        <v>74031.0</v>
      </c>
    </row>
    <row r="304">
      <c r="A304" s="1">
        <v>33.0</v>
      </c>
      <c r="B304" s="1">
        <v>1.0</v>
      </c>
      <c r="C304" s="1">
        <v>60.0</v>
      </c>
      <c r="D304" s="1" t="s">
        <v>254</v>
      </c>
      <c r="E304" s="1">
        <v>73805.0</v>
      </c>
    </row>
    <row r="305">
      <c r="A305" s="1">
        <v>20.0</v>
      </c>
      <c r="B305" s="1">
        <v>33.0</v>
      </c>
      <c r="C305" s="1">
        <v>14.0</v>
      </c>
      <c r="D305" s="1" t="s">
        <v>141</v>
      </c>
      <c r="E305" s="1">
        <v>73745.0</v>
      </c>
    </row>
    <row r="306">
      <c r="A306" s="1">
        <v>2.0</v>
      </c>
      <c r="B306" s="1">
        <v>5.0</v>
      </c>
      <c r="C306" s="1">
        <v>34.0</v>
      </c>
      <c r="D306" s="1" t="s">
        <v>55</v>
      </c>
      <c r="E306" s="1">
        <v>73434.0</v>
      </c>
    </row>
    <row r="307">
      <c r="A307" s="1">
        <v>22.0</v>
      </c>
      <c r="B307" s="1">
        <v>8.0</v>
      </c>
      <c r="C307" s="1">
        <v>34.0</v>
      </c>
      <c r="D307" s="1" t="s">
        <v>55</v>
      </c>
      <c r="E307" s="1">
        <v>73407.0</v>
      </c>
    </row>
    <row r="308">
      <c r="A308" s="1">
        <v>1.0</v>
      </c>
      <c r="B308" s="1">
        <v>19.0</v>
      </c>
      <c r="C308" s="1">
        <v>11.0</v>
      </c>
      <c r="D308" s="1" t="s">
        <v>93</v>
      </c>
      <c r="E308" s="1">
        <v>73190.0</v>
      </c>
    </row>
    <row r="309">
      <c r="A309" s="1">
        <v>19.0</v>
      </c>
      <c r="B309" s="1">
        <v>1.0</v>
      </c>
      <c r="C309" s="1">
        <v>19.0</v>
      </c>
      <c r="D309" s="1" t="s">
        <v>72</v>
      </c>
      <c r="E309" s="1">
        <v>73021.0</v>
      </c>
    </row>
    <row r="310">
      <c r="A310" s="1">
        <v>2.0</v>
      </c>
      <c r="B310" s="1">
        <v>5.0</v>
      </c>
      <c r="C310" s="1">
        <v>21.0</v>
      </c>
      <c r="D310" s="1" t="s">
        <v>149</v>
      </c>
      <c r="E310" s="1">
        <v>72911.0</v>
      </c>
    </row>
    <row r="311">
      <c r="A311" s="1">
        <v>1.0</v>
      </c>
      <c r="B311" s="1">
        <v>1.0</v>
      </c>
      <c r="C311" s="1">
        <v>12.0</v>
      </c>
      <c r="D311" s="1" t="s">
        <v>256</v>
      </c>
      <c r="E311" s="1">
        <v>72656.0</v>
      </c>
    </row>
    <row r="312">
      <c r="A312" s="1">
        <v>3.0</v>
      </c>
      <c r="B312" s="1">
        <v>8.0</v>
      </c>
      <c r="C312" s="1">
        <v>39.0</v>
      </c>
      <c r="D312" s="1" t="s">
        <v>257</v>
      </c>
      <c r="E312" s="1">
        <v>72490.0</v>
      </c>
    </row>
    <row r="313">
      <c r="A313" s="1">
        <v>31.0</v>
      </c>
      <c r="B313" s="1">
        <v>7.0</v>
      </c>
      <c r="C313" s="1">
        <v>26.0</v>
      </c>
      <c r="D313" s="1" t="s">
        <v>258</v>
      </c>
      <c r="E313" s="1">
        <v>72432.0</v>
      </c>
    </row>
    <row r="314">
      <c r="A314" s="1">
        <v>29.0</v>
      </c>
      <c r="B314" s="1">
        <v>13.0</v>
      </c>
      <c r="C314" s="1">
        <v>24.0</v>
      </c>
      <c r="D314" s="1" t="s">
        <v>148</v>
      </c>
      <c r="E314" s="1">
        <v>72195.0</v>
      </c>
    </row>
    <row r="315">
      <c r="A315" s="1">
        <v>20.0</v>
      </c>
      <c r="B315" s="1">
        <v>33.0</v>
      </c>
      <c r="C315" s="1">
        <v>3.0</v>
      </c>
      <c r="D315" s="1" t="s">
        <v>155</v>
      </c>
      <c r="E315" s="1">
        <v>72117.0</v>
      </c>
    </row>
    <row r="316">
      <c r="A316" s="1">
        <v>39.0</v>
      </c>
      <c r="B316" s="1">
        <v>11.0</v>
      </c>
      <c r="C316" s="1">
        <v>15.0</v>
      </c>
      <c r="D316" s="1" t="s">
        <v>116</v>
      </c>
      <c r="E316" s="1">
        <v>71971.0</v>
      </c>
    </row>
    <row r="317">
      <c r="A317" s="1">
        <v>14.0</v>
      </c>
      <c r="B317" s="1">
        <v>40.0</v>
      </c>
      <c r="C317" s="1">
        <v>88.0</v>
      </c>
      <c r="D317" s="1" t="s">
        <v>259</v>
      </c>
      <c r="E317" s="1">
        <v>71893.0</v>
      </c>
    </row>
    <row r="318">
      <c r="A318" s="1">
        <v>16.0</v>
      </c>
      <c r="B318" s="1">
        <v>5.0</v>
      </c>
      <c r="C318" s="1">
        <v>65.0</v>
      </c>
      <c r="D318" s="1" t="s">
        <v>182</v>
      </c>
      <c r="E318" s="1">
        <v>71645.0</v>
      </c>
    </row>
    <row r="319">
      <c r="A319" s="1">
        <v>25.0</v>
      </c>
      <c r="B319" s="1">
        <v>60.0</v>
      </c>
      <c r="C319" s="1">
        <v>1.0</v>
      </c>
      <c r="D319" s="1" t="s">
        <v>87</v>
      </c>
      <c r="E319" s="1">
        <v>71494.0</v>
      </c>
    </row>
    <row r="320">
      <c r="A320" s="1">
        <v>23.0</v>
      </c>
      <c r="B320" s="1">
        <v>1.0</v>
      </c>
      <c r="C320" s="1">
        <v>14.0</v>
      </c>
      <c r="D320" s="1" t="s">
        <v>141</v>
      </c>
      <c r="E320" s="1">
        <v>71143.0</v>
      </c>
    </row>
    <row r="321">
      <c r="A321" s="1">
        <v>16.0</v>
      </c>
      <c r="B321" s="1">
        <v>1.0</v>
      </c>
      <c r="C321" s="1">
        <v>231.0</v>
      </c>
      <c r="D321" s="1" t="s">
        <v>260</v>
      </c>
      <c r="E321" s="1">
        <v>71131.0</v>
      </c>
    </row>
    <row r="322">
      <c r="A322" s="1">
        <v>11.0</v>
      </c>
      <c r="B322" s="1">
        <v>17.0</v>
      </c>
      <c r="C322" s="1">
        <v>56.0</v>
      </c>
      <c r="D322" s="1" t="s">
        <v>261</v>
      </c>
      <c r="E322" s="1">
        <v>70851.0</v>
      </c>
    </row>
    <row r="323">
      <c r="A323" s="1">
        <v>12.0</v>
      </c>
      <c r="B323" s="1">
        <v>13.0</v>
      </c>
      <c r="C323" s="1">
        <v>8.0</v>
      </c>
      <c r="D323" s="1" t="s">
        <v>262</v>
      </c>
      <c r="E323" s="1">
        <v>70851.0</v>
      </c>
    </row>
    <row r="324">
      <c r="A324" s="1">
        <v>30.0</v>
      </c>
      <c r="B324" s="1">
        <v>1.0</v>
      </c>
      <c r="C324" s="1">
        <v>19.0</v>
      </c>
      <c r="D324" s="1" t="s">
        <v>72</v>
      </c>
      <c r="E324" s="1">
        <v>69589.0</v>
      </c>
    </row>
    <row r="325">
      <c r="A325" s="1">
        <v>39.0</v>
      </c>
      <c r="B325" s="1">
        <v>11.0</v>
      </c>
      <c r="C325" s="1">
        <v>44.0</v>
      </c>
      <c r="D325" s="1" t="s">
        <v>173</v>
      </c>
      <c r="E325" s="1">
        <v>69405.0</v>
      </c>
    </row>
    <row r="326">
      <c r="A326" s="1">
        <v>5.0</v>
      </c>
      <c r="B326" s="1">
        <v>3.0</v>
      </c>
      <c r="C326" s="1">
        <v>91.0</v>
      </c>
      <c r="D326" s="1" t="s">
        <v>167</v>
      </c>
      <c r="E326" s="1">
        <v>69386.0</v>
      </c>
    </row>
    <row r="327">
      <c r="A327" s="1">
        <v>15.0</v>
      </c>
      <c r="B327" s="1">
        <v>54.0</v>
      </c>
      <c r="C327" s="1">
        <v>191.0</v>
      </c>
      <c r="D327" s="1" t="s">
        <v>263</v>
      </c>
      <c r="E327" s="1">
        <v>69360.0</v>
      </c>
    </row>
    <row r="328">
      <c r="A328" s="1">
        <v>29.0</v>
      </c>
      <c r="B328" s="1">
        <v>1.0</v>
      </c>
      <c r="C328" s="1">
        <v>67.0</v>
      </c>
      <c r="D328" s="1" t="s">
        <v>213</v>
      </c>
      <c r="E328" s="1">
        <v>69184.0</v>
      </c>
    </row>
    <row r="329">
      <c r="A329" s="1">
        <v>28.0</v>
      </c>
      <c r="B329" s="1">
        <v>2.0</v>
      </c>
      <c r="C329" s="1">
        <v>45.0</v>
      </c>
      <c r="D329" s="1" t="s">
        <v>171</v>
      </c>
      <c r="E329" s="1">
        <v>68984.0</v>
      </c>
    </row>
    <row r="330">
      <c r="A330" s="1">
        <v>15.0</v>
      </c>
      <c r="B330" s="1">
        <v>54.0</v>
      </c>
      <c r="C330" s="1">
        <v>76.0</v>
      </c>
      <c r="D330" s="1" t="s">
        <v>264</v>
      </c>
      <c r="E330" s="1">
        <v>68801.0</v>
      </c>
    </row>
    <row r="331">
      <c r="A331" s="1">
        <v>29.0</v>
      </c>
      <c r="B331" s="1">
        <v>4.0</v>
      </c>
      <c r="C331" s="1">
        <v>17.0</v>
      </c>
      <c r="D331" s="1" t="s">
        <v>218</v>
      </c>
      <c r="E331" s="1">
        <v>68566.0</v>
      </c>
    </row>
    <row r="332">
      <c r="A332" s="1">
        <v>39.0</v>
      </c>
      <c r="B332" s="1">
        <v>56.0</v>
      </c>
      <c r="C332" s="1">
        <v>16.0</v>
      </c>
      <c r="D332" s="1" t="s">
        <v>168</v>
      </c>
      <c r="E332" s="1">
        <v>68192.0</v>
      </c>
    </row>
    <row r="333">
      <c r="A333" s="1">
        <v>39.0</v>
      </c>
      <c r="B333" s="1">
        <v>57.0</v>
      </c>
      <c r="C333" s="1">
        <v>34.0</v>
      </c>
      <c r="D333" s="1" t="s">
        <v>55</v>
      </c>
      <c r="E333" s="1">
        <v>67886.0</v>
      </c>
    </row>
    <row r="334">
      <c r="A334" s="1">
        <v>14.0</v>
      </c>
      <c r="B334" s="1">
        <v>39.0</v>
      </c>
      <c r="C334" s="1">
        <v>181.0</v>
      </c>
      <c r="D334" s="1" t="s">
        <v>233</v>
      </c>
      <c r="E334" s="1">
        <v>67469.0</v>
      </c>
    </row>
    <row r="335">
      <c r="A335" s="1">
        <v>27.0</v>
      </c>
      <c r="B335" s="1">
        <v>10.0</v>
      </c>
      <c r="C335" s="1">
        <v>64.0</v>
      </c>
      <c r="D335" s="1" t="s">
        <v>63</v>
      </c>
      <c r="E335" s="1">
        <v>67043.0</v>
      </c>
    </row>
    <row r="336">
      <c r="A336" s="1">
        <v>17.0</v>
      </c>
      <c r="B336" s="1">
        <v>13.0</v>
      </c>
      <c r="C336" s="1">
        <v>77.0</v>
      </c>
      <c r="D336" s="1" t="s">
        <v>97</v>
      </c>
      <c r="E336" s="1">
        <v>67009.0</v>
      </c>
    </row>
    <row r="337">
      <c r="A337" s="1">
        <v>20.0</v>
      </c>
      <c r="B337" s="1">
        <v>31.0</v>
      </c>
      <c r="C337" s="1">
        <v>73.0</v>
      </c>
      <c r="D337" s="1" t="s">
        <v>265</v>
      </c>
      <c r="E337" s="1">
        <v>66976.0</v>
      </c>
    </row>
    <row r="338">
      <c r="A338" s="1">
        <v>26.0</v>
      </c>
      <c r="B338" s="1">
        <v>1.0</v>
      </c>
      <c r="C338" s="1">
        <v>4.0</v>
      </c>
      <c r="D338" s="1" t="s">
        <v>266</v>
      </c>
      <c r="E338" s="1">
        <v>66973.0</v>
      </c>
    </row>
    <row r="339">
      <c r="A339" s="1">
        <v>39.0</v>
      </c>
      <c r="B339" s="1">
        <v>56.0</v>
      </c>
      <c r="C339" s="1">
        <v>29.0</v>
      </c>
      <c r="D339" s="1" t="s">
        <v>267</v>
      </c>
      <c r="E339" s="1">
        <v>66606.0</v>
      </c>
    </row>
    <row r="340">
      <c r="A340" s="1">
        <v>20.0</v>
      </c>
      <c r="B340" s="1">
        <v>8.0</v>
      </c>
      <c r="C340" s="1">
        <v>70.0</v>
      </c>
      <c r="D340" s="1" t="s">
        <v>183</v>
      </c>
      <c r="E340" s="1">
        <v>66478.0</v>
      </c>
    </row>
    <row r="341">
      <c r="A341" s="1">
        <v>40.0</v>
      </c>
      <c r="B341" s="1">
        <v>1.0</v>
      </c>
      <c r="C341" s="1">
        <v>161.0</v>
      </c>
      <c r="D341" s="1" t="s">
        <v>268</v>
      </c>
      <c r="E341" s="1">
        <v>66253.0</v>
      </c>
    </row>
    <row r="342">
      <c r="A342" s="1">
        <v>8.0</v>
      </c>
      <c r="B342" s="1">
        <v>10.0</v>
      </c>
      <c r="C342" s="1">
        <v>56.0</v>
      </c>
      <c r="D342" s="1" t="s">
        <v>261</v>
      </c>
      <c r="E342" s="1">
        <v>66174.0</v>
      </c>
    </row>
    <row r="343">
      <c r="A343" s="1">
        <v>33.0</v>
      </c>
      <c r="B343" s="1">
        <v>1.0</v>
      </c>
      <c r="C343" s="1">
        <v>61.0</v>
      </c>
      <c r="D343" s="1" t="s">
        <v>145</v>
      </c>
      <c r="E343" s="1">
        <v>66020.0</v>
      </c>
    </row>
    <row r="344">
      <c r="A344" s="1">
        <v>26.0</v>
      </c>
      <c r="B344" s="1">
        <v>5.0</v>
      </c>
      <c r="C344" s="1">
        <v>45.0</v>
      </c>
      <c r="D344" s="1" t="s">
        <v>171</v>
      </c>
      <c r="E344" s="1">
        <v>65956.0</v>
      </c>
    </row>
    <row r="345">
      <c r="A345" s="1">
        <v>31.0</v>
      </c>
      <c r="B345" s="1">
        <v>12.0</v>
      </c>
      <c r="C345" s="1">
        <v>15.0</v>
      </c>
      <c r="D345" s="1" t="s">
        <v>116</v>
      </c>
      <c r="E345" s="1">
        <v>65570.0</v>
      </c>
    </row>
    <row r="346">
      <c r="A346" s="1">
        <v>5.0</v>
      </c>
      <c r="B346" s="1">
        <v>17.0</v>
      </c>
      <c r="C346" s="1">
        <v>9.0</v>
      </c>
      <c r="D346" s="1" t="s">
        <v>124</v>
      </c>
      <c r="E346" s="1">
        <v>65404.0</v>
      </c>
    </row>
    <row r="347">
      <c r="A347" s="1">
        <v>20.0</v>
      </c>
      <c r="B347" s="1">
        <v>33.0</v>
      </c>
      <c r="C347" s="1">
        <v>29.0</v>
      </c>
      <c r="D347" s="1" t="s">
        <v>270</v>
      </c>
      <c r="E347" s="1">
        <v>65385.0</v>
      </c>
    </row>
    <row r="348">
      <c r="A348" s="1">
        <v>5.0</v>
      </c>
      <c r="B348" s="1">
        <v>3.0</v>
      </c>
      <c r="C348" s="1">
        <v>70.0</v>
      </c>
      <c r="D348" s="1" t="s">
        <v>183</v>
      </c>
      <c r="E348" s="1">
        <v>64474.0</v>
      </c>
    </row>
    <row r="349">
      <c r="A349" s="1">
        <v>3.0</v>
      </c>
      <c r="B349" s="1">
        <v>8.0</v>
      </c>
      <c r="C349" s="1">
        <v>26.0</v>
      </c>
      <c r="D349" s="1" t="s">
        <v>271</v>
      </c>
      <c r="E349" s="1">
        <v>64351.0</v>
      </c>
    </row>
    <row r="350">
      <c r="A350" s="1">
        <v>20.0</v>
      </c>
      <c r="B350" s="1">
        <v>6.0</v>
      </c>
      <c r="C350" s="1">
        <v>12.0</v>
      </c>
      <c r="D350" s="1" t="s">
        <v>272</v>
      </c>
      <c r="E350" s="1">
        <v>64218.0</v>
      </c>
    </row>
    <row r="351">
      <c r="A351" s="1">
        <v>39.0</v>
      </c>
      <c r="B351" s="1">
        <v>11.0</v>
      </c>
      <c r="C351" s="1">
        <v>49.0</v>
      </c>
      <c r="D351" s="1" t="s">
        <v>134</v>
      </c>
      <c r="E351" s="1">
        <v>63841.0</v>
      </c>
    </row>
    <row r="352">
      <c r="A352" s="1">
        <v>5.0</v>
      </c>
      <c r="B352" s="1">
        <v>11.0</v>
      </c>
      <c r="C352" s="1">
        <v>87.0</v>
      </c>
      <c r="D352" s="1" t="s">
        <v>273</v>
      </c>
      <c r="E352" s="1">
        <v>63840.0</v>
      </c>
    </row>
    <row r="353">
      <c r="A353" s="1">
        <v>2.0</v>
      </c>
      <c r="B353" s="1">
        <v>3.0</v>
      </c>
      <c r="C353" s="1">
        <v>32.0</v>
      </c>
      <c r="D353" s="1" t="s">
        <v>127</v>
      </c>
      <c r="E353" s="1">
        <v>63517.0</v>
      </c>
    </row>
    <row r="354">
      <c r="A354" s="1">
        <v>8.0</v>
      </c>
      <c r="B354" s="1">
        <v>5.0</v>
      </c>
      <c r="C354" s="1">
        <v>11.0</v>
      </c>
      <c r="D354" s="1" t="s">
        <v>274</v>
      </c>
      <c r="E354" s="1">
        <v>63071.0</v>
      </c>
    </row>
    <row r="355">
      <c r="A355" s="1">
        <v>33.0</v>
      </c>
      <c r="B355" s="1">
        <v>1.0</v>
      </c>
      <c r="C355" s="1">
        <v>52.0</v>
      </c>
      <c r="D355" s="1" t="s">
        <v>80</v>
      </c>
      <c r="E355" s="1">
        <v>63013.0</v>
      </c>
    </row>
    <row r="356">
      <c r="A356" s="1">
        <v>15.0</v>
      </c>
      <c r="B356" s="1">
        <v>80.0</v>
      </c>
      <c r="C356" s="1">
        <v>189.0</v>
      </c>
      <c r="D356" s="1" t="s">
        <v>275</v>
      </c>
      <c r="E356" s="1">
        <v>62475.0</v>
      </c>
    </row>
    <row r="357">
      <c r="A357" s="1">
        <v>32.0</v>
      </c>
      <c r="B357" s="1">
        <v>45.0</v>
      </c>
      <c r="C357" s="1">
        <v>69.0</v>
      </c>
      <c r="D357" s="1" t="s">
        <v>276</v>
      </c>
      <c r="E357" s="1">
        <v>62319.0</v>
      </c>
    </row>
    <row r="358">
      <c r="A358" s="1">
        <v>18.0</v>
      </c>
      <c r="B358" s="1">
        <v>15.0</v>
      </c>
      <c r="C358" s="1">
        <v>5.0</v>
      </c>
      <c r="D358" s="1" t="s">
        <v>277</v>
      </c>
      <c r="E358" s="1">
        <v>61914.0</v>
      </c>
    </row>
    <row r="359">
      <c r="A359" s="1">
        <v>16.0</v>
      </c>
      <c r="B359" s="1">
        <v>5.0</v>
      </c>
      <c r="C359" s="1">
        <v>97.0</v>
      </c>
      <c r="D359" s="1" t="s">
        <v>278</v>
      </c>
      <c r="E359" s="1">
        <v>61782.0</v>
      </c>
    </row>
    <row r="360">
      <c r="A360" s="1">
        <v>15.0</v>
      </c>
      <c r="B360" s="1">
        <v>80.0</v>
      </c>
      <c r="C360" s="1">
        <v>96.0</v>
      </c>
      <c r="D360" s="1" t="s">
        <v>279</v>
      </c>
      <c r="E360" s="1">
        <v>61166.0</v>
      </c>
    </row>
    <row r="361">
      <c r="A361" s="1">
        <v>19.0</v>
      </c>
      <c r="B361" s="1">
        <v>1.0</v>
      </c>
      <c r="C361" s="1">
        <v>27.0</v>
      </c>
      <c r="D361" s="1" t="s">
        <v>52</v>
      </c>
      <c r="E361" s="1">
        <v>61087.0</v>
      </c>
    </row>
    <row r="362">
      <c r="A362" s="1">
        <v>20.0</v>
      </c>
      <c r="B362" s="1">
        <v>31.0</v>
      </c>
      <c r="C362" s="1">
        <v>44.0</v>
      </c>
      <c r="D362" s="1" t="s">
        <v>173</v>
      </c>
      <c r="E362" s="1">
        <v>60950.0</v>
      </c>
    </row>
    <row r="363">
      <c r="A363" s="1">
        <v>6.0</v>
      </c>
      <c r="B363" s="1">
        <v>7.0</v>
      </c>
      <c r="C363" s="1">
        <v>4.0</v>
      </c>
      <c r="D363" s="1" t="s">
        <v>244</v>
      </c>
      <c r="E363" s="1">
        <v>60832.0</v>
      </c>
    </row>
    <row r="364">
      <c r="A364" s="1">
        <v>20.0</v>
      </c>
      <c r="B364" s="1">
        <v>32.0</v>
      </c>
      <c r="C364" s="1">
        <v>37.0</v>
      </c>
      <c r="D364" s="1" t="s">
        <v>73</v>
      </c>
      <c r="E364" s="1">
        <v>60276.0</v>
      </c>
    </row>
    <row r="365">
      <c r="A365" s="1">
        <v>14.0</v>
      </c>
      <c r="B365" s="1">
        <v>38.0</v>
      </c>
      <c r="C365" s="1">
        <v>4.0</v>
      </c>
      <c r="D365" s="1" t="s">
        <v>209</v>
      </c>
      <c r="E365" s="1">
        <v>60204.0</v>
      </c>
    </row>
    <row r="366">
      <c r="A366" s="1">
        <v>39.0</v>
      </c>
      <c r="B366" s="1">
        <v>11.0</v>
      </c>
      <c r="C366" s="1">
        <v>40.0</v>
      </c>
      <c r="D366" s="1" t="s">
        <v>175</v>
      </c>
      <c r="E366" s="1">
        <v>60164.0</v>
      </c>
    </row>
    <row r="367">
      <c r="A367" s="1">
        <v>13.0</v>
      </c>
      <c r="B367" s="1">
        <v>1.0</v>
      </c>
      <c r="C367" s="1">
        <v>35.0</v>
      </c>
      <c r="D367" s="1" t="s">
        <v>136</v>
      </c>
      <c r="E367" s="1">
        <v>60034.0</v>
      </c>
    </row>
    <row r="368">
      <c r="A368" s="1">
        <v>31.0</v>
      </c>
      <c r="B368" s="1">
        <v>9.0</v>
      </c>
      <c r="C368" s="1">
        <v>28.0</v>
      </c>
      <c r="D368" s="1" t="s">
        <v>281</v>
      </c>
      <c r="E368" s="1">
        <v>60022.0</v>
      </c>
    </row>
    <row r="369">
      <c r="A369" s="1">
        <v>34.0</v>
      </c>
      <c r="B369" s="1">
        <v>1.0</v>
      </c>
      <c r="C369" s="1">
        <v>57.0</v>
      </c>
      <c r="D369" s="1" t="s">
        <v>89</v>
      </c>
      <c r="E369" s="1">
        <v>59500.0</v>
      </c>
    </row>
    <row r="370">
      <c r="A370" s="1">
        <v>34.0</v>
      </c>
      <c r="B370" s="1">
        <v>1.0</v>
      </c>
      <c r="C370" s="1">
        <v>4.0</v>
      </c>
      <c r="D370" s="1" t="s">
        <v>209</v>
      </c>
      <c r="E370" s="1">
        <v>59496.0</v>
      </c>
    </row>
    <row r="371">
      <c r="A371" s="1">
        <v>19.0</v>
      </c>
      <c r="B371" s="1">
        <v>1.0</v>
      </c>
      <c r="C371" s="1">
        <v>25.0</v>
      </c>
      <c r="D371" s="1" t="s">
        <v>223</v>
      </c>
      <c r="E371" s="1">
        <v>59428.0</v>
      </c>
    </row>
    <row r="372">
      <c r="A372" s="1">
        <v>15.0</v>
      </c>
      <c r="B372" s="1">
        <v>6.0</v>
      </c>
      <c r="C372" s="1">
        <v>185.0</v>
      </c>
      <c r="D372" s="1" t="s">
        <v>282</v>
      </c>
      <c r="E372" s="1">
        <v>59286.0</v>
      </c>
    </row>
    <row r="373">
      <c r="A373" s="1">
        <v>22.0</v>
      </c>
      <c r="B373" s="1">
        <v>22.0</v>
      </c>
      <c r="C373" s="1">
        <v>7.0</v>
      </c>
      <c r="D373" s="1" t="s">
        <v>58</v>
      </c>
      <c r="E373" s="1">
        <v>59190.0</v>
      </c>
    </row>
    <row r="374">
      <c r="A374" s="1">
        <v>25.0</v>
      </c>
      <c r="B374" s="1">
        <v>3.0</v>
      </c>
      <c r="C374" s="1">
        <v>10.0</v>
      </c>
      <c r="D374" s="1" t="s">
        <v>140</v>
      </c>
      <c r="E374" s="1">
        <v>59126.0</v>
      </c>
    </row>
    <row r="375">
      <c r="A375" s="1">
        <v>1.0</v>
      </c>
      <c r="B375" s="1">
        <v>1.0</v>
      </c>
      <c r="C375" s="1">
        <v>6.0</v>
      </c>
      <c r="D375" s="1" t="s">
        <v>185</v>
      </c>
      <c r="E375" s="1">
        <v>59122.0</v>
      </c>
    </row>
    <row r="376">
      <c r="A376" s="1">
        <v>22.0</v>
      </c>
      <c r="B376" s="1">
        <v>1.0</v>
      </c>
      <c r="C376" s="1">
        <v>3.0</v>
      </c>
      <c r="D376" s="1" t="s">
        <v>155</v>
      </c>
      <c r="E376" s="1">
        <v>58956.0</v>
      </c>
    </row>
    <row r="377">
      <c r="A377" s="1">
        <v>15.0</v>
      </c>
      <c r="B377" s="1">
        <v>6.0</v>
      </c>
      <c r="C377" s="1">
        <v>184.0</v>
      </c>
      <c r="D377" s="1" t="s">
        <v>232</v>
      </c>
      <c r="E377" s="1">
        <v>58953.0</v>
      </c>
    </row>
    <row r="378">
      <c r="A378" s="1">
        <v>11.0</v>
      </c>
      <c r="B378" s="1">
        <v>17.0</v>
      </c>
      <c r="C378" s="1">
        <v>60.0</v>
      </c>
      <c r="D378" s="1" t="s">
        <v>254</v>
      </c>
      <c r="E378" s="1">
        <v>58877.0</v>
      </c>
    </row>
    <row r="379">
      <c r="A379" s="1">
        <v>15.0</v>
      </c>
      <c r="B379" s="1">
        <v>80.0</v>
      </c>
      <c r="C379" s="1">
        <v>183.0</v>
      </c>
      <c r="D379" s="1" t="s">
        <v>284</v>
      </c>
      <c r="E379" s="1">
        <v>58874.0</v>
      </c>
    </row>
    <row r="380">
      <c r="A380" s="1">
        <v>12.0</v>
      </c>
      <c r="B380" s="1">
        <v>2.0</v>
      </c>
      <c r="C380" s="1">
        <v>29.0</v>
      </c>
      <c r="D380" s="1" t="s">
        <v>270</v>
      </c>
      <c r="E380" s="1">
        <v>58867.0</v>
      </c>
    </row>
    <row r="381">
      <c r="A381" s="1">
        <v>40.0</v>
      </c>
      <c r="B381" s="1">
        <v>58.0</v>
      </c>
      <c r="C381" s="1">
        <v>26.0</v>
      </c>
      <c r="D381" s="1" t="s">
        <v>252</v>
      </c>
      <c r="E381" s="1">
        <v>58755.0</v>
      </c>
    </row>
    <row r="382">
      <c r="A382" s="1">
        <v>2.0</v>
      </c>
      <c r="B382" s="1">
        <v>1.0</v>
      </c>
      <c r="C382" s="1">
        <v>31.0</v>
      </c>
      <c r="D382" s="1" t="s">
        <v>285</v>
      </c>
      <c r="E382" s="1">
        <v>58715.0</v>
      </c>
    </row>
    <row r="383">
      <c r="A383" s="1">
        <v>20.0</v>
      </c>
      <c r="B383" s="1">
        <v>31.0</v>
      </c>
      <c r="C383" s="1">
        <v>9.0</v>
      </c>
      <c r="D383" s="1" t="s">
        <v>124</v>
      </c>
      <c r="E383" s="1">
        <v>58083.0</v>
      </c>
    </row>
    <row r="384">
      <c r="A384" s="1">
        <v>28.0</v>
      </c>
      <c r="B384" s="1">
        <v>1.0</v>
      </c>
      <c r="C384" s="1">
        <v>48.0</v>
      </c>
      <c r="D384" s="1" t="s">
        <v>286</v>
      </c>
      <c r="E384" s="1">
        <v>57941.0</v>
      </c>
    </row>
    <row r="385">
      <c r="A385" s="1">
        <v>8.0</v>
      </c>
      <c r="B385" s="1">
        <v>10.0</v>
      </c>
      <c r="C385" s="1">
        <v>61.0</v>
      </c>
      <c r="D385" s="1" t="s">
        <v>145</v>
      </c>
      <c r="E385" s="1">
        <v>57927.0</v>
      </c>
    </row>
    <row r="386">
      <c r="A386" s="1">
        <v>20.0</v>
      </c>
      <c r="B386" s="1">
        <v>33.0</v>
      </c>
      <c r="C386" s="1">
        <v>27.0</v>
      </c>
      <c r="D386" s="1" t="s">
        <v>52</v>
      </c>
      <c r="E386" s="1">
        <v>57911.0</v>
      </c>
    </row>
    <row r="387">
      <c r="A387" s="1">
        <v>16.0</v>
      </c>
      <c r="B387" s="1">
        <v>5.0</v>
      </c>
      <c r="C387" s="1">
        <v>66.0</v>
      </c>
      <c r="D387" s="1" t="s">
        <v>132</v>
      </c>
      <c r="E387" s="1">
        <v>57828.0</v>
      </c>
    </row>
    <row r="388">
      <c r="A388" s="1">
        <v>17.0</v>
      </c>
      <c r="B388" s="1">
        <v>3.0</v>
      </c>
      <c r="C388" s="1">
        <v>2.0</v>
      </c>
      <c r="D388" s="1" t="s">
        <v>119</v>
      </c>
      <c r="E388" s="1">
        <v>57457.0</v>
      </c>
    </row>
    <row r="389">
      <c r="A389" s="1">
        <v>16.0</v>
      </c>
      <c r="B389" s="1">
        <v>1.0</v>
      </c>
      <c r="C389" s="1">
        <v>242.0</v>
      </c>
      <c r="D389" s="1" t="s">
        <v>287</v>
      </c>
      <c r="E389" s="1">
        <v>57387.0</v>
      </c>
    </row>
    <row r="390">
      <c r="A390" s="1">
        <v>23.0</v>
      </c>
      <c r="B390" s="1">
        <v>3.0</v>
      </c>
      <c r="C390" s="1">
        <v>5.0</v>
      </c>
      <c r="D390" s="1" t="s">
        <v>160</v>
      </c>
      <c r="E390" s="1">
        <v>57168.0</v>
      </c>
    </row>
    <row r="391">
      <c r="A391" s="1">
        <v>12.0</v>
      </c>
      <c r="B391" s="1">
        <v>2.0</v>
      </c>
      <c r="C391" s="1">
        <v>2.0</v>
      </c>
      <c r="D391" s="1" t="s">
        <v>112</v>
      </c>
      <c r="E391" s="1">
        <v>56725.0</v>
      </c>
    </row>
    <row r="392">
      <c r="A392" s="1">
        <v>27.0</v>
      </c>
      <c r="B392" s="1">
        <v>1.0</v>
      </c>
      <c r="C392" s="1">
        <v>63.0</v>
      </c>
      <c r="D392" s="1" t="s">
        <v>144</v>
      </c>
      <c r="E392" s="1">
        <v>56609.0</v>
      </c>
    </row>
    <row r="393">
      <c r="A393" s="1">
        <v>2.0</v>
      </c>
      <c r="B393" s="1">
        <v>3.0</v>
      </c>
      <c r="C393" s="1">
        <v>13.0</v>
      </c>
      <c r="D393" s="1" t="s">
        <v>99</v>
      </c>
      <c r="E393" s="1">
        <v>56590.0</v>
      </c>
    </row>
    <row r="394">
      <c r="A394" s="1">
        <v>25.0</v>
      </c>
      <c r="B394" s="1">
        <v>1.0</v>
      </c>
      <c r="C394" s="1">
        <v>49.0</v>
      </c>
      <c r="D394" s="1" t="s">
        <v>134</v>
      </c>
      <c r="E394" s="1">
        <v>56324.0</v>
      </c>
    </row>
    <row r="395">
      <c r="A395" s="1">
        <v>15.0</v>
      </c>
      <c r="B395" s="1">
        <v>6.0</v>
      </c>
      <c r="C395" s="1">
        <v>56.0</v>
      </c>
      <c r="D395" s="1" t="s">
        <v>261</v>
      </c>
      <c r="E395" s="1">
        <v>56304.0</v>
      </c>
    </row>
    <row r="396">
      <c r="A396" s="1">
        <v>5.0</v>
      </c>
      <c r="B396" s="1">
        <v>9.0</v>
      </c>
      <c r="C396" s="1">
        <v>21.0</v>
      </c>
      <c r="D396" s="1" t="s">
        <v>122</v>
      </c>
      <c r="E396" s="1">
        <v>56125.0</v>
      </c>
    </row>
    <row r="397">
      <c r="A397" s="1">
        <v>32.0</v>
      </c>
      <c r="B397" s="1">
        <v>45.0</v>
      </c>
      <c r="C397" s="1">
        <v>52.0</v>
      </c>
      <c r="D397" s="1" t="s">
        <v>80</v>
      </c>
      <c r="E397" s="1">
        <v>56019.0</v>
      </c>
    </row>
    <row r="398">
      <c r="A398" s="1">
        <v>26.0</v>
      </c>
      <c r="B398" s="1">
        <v>4.0</v>
      </c>
      <c r="C398" s="1">
        <v>30.0</v>
      </c>
      <c r="D398" s="1" t="s">
        <v>289</v>
      </c>
      <c r="E398" s="1">
        <v>55803.0</v>
      </c>
    </row>
    <row r="399">
      <c r="A399" s="1">
        <v>14.0</v>
      </c>
      <c r="B399" s="1">
        <v>15.0</v>
      </c>
      <c r="C399" s="1">
        <v>6.0</v>
      </c>
      <c r="D399" s="1" t="s">
        <v>107</v>
      </c>
      <c r="E399" s="1">
        <v>55489.0</v>
      </c>
    </row>
    <row r="400">
      <c r="A400" s="1">
        <v>2.0</v>
      </c>
      <c r="B400" s="1">
        <v>5.0</v>
      </c>
      <c r="C400" s="1">
        <v>19.0</v>
      </c>
      <c r="D400" s="1" t="s">
        <v>72</v>
      </c>
      <c r="E400" s="1">
        <v>55230.0</v>
      </c>
    </row>
    <row r="401">
      <c r="A401" s="1">
        <v>23.0</v>
      </c>
      <c r="B401" s="1">
        <v>1.0</v>
      </c>
      <c r="C401" s="1">
        <v>17.0</v>
      </c>
      <c r="D401" s="1" t="s">
        <v>218</v>
      </c>
      <c r="E401" s="1">
        <v>55118.0</v>
      </c>
    </row>
    <row r="402">
      <c r="A402" s="1">
        <v>15.0</v>
      </c>
      <c r="B402" s="1">
        <v>54.0</v>
      </c>
      <c r="C402" s="1">
        <v>54.0</v>
      </c>
      <c r="D402" s="1" t="s">
        <v>241</v>
      </c>
      <c r="E402" s="1">
        <v>54838.0</v>
      </c>
    </row>
    <row r="403">
      <c r="A403" s="1">
        <v>33.0</v>
      </c>
      <c r="B403" s="1">
        <v>33.0</v>
      </c>
      <c r="C403" s="1">
        <v>46.0</v>
      </c>
      <c r="D403" s="1" t="s">
        <v>290</v>
      </c>
      <c r="E403" s="1">
        <v>54314.0</v>
      </c>
    </row>
    <row r="404">
      <c r="A404" s="1">
        <v>8.0</v>
      </c>
      <c r="B404" s="1">
        <v>10.0</v>
      </c>
      <c r="C404" s="1">
        <v>64.0</v>
      </c>
      <c r="D404" s="1" t="s">
        <v>63</v>
      </c>
      <c r="E404" s="1">
        <v>54207.0</v>
      </c>
    </row>
    <row r="405">
      <c r="A405" s="1">
        <v>5.0</v>
      </c>
      <c r="B405" s="1">
        <v>9.0</v>
      </c>
      <c r="C405" s="1">
        <v>20.0</v>
      </c>
      <c r="D405" s="1" t="s">
        <v>291</v>
      </c>
      <c r="E405" s="1">
        <v>54032.0</v>
      </c>
    </row>
    <row r="406">
      <c r="A406" s="1">
        <v>24.0</v>
      </c>
      <c r="B406" s="1">
        <v>2.0</v>
      </c>
      <c r="C406" s="1">
        <v>2.0</v>
      </c>
      <c r="D406" s="1" t="s">
        <v>292</v>
      </c>
      <c r="E406" s="1">
        <v>53957.0</v>
      </c>
    </row>
    <row r="407">
      <c r="A407" s="1">
        <v>11.0</v>
      </c>
      <c r="B407" s="1">
        <v>1.0</v>
      </c>
      <c r="C407" s="1">
        <v>38.0</v>
      </c>
      <c r="D407" s="1" t="s">
        <v>204</v>
      </c>
      <c r="E407" s="1">
        <v>53610.0</v>
      </c>
    </row>
    <row r="408">
      <c r="A408" s="1">
        <v>27.0</v>
      </c>
      <c r="B408" s="1">
        <v>13.0</v>
      </c>
      <c r="C408" s="1">
        <v>8.0</v>
      </c>
      <c r="D408" s="1" t="s">
        <v>189</v>
      </c>
      <c r="E408" s="1">
        <v>53571.0</v>
      </c>
    </row>
    <row r="409">
      <c r="A409" s="1">
        <v>5.0</v>
      </c>
      <c r="B409" s="1">
        <v>9.0</v>
      </c>
      <c r="C409" s="1">
        <v>83.0</v>
      </c>
      <c r="D409" s="1" t="s">
        <v>203</v>
      </c>
      <c r="E409" s="1">
        <v>53195.0</v>
      </c>
    </row>
    <row r="410">
      <c r="A410" s="1">
        <v>4.0</v>
      </c>
      <c r="B410" s="1">
        <v>1.0</v>
      </c>
      <c r="C410" s="1">
        <v>13.0</v>
      </c>
      <c r="D410" s="1" t="s">
        <v>99</v>
      </c>
      <c r="E410" s="1">
        <v>52893.0</v>
      </c>
    </row>
    <row r="411">
      <c r="A411" s="1">
        <v>25.0</v>
      </c>
      <c r="B411" s="1">
        <v>60.0</v>
      </c>
      <c r="C411" s="1">
        <v>2.0</v>
      </c>
      <c r="D411" s="1" t="s">
        <v>119</v>
      </c>
      <c r="E411" s="1">
        <v>52860.0</v>
      </c>
    </row>
    <row r="412">
      <c r="A412" s="1">
        <v>7.0</v>
      </c>
      <c r="B412" s="1">
        <v>1.0</v>
      </c>
      <c r="C412" s="1">
        <v>17.0</v>
      </c>
      <c r="D412" s="1" t="s">
        <v>218</v>
      </c>
      <c r="E412" s="1">
        <v>52733.0</v>
      </c>
    </row>
    <row r="413">
      <c r="A413" s="1">
        <v>13.0</v>
      </c>
      <c r="B413" s="1">
        <v>1.0</v>
      </c>
      <c r="C413" s="1">
        <v>16.0</v>
      </c>
      <c r="D413" s="1" t="s">
        <v>168</v>
      </c>
      <c r="E413" s="1">
        <v>52447.0</v>
      </c>
    </row>
    <row r="414">
      <c r="A414" s="1">
        <v>5.0</v>
      </c>
      <c r="B414" s="1">
        <v>3.0</v>
      </c>
      <c r="C414" s="1">
        <v>3.0</v>
      </c>
      <c r="D414" s="1" t="s">
        <v>155</v>
      </c>
      <c r="E414" s="1">
        <v>52162.0</v>
      </c>
    </row>
    <row r="415">
      <c r="A415" s="1">
        <v>13.0</v>
      </c>
      <c r="B415" s="1">
        <v>10.0</v>
      </c>
      <c r="C415" s="1">
        <v>37.0</v>
      </c>
      <c r="D415" s="1" t="s">
        <v>293</v>
      </c>
      <c r="E415" s="1">
        <v>51839.0</v>
      </c>
    </row>
    <row r="416">
      <c r="A416" s="1">
        <v>17.0</v>
      </c>
      <c r="B416" s="1">
        <v>27.0</v>
      </c>
      <c r="C416" s="1">
        <v>12.0</v>
      </c>
      <c r="D416" s="1" t="s">
        <v>294</v>
      </c>
      <c r="E416" s="1">
        <v>51741.0</v>
      </c>
    </row>
    <row r="417">
      <c r="A417" s="1">
        <v>18.0</v>
      </c>
      <c r="B417" s="1">
        <v>1.0</v>
      </c>
      <c r="C417" s="1">
        <v>23.0</v>
      </c>
      <c r="D417" s="1" t="s">
        <v>104</v>
      </c>
      <c r="E417" s="1">
        <v>51599.0</v>
      </c>
    </row>
    <row r="418">
      <c r="A418" s="1">
        <v>20.0</v>
      </c>
      <c r="B418" s="1">
        <v>34.0</v>
      </c>
      <c r="C418" s="1">
        <v>58.0</v>
      </c>
      <c r="D418" s="1" t="s">
        <v>154</v>
      </c>
      <c r="E418" s="1">
        <v>51532.0</v>
      </c>
    </row>
    <row r="419">
      <c r="A419" s="1">
        <v>11.0</v>
      </c>
      <c r="B419" s="1">
        <v>8.0</v>
      </c>
      <c r="C419" s="1">
        <v>6.0</v>
      </c>
      <c r="D419" s="1" t="s">
        <v>185</v>
      </c>
      <c r="E419" s="1">
        <v>50672.0</v>
      </c>
    </row>
    <row r="420">
      <c r="A420" s="1">
        <v>5.0</v>
      </c>
      <c r="B420" s="1">
        <v>9.0</v>
      </c>
      <c r="C420" s="1">
        <v>93.0</v>
      </c>
      <c r="D420" s="1" t="s">
        <v>66</v>
      </c>
      <c r="E420" s="1">
        <v>50605.0</v>
      </c>
    </row>
    <row r="421">
      <c r="A421" s="1">
        <v>15.0</v>
      </c>
      <c r="B421" s="1">
        <v>80.0</v>
      </c>
      <c r="C421" s="1">
        <v>182.0</v>
      </c>
      <c r="D421" s="1" t="s">
        <v>214</v>
      </c>
      <c r="E421" s="1">
        <v>50212.0</v>
      </c>
    </row>
    <row r="422">
      <c r="A422" s="1">
        <v>8.0</v>
      </c>
      <c r="B422" s="1">
        <v>8.0</v>
      </c>
      <c r="C422" s="1">
        <v>54.0</v>
      </c>
      <c r="D422" s="1" t="s">
        <v>241</v>
      </c>
      <c r="E422" s="1">
        <v>50045.0</v>
      </c>
    </row>
    <row r="423">
      <c r="A423" s="1">
        <v>15.0</v>
      </c>
      <c r="B423" s="1">
        <v>6.0</v>
      </c>
      <c r="C423" s="1">
        <v>188.0</v>
      </c>
      <c r="D423" s="1" t="s">
        <v>295</v>
      </c>
      <c r="E423" s="1">
        <v>49778.0</v>
      </c>
    </row>
    <row r="424">
      <c r="A424" s="1">
        <v>17.0</v>
      </c>
      <c r="B424" s="1">
        <v>17.0</v>
      </c>
      <c r="C424" s="1">
        <v>18.0</v>
      </c>
      <c r="D424" s="1" t="s">
        <v>76</v>
      </c>
      <c r="E424" s="1">
        <v>49655.0</v>
      </c>
    </row>
    <row r="425">
      <c r="A425" s="1">
        <v>28.0</v>
      </c>
      <c r="B425" s="1">
        <v>2.0</v>
      </c>
      <c r="C425" s="1">
        <v>11.0</v>
      </c>
      <c r="D425" s="1" t="s">
        <v>93</v>
      </c>
      <c r="E425" s="1">
        <v>49630.0</v>
      </c>
    </row>
    <row r="426">
      <c r="A426" s="1">
        <v>5.0</v>
      </c>
      <c r="B426" s="1">
        <v>9.0</v>
      </c>
      <c r="C426" s="1">
        <v>80.0</v>
      </c>
      <c r="D426" s="1" t="s">
        <v>85</v>
      </c>
      <c r="E426" s="1">
        <v>49275.0</v>
      </c>
    </row>
    <row r="427">
      <c r="A427" s="1">
        <v>30.0</v>
      </c>
      <c r="B427" s="1">
        <v>1.0</v>
      </c>
      <c r="C427" s="1">
        <v>2.0</v>
      </c>
      <c r="D427" s="1" t="s">
        <v>119</v>
      </c>
      <c r="E427" s="1">
        <v>49148.0</v>
      </c>
    </row>
    <row r="428">
      <c r="A428" s="1">
        <v>27.0</v>
      </c>
      <c r="B428" s="1">
        <v>70.0</v>
      </c>
      <c r="C428" s="1">
        <v>66.0</v>
      </c>
      <c r="D428" s="1" t="s">
        <v>132</v>
      </c>
      <c r="E428" s="1">
        <v>48996.0</v>
      </c>
    </row>
    <row r="429">
      <c r="A429" s="1">
        <v>30.0</v>
      </c>
      <c r="B429" s="1">
        <v>1.0</v>
      </c>
      <c r="C429" s="1">
        <v>7.0</v>
      </c>
      <c r="D429" s="1" t="s">
        <v>58</v>
      </c>
      <c r="E429" s="1">
        <v>48890.0</v>
      </c>
    </row>
    <row r="430">
      <c r="A430" s="1">
        <v>19.0</v>
      </c>
      <c r="B430" s="1">
        <v>1.0</v>
      </c>
      <c r="C430" s="1">
        <v>5.0</v>
      </c>
      <c r="D430" s="1" t="s">
        <v>160</v>
      </c>
      <c r="E430" s="1">
        <v>48477.0</v>
      </c>
    </row>
    <row r="431">
      <c r="A431" s="1">
        <v>32.0</v>
      </c>
      <c r="B431" s="1">
        <v>3.0</v>
      </c>
      <c r="C431" s="1">
        <v>6.0</v>
      </c>
      <c r="D431" s="1" t="s">
        <v>185</v>
      </c>
      <c r="E431" s="1">
        <v>48424.0</v>
      </c>
    </row>
    <row r="432">
      <c r="A432" s="1">
        <v>31.0</v>
      </c>
      <c r="B432" s="1">
        <v>25.0</v>
      </c>
      <c r="C432" s="1">
        <v>33.0</v>
      </c>
      <c r="D432" s="1" t="s">
        <v>297</v>
      </c>
      <c r="E432" s="1">
        <v>47595.0</v>
      </c>
    </row>
    <row r="433">
      <c r="A433" s="1">
        <v>20.0</v>
      </c>
      <c r="B433" s="1">
        <v>6.0</v>
      </c>
      <c r="C433" s="1">
        <v>11.0</v>
      </c>
      <c r="D433" s="1" t="s">
        <v>298</v>
      </c>
      <c r="E433" s="1">
        <v>47504.0</v>
      </c>
    </row>
    <row r="434">
      <c r="A434" s="1">
        <v>8.0</v>
      </c>
      <c r="B434" s="1">
        <v>5.0</v>
      </c>
      <c r="C434" s="1">
        <v>20.0</v>
      </c>
      <c r="D434" s="1" t="s">
        <v>176</v>
      </c>
      <c r="E434" s="1">
        <v>47236.0</v>
      </c>
    </row>
    <row r="435">
      <c r="A435" s="1">
        <v>11.0</v>
      </c>
      <c r="B435" s="1">
        <v>17.0</v>
      </c>
      <c r="C435" s="1">
        <v>52.0</v>
      </c>
      <c r="D435" s="1" t="s">
        <v>80</v>
      </c>
      <c r="E435" s="1">
        <v>47168.0</v>
      </c>
    </row>
    <row r="436">
      <c r="A436" s="1">
        <v>31.0</v>
      </c>
      <c r="B436" s="1">
        <v>2.0</v>
      </c>
      <c r="C436" s="1">
        <v>17.0</v>
      </c>
      <c r="D436" s="1" t="s">
        <v>218</v>
      </c>
      <c r="E436" s="1">
        <v>46795.0</v>
      </c>
    </row>
    <row r="437">
      <c r="A437" s="1">
        <v>5.0</v>
      </c>
      <c r="B437" s="1">
        <v>3.0</v>
      </c>
      <c r="C437" s="1">
        <v>88.0</v>
      </c>
      <c r="D437" s="1" t="s">
        <v>259</v>
      </c>
      <c r="E437" s="1">
        <v>46621.0</v>
      </c>
    </row>
    <row r="438">
      <c r="A438" s="1">
        <v>6.0</v>
      </c>
      <c r="B438" s="1">
        <v>3.0</v>
      </c>
      <c r="C438" s="1">
        <v>2.0</v>
      </c>
      <c r="D438" s="1" t="s">
        <v>112</v>
      </c>
      <c r="E438" s="1">
        <v>46153.0</v>
      </c>
    </row>
    <row r="439">
      <c r="A439" s="1">
        <v>26.0</v>
      </c>
      <c r="B439" s="1">
        <v>1.0</v>
      </c>
      <c r="C439" s="1">
        <v>52.0</v>
      </c>
      <c r="D439" s="1" t="s">
        <v>80</v>
      </c>
      <c r="E439" s="1">
        <v>45068.0</v>
      </c>
    </row>
    <row r="440">
      <c r="A440" s="1">
        <v>11.0</v>
      </c>
      <c r="B440" s="1">
        <v>1.0</v>
      </c>
      <c r="C440" s="1">
        <v>11.0</v>
      </c>
      <c r="D440" s="1" t="s">
        <v>93</v>
      </c>
      <c r="E440" s="1">
        <v>44933.0</v>
      </c>
    </row>
    <row r="441">
      <c r="A441" s="1">
        <v>31.0</v>
      </c>
      <c r="B441" s="1">
        <v>2.0</v>
      </c>
      <c r="C441" s="1">
        <v>36.0</v>
      </c>
      <c r="D441" s="1" t="s">
        <v>299</v>
      </c>
      <c r="E441" s="1">
        <v>44695.0</v>
      </c>
    </row>
    <row r="442">
      <c r="A442" s="1">
        <v>17.0</v>
      </c>
      <c r="B442" s="1">
        <v>27.0</v>
      </c>
      <c r="C442" s="1">
        <v>78.0</v>
      </c>
      <c r="D442" s="1" t="s">
        <v>129</v>
      </c>
      <c r="E442" s="1">
        <v>44681.0</v>
      </c>
    </row>
    <row r="443">
      <c r="A443" s="1">
        <v>15.0</v>
      </c>
      <c r="B443" s="1">
        <v>54.0</v>
      </c>
      <c r="C443" s="1">
        <v>89.0</v>
      </c>
      <c r="D443" s="1" t="s">
        <v>193</v>
      </c>
      <c r="E443" s="1">
        <v>44624.0</v>
      </c>
    </row>
    <row r="444">
      <c r="A444" s="1">
        <v>33.0</v>
      </c>
      <c r="B444" s="1">
        <v>1.0</v>
      </c>
      <c r="C444" s="1">
        <v>13.0</v>
      </c>
      <c r="D444" s="1" t="s">
        <v>99</v>
      </c>
      <c r="E444" s="1">
        <v>44566.0</v>
      </c>
    </row>
    <row r="445">
      <c r="A445" s="1">
        <v>11.0</v>
      </c>
      <c r="B445" s="1">
        <v>1.0</v>
      </c>
      <c r="C445" s="1">
        <v>20.0</v>
      </c>
      <c r="D445" s="1" t="s">
        <v>301</v>
      </c>
      <c r="E445" s="1">
        <v>44356.0</v>
      </c>
    </row>
    <row r="446">
      <c r="A446" s="1">
        <v>20.0</v>
      </c>
      <c r="B446" s="1">
        <v>31.0</v>
      </c>
      <c r="C446" s="1">
        <v>72.0</v>
      </c>
      <c r="D446" s="1" t="s">
        <v>302</v>
      </c>
      <c r="E446" s="1">
        <v>44341.0</v>
      </c>
    </row>
    <row r="447">
      <c r="A447" s="1">
        <v>17.0</v>
      </c>
      <c r="B447" s="1">
        <v>9.0</v>
      </c>
      <c r="C447" s="1">
        <v>9.0</v>
      </c>
      <c r="D447" s="1" t="s">
        <v>303</v>
      </c>
      <c r="E447" s="1">
        <v>44333.0</v>
      </c>
    </row>
    <row r="448">
      <c r="A448" s="1">
        <v>33.0</v>
      </c>
      <c r="B448" s="1">
        <v>33.0</v>
      </c>
      <c r="C448" s="1">
        <v>3.0</v>
      </c>
      <c r="D448" s="1" t="s">
        <v>304</v>
      </c>
      <c r="E448" s="1">
        <v>44060.0</v>
      </c>
    </row>
    <row r="449">
      <c r="A449" s="1">
        <v>30.0</v>
      </c>
      <c r="B449" s="1">
        <v>1.0</v>
      </c>
      <c r="C449" s="1">
        <v>20.0</v>
      </c>
      <c r="D449" s="1" t="s">
        <v>176</v>
      </c>
      <c r="E449" s="1">
        <v>43985.0</v>
      </c>
    </row>
    <row r="450">
      <c r="A450" s="1">
        <v>39.0</v>
      </c>
      <c r="B450" s="1">
        <v>57.0</v>
      </c>
      <c r="C450" s="1">
        <v>6.0</v>
      </c>
      <c r="D450" s="1" t="s">
        <v>185</v>
      </c>
      <c r="E450" s="1">
        <v>43430.0</v>
      </c>
    </row>
    <row r="451">
      <c r="A451" s="1">
        <v>32.0</v>
      </c>
      <c r="B451" s="1">
        <v>2.0</v>
      </c>
      <c r="C451" s="1">
        <v>63.0</v>
      </c>
      <c r="D451" s="1" t="s">
        <v>144</v>
      </c>
      <c r="E451" s="1">
        <v>43366.0</v>
      </c>
    </row>
    <row r="452">
      <c r="A452" s="1">
        <v>23.0</v>
      </c>
      <c r="B452" s="1">
        <v>1.0</v>
      </c>
      <c r="C452" s="1">
        <v>10.0</v>
      </c>
      <c r="D452" s="1" t="s">
        <v>140</v>
      </c>
      <c r="E452" s="1">
        <v>43242.0</v>
      </c>
    </row>
    <row r="453">
      <c r="A453" s="1">
        <v>21.0</v>
      </c>
      <c r="B453" s="1">
        <v>3.0</v>
      </c>
      <c r="C453" s="1">
        <v>6.0</v>
      </c>
      <c r="D453" s="1" t="s">
        <v>185</v>
      </c>
      <c r="E453" s="1">
        <v>43150.0</v>
      </c>
    </row>
    <row r="454">
      <c r="A454" s="1">
        <v>22.0</v>
      </c>
      <c r="B454" s="1">
        <v>22.0</v>
      </c>
      <c r="C454" s="1">
        <v>14.0</v>
      </c>
      <c r="D454" s="1" t="s">
        <v>141</v>
      </c>
      <c r="E454" s="1">
        <v>43105.0</v>
      </c>
    </row>
    <row r="455">
      <c r="A455" s="1">
        <v>25.0</v>
      </c>
      <c r="B455" s="1">
        <v>60.0</v>
      </c>
      <c r="C455" s="1">
        <v>20.0</v>
      </c>
      <c r="D455" s="1" t="s">
        <v>176</v>
      </c>
      <c r="E455" s="1">
        <v>42799.0</v>
      </c>
    </row>
    <row r="456">
      <c r="A456" s="1">
        <v>33.0</v>
      </c>
      <c r="B456" s="1">
        <v>1.0</v>
      </c>
      <c r="C456" s="1">
        <v>56.0</v>
      </c>
      <c r="D456" s="1" t="s">
        <v>261</v>
      </c>
      <c r="E456" s="1">
        <v>42656.0</v>
      </c>
    </row>
    <row r="457">
      <c r="A457" s="1">
        <v>18.0</v>
      </c>
      <c r="B457" s="1">
        <v>1.0</v>
      </c>
      <c r="C457" s="1">
        <v>3.0</v>
      </c>
      <c r="D457" s="1" t="s">
        <v>155</v>
      </c>
      <c r="E457" s="1">
        <v>42143.0</v>
      </c>
    </row>
    <row r="458">
      <c r="A458" s="1">
        <v>13.0</v>
      </c>
      <c r="B458" s="1">
        <v>1.0</v>
      </c>
      <c r="C458" s="1">
        <v>25.0</v>
      </c>
      <c r="D458" s="1" t="s">
        <v>223</v>
      </c>
      <c r="E458" s="1">
        <v>42123.0</v>
      </c>
    </row>
    <row r="459">
      <c r="A459" s="1">
        <v>5.0</v>
      </c>
      <c r="B459" s="1">
        <v>23.0</v>
      </c>
      <c r="C459" s="1">
        <v>24.0</v>
      </c>
      <c r="D459" s="1" t="s">
        <v>305</v>
      </c>
      <c r="E459" s="1">
        <v>41889.0</v>
      </c>
    </row>
    <row r="460">
      <c r="A460" s="1">
        <v>33.0</v>
      </c>
      <c r="B460" s="1">
        <v>33.0</v>
      </c>
      <c r="C460" s="1">
        <v>14.0</v>
      </c>
      <c r="D460" s="1" t="s">
        <v>141</v>
      </c>
      <c r="E460" s="1">
        <v>41790.0</v>
      </c>
    </row>
    <row r="461">
      <c r="A461" s="1">
        <v>5.0</v>
      </c>
      <c r="B461" s="1">
        <v>9.0</v>
      </c>
      <c r="C461" s="1">
        <v>18.0</v>
      </c>
      <c r="D461" s="1" t="s">
        <v>307</v>
      </c>
      <c r="E461" s="1">
        <v>41783.0</v>
      </c>
    </row>
    <row r="462">
      <c r="A462" s="1">
        <v>28.0</v>
      </c>
      <c r="B462" s="1">
        <v>1.0</v>
      </c>
      <c r="C462" s="1">
        <v>44.0</v>
      </c>
      <c r="D462" s="1" t="s">
        <v>173</v>
      </c>
      <c r="E462" s="1">
        <v>41545.0</v>
      </c>
    </row>
    <row r="463">
      <c r="A463" s="1">
        <v>18.0</v>
      </c>
      <c r="B463" s="1">
        <v>1.0</v>
      </c>
      <c r="C463" s="1">
        <v>16.0</v>
      </c>
      <c r="D463" s="1" t="s">
        <v>168</v>
      </c>
      <c r="E463" s="1">
        <v>41534.0</v>
      </c>
    </row>
    <row r="464">
      <c r="A464" s="1">
        <v>29.0</v>
      </c>
      <c r="B464" s="1">
        <v>10.0</v>
      </c>
      <c r="C464" s="1">
        <v>10.0</v>
      </c>
      <c r="D464" s="1" t="s">
        <v>140</v>
      </c>
      <c r="E464" s="1">
        <v>41306.0</v>
      </c>
    </row>
    <row r="465">
      <c r="A465" s="1">
        <v>39.0</v>
      </c>
      <c r="B465" s="1">
        <v>56.0</v>
      </c>
      <c r="C465" s="1">
        <v>36.0</v>
      </c>
      <c r="D465" s="1" t="s">
        <v>95</v>
      </c>
      <c r="E465" s="1">
        <v>41221.0</v>
      </c>
    </row>
    <row r="466">
      <c r="A466" s="1">
        <v>18.0</v>
      </c>
      <c r="B466" s="1">
        <v>11.0</v>
      </c>
      <c r="C466" s="1">
        <v>24.0</v>
      </c>
      <c r="D466" s="1" t="s">
        <v>148</v>
      </c>
      <c r="E466" s="1">
        <v>41200.0</v>
      </c>
    </row>
    <row r="467">
      <c r="A467" s="1">
        <v>17.0</v>
      </c>
      <c r="B467" s="1">
        <v>3.0</v>
      </c>
      <c r="C467" s="1">
        <v>20.0</v>
      </c>
      <c r="D467" s="1" t="s">
        <v>176</v>
      </c>
      <c r="E467" s="1">
        <v>41002.0</v>
      </c>
    </row>
    <row r="468">
      <c r="A468" s="1">
        <v>1.0</v>
      </c>
      <c r="B468" s="1">
        <v>1.0</v>
      </c>
      <c r="C468" s="1">
        <v>2.0</v>
      </c>
      <c r="D468" s="1" t="s">
        <v>112</v>
      </c>
      <c r="E468" s="1">
        <v>40950.0</v>
      </c>
    </row>
    <row r="469">
      <c r="A469" s="1">
        <v>22.0</v>
      </c>
      <c r="B469" s="1">
        <v>22.0</v>
      </c>
      <c r="C469" s="1">
        <v>8.0</v>
      </c>
      <c r="D469" s="1" t="s">
        <v>189</v>
      </c>
      <c r="E469" s="1">
        <v>40688.0</v>
      </c>
    </row>
    <row r="470">
      <c r="A470" s="1">
        <v>32.0</v>
      </c>
      <c r="B470" s="1">
        <v>45.0</v>
      </c>
      <c r="C470" s="1">
        <v>51.0</v>
      </c>
      <c r="D470" s="1" t="s">
        <v>152</v>
      </c>
      <c r="E470" s="1">
        <v>40638.0</v>
      </c>
    </row>
    <row r="471">
      <c r="A471" s="1">
        <v>14.0</v>
      </c>
      <c r="B471" s="1">
        <v>39.0</v>
      </c>
      <c r="C471" s="1">
        <v>167.0</v>
      </c>
      <c r="D471" s="1" t="s">
        <v>308</v>
      </c>
      <c r="E471" s="1">
        <v>40526.0</v>
      </c>
    </row>
    <row r="472">
      <c r="A472" s="1">
        <v>11.0</v>
      </c>
      <c r="B472" s="1">
        <v>8.0</v>
      </c>
      <c r="C472" s="1">
        <v>40.0</v>
      </c>
      <c r="D472" s="1" t="s">
        <v>175</v>
      </c>
      <c r="E472" s="1">
        <v>40322.0</v>
      </c>
    </row>
    <row r="473">
      <c r="A473" s="1">
        <v>32.0</v>
      </c>
      <c r="B473" s="1">
        <v>45.0</v>
      </c>
      <c r="C473" s="1">
        <v>67.0</v>
      </c>
      <c r="D473" s="1" t="s">
        <v>213</v>
      </c>
      <c r="E473" s="1">
        <v>39965.0</v>
      </c>
    </row>
    <row r="474">
      <c r="A474" s="1">
        <v>14.0</v>
      </c>
      <c r="B474" s="1">
        <v>15.0</v>
      </c>
      <c r="C474" s="1">
        <v>169.0</v>
      </c>
      <c r="D474" s="1" t="s">
        <v>310</v>
      </c>
      <c r="E474" s="1">
        <v>39906.0</v>
      </c>
    </row>
    <row r="475">
      <c r="A475" s="1">
        <v>34.0</v>
      </c>
      <c r="B475" s="1">
        <v>1.0</v>
      </c>
      <c r="C475" s="1">
        <v>3.0</v>
      </c>
      <c r="D475" s="1" t="s">
        <v>155</v>
      </c>
      <c r="E475" s="1">
        <v>39501.0</v>
      </c>
    </row>
    <row r="476">
      <c r="A476" s="1">
        <v>27.0</v>
      </c>
      <c r="B476" s="1">
        <v>1.0</v>
      </c>
      <c r="C476" s="1">
        <v>65.0</v>
      </c>
      <c r="D476" s="1" t="s">
        <v>182</v>
      </c>
      <c r="E476" s="1">
        <v>39327.0</v>
      </c>
    </row>
    <row r="477">
      <c r="A477" s="1">
        <v>26.0</v>
      </c>
      <c r="B477" s="1">
        <v>1.0</v>
      </c>
      <c r="C477" s="1">
        <v>28.0</v>
      </c>
      <c r="D477" s="1" t="s">
        <v>281</v>
      </c>
      <c r="E477" s="1">
        <v>39167.0</v>
      </c>
    </row>
    <row r="478">
      <c r="A478" s="1">
        <v>5.0</v>
      </c>
      <c r="B478" s="1">
        <v>17.0</v>
      </c>
      <c r="C478" s="1">
        <v>86.0</v>
      </c>
      <c r="D478" s="1" t="s">
        <v>221</v>
      </c>
      <c r="E478" s="1">
        <v>38916.0</v>
      </c>
    </row>
    <row r="479">
      <c r="A479" s="1">
        <v>13.0</v>
      </c>
      <c r="B479" s="1">
        <v>10.0</v>
      </c>
      <c r="C479" s="1">
        <v>26.0</v>
      </c>
      <c r="D479" s="1" t="s">
        <v>150</v>
      </c>
      <c r="E479" s="1">
        <v>38899.0</v>
      </c>
    </row>
    <row r="480">
      <c r="A480" s="1">
        <v>30.0</v>
      </c>
      <c r="B480" s="1">
        <v>1.0</v>
      </c>
      <c r="C480" s="1">
        <v>9.0</v>
      </c>
      <c r="D480" s="1" t="s">
        <v>124</v>
      </c>
      <c r="E480" s="1">
        <v>38748.0</v>
      </c>
    </row>
    <row r="481">
      <c r="A481" s="1">
        <v>14.0</v>
      </c>
      <c r="B481" s="1">
        <v>12.0</v>
      </c>
      <c r="C481" s="1">
        <v>44.0</v>
      </c>
      <c r="D481" s="1" t="s">
        <v>173</v>
      </c>
      <c r="E481" s="1">
        <v>38568.0</v>
      </c>
    </row>
    <row r="482">
      <c r="A482" s="1">
        <v>14.0</v>
      </c>
      <c r="B482" s="1">
        <v>22.0</v>
      </c>
      <c r="C482" s="1">
        <v>20.0</v>
      </c>
      <c r="D482" s="1" t="s">
        <v>291</v>
      </c>
      <c r="E482" s="1">
        <v>38334.0</v>
      </c>
    </row>
    <row r="483">
      <c r="A483" s="1">
        <v>21.0</v>
      </c>
      <c r="B483" s="1">
        <v>3.0</v>
      </c>
      <c r="C483" s="1">
        <v>2.0</v>
      </c>
      <c r="D483" s="1" t="s">
        <v>119</v>
      </c>
      <c r="E483" s="1">
        <v>38044.0</v>
      </c>
    </row>
    <row r="484">
      <c r="A484" s="1">
        <v>25.0</v>
      </c>
      <c r="B484" s="1">
        <v>1.0</v>
      </c>
      <c r="C484" s="1">
        <v>9.0</v>
      </c>
      <c r="D484" s="1" t="s">
        <v>312</v>
      </c>
      <c r="E484" s="1">
        <v>37851.0</v>
      </c>
    </row>
    <row r="485">
      <c r="A485" s="1">
        <v>11.0</v>
      </c>
      <c r="B485" s="1">
        <v>8.0</v>
      </c>
      <c r="C485" s="1">
        <v>23.0</v>
      </c>
      <c r="D485" s="1" t="s">
        <v>104</v>
      </c>
      <c r="E485" s="1">
        <v>37842.0</v>
      </c>
    </row>
    <row r="486">
      <c r="A486" s="1">
        <v>17.0</v>
      </c>
      <c r="B486" s="1">
        <v>13.0</v>
      </c>
      <c r="C486" s="1">
        <v>17.0</v>
      </c>
      <c r="D486" s="1" t="s">
        <v>313</v>
      </c>
      <c r="E486" s="1">
        <v>37705.0</v>
      </c>
    </row>
    <row r="487">
      <c r="A487" s="1">
        <v>7.0</v>
      </c>
      <c r="B487" s="1">
        <v>1.0</v>
      </c>
      <c r="C487" s="1">
        <v>18.0</v>
      </c>
      <c r="D487" s="1" t="s">
        <v>314</v>
      </c>
      <c r="E487" s="1">
        <v>37607.0</v>
      </c>
    </row>
    <row r="488">
      <c r="A488" s="1">
        <v>23.0</v>
      </c>
      <c r="B488" s="1">
        <v>3.0</v>
      </c>
      <c r="C488" s="1">
        <v>4.0</v>
      </c>
      <c r="D488" s="1" t="s">
        <v>209</v>
      </c>
      <c r="E488" s="1">
        <v>37599.0</v>
      </c>
    </row>
    <row r="489">
      <c r="A489" s="1">
        <v>14.0</v>
      </c>
      <c r="B489" s="1">
        <v>40.0</v>
      </c>
      <c r="C489" s="1">
        <v>55.0</v>
      </c>
      <c r="D489" s="1" t="s">
        <v>91</v>
      </c>
      <c r="E489" s="1">
        <v>37542.0</v>
      </c>
    </row>
    <row r="490">
      <c r="A490" s="1">
        <v>33.0</v>
      </c>
      <c r="B490" s="1">
        <v>33.0</v>
      </c>
      <c r="C490" s="1">
        <v>4.0</v>
      </c>
      <c r="D490" s="1" t="s">
        <v>209</v>
      </c>
      <c r="E490" s="1">
        <v>37538.0</v>
      </c>
    </row>
    <row r="491">
      <c r="A491" s="1">
        <v>11.0</v>
      </c>
      <c r="B491" s="1">
        <v>1.0</v>
      </c>
      <c r="C491" s="1">
        <v>12.0</v>
      </c>
      <c r="D491" s="1" t="s">
        <v>177</v>
      </c>
      <c r="E491" s="1">
        <v>36956.0</v>
      </c>
    </row>
    <row r="492">
      <c r="A492" s="1">
        <v>14.0</v>
      </c>
      <c r="B492" s="1">
        <v>12.0</v>
      </c>
      <c r="C492" s="1">
        <v>41.0</v>
      </c>
      <c r="D492" s="1" t="s">
        <v>82</v>
      </c>
      <c r="E492" s="1">
        <v>36258.0</v>
      </c>
    </row>
    <row r="493">
      <c r="A493" s="1">
        <v>11.0</v>
      </c>
      <c r="B493" s="1">
        <v>14.0</v>
      </c>
      <c r="C493" s="1">
        <v>19.0</v>
      </c>
      <c r="D493" s="1" t="s">
        <v>72</v>
      </c>
      <c r="E493" s="1">
        <v>36175.0</v>
      </c>
    </row>
    <row r="494">
      <c r="A494" s="1">
        <v>13.0</v>
      </c>
      <c r="B494" s="1">
        <v>10.0</v>
      </c>
      <c r="C494" s="1">
        <v>7.0</v>
      </c>
      <c r="D494" s="1" t="s">
        <v>58</v>
      </c>
      <c r="E494" s="1">
        <v>36155.0</v>
      </c>
    </row>
    <row r="495">
      <c r="A495" s="1">
        <v>8.0</v>
      </c>
      <c r="B495" s="1">
        <v>10.0</v>
      </c>
      <c r="C495" s="1">
        <v>62.0</v>
      </c>
      <c r="D495" s="1" t="s">
        <v>67</v>
      </c>
      <c r="E495" s="1">
        <v>36113.0</v>
      </c>
    </row>
    <row r="496">
      <c r="A496" s="1">
        <v>27.0</v>
      </c>
      <c r="B496" s="1">
        <v>3.0</v>
      </c>
      <c r="C496" s="1">
        <v>54.0</v>
      </c>
      <c r="D496" s="1" t="s">
        <v>315</v>
      </c>
      <c r="E496" s="1">
        <v>35771.0</v>
      </c>
    </row>
    <row r="497">
      <c r="A497" s="1">
        <v>34.0</v>
      </c>
      <c r="B497" s="1">
        <v>1.0</v>
      </c>
      <c r="C497" s="1">
        <v>58.0</v>
      </c>
      <c r="D497" s="1" t="s">
        <v>154</v>
      </c>
      <c r="E497" s="1">
        <v>35634.0</v>
      </c>
    </row>
    <row r="498">
      <c r="A498" s="1">
        <v>5.0</v>
      </c>
      <c r="B498" s="1">
        <v>23.0</v>
      </c>
      <c r="C498" s="1">
        <v>23.0</v>
      </c>
      <c r="D498" s="1" t="s">
        <v>104</v>
      </c>
      <c r="E498" s="1">
        <v>35581.0</v>
      </c>
    </row>
    <row r="499">
      <c r="A499" s="1">
        <v>6.0</v>
      </c>
      <c r="B499" s="1">
        <v>1.0</v>
      </c>
      <c r="C499" s="1">
        <v>11.0</v>
      </c>
      <c r="D499" s="1" t="s">
        <v>93</v>
      </c>
      <c r="E499" s="1">
        <v>35448.0</v>
      </c>
    </row>
    <row r="500">
      <c r="A500" s="1">
        <v>7.0</v>
      </c>
      <c r="B500" s="1">
        <v>2.0</v>
      </c>
      <c r="C500" s="1">
        <v>19.0</v>
      </c>
      <c r="D500" s="1" t="s">
        <v>317</v>
      </c>
      <c r="E500" s="1">
        <v>35304.0</v>
      </c>
    </row>
    <row r="501">
      <c r="A501" s="1">
        <v>11.0</v>
      </c>
      <c r="B501" s="1">
        <v>8.0</v>
      </c>
      <c r="C501" s="1">
        <v>13.0</v>
      </c>
      <c r="D501" s="1" t="s">
        <v>318</v>
      </c>
      <c r="E501" s="1">
        <v>35232.0</v>
      </c>
    </row>
    <row r="502">
      <c r="A502" s="1">
        <v>27.0</v>
      </c>
      <c r="B502" s="1">
        <v>13.0</v>
      </c>
      <c r="C502" s="1">
        <v>9.0</v>
      </c>
      <c r="D502" s="1" t="s">
        <v>124</v>
      </c>
      <c r="E502" s="1">
        <v>35221.0</v>
      </c>
    </row>
    <row r="503">
      <c r="A503" s="1">
        <v>32.0</v>
      </c>
      <c r="B503" s="1">
        <v>38.0</v>
      </c>
      <c r="C503" s="1">
        <v>35.0</v>
      </c>
      <c r="D503" s="1" t="s">
        <v>319</v>
      </c>
      <c r="E503" s="1">
        <v>35159.0</v>
      </c>
    </row>
    <row r="504">
      <c r="A504" s="1">
        <v>33.0</v>
      </c>
      <c r="B504" s="1">
        <v>33.0</v>
      </c>
      <c r="C504" s="1">
        <v>5.0</v>
      </c>
      <c r="D504" s="1" t="s">
        <v>320</v>
      </c>
      <c r="E504" s="1">
        <v>34587.0</v>
      </c>
    </row>
    <row r="505">
      <c r="A505" s="1">
        <v>5.0</v>
      </c>
      <c r="B505" s="1">
        <v>17.0</v>
      </c>
      <c r="C505" s="1">
        <v>84.0</v>
      </c>
      <c r="D505" s="1" t="s">
        <v>202</v>
      </c>
      <c r="E505" s="1">
        <v>34475.0</v>
      </c>
    </row>
    <row r="506">
      <c r="A506" s="1">
        <v>20.0</v>
      </c>
      <c r="B506" s="1">
        <v>34.0</v>
      </c>
      <c r="C506" s="1">
        <v>8.0</v>
      </c>
      <c r="D506" s="1" t="s">
        <v>189</v>
      </c>
      <c r="E506" s="1">
        <v>34457.0</v>
      </c>
    </row>
    <row r="507">
      <c r="A507" s="1">
        <v>2.0</v>
      </c>
      <c r="B507" s="1">
        <v>5.0</v>
      </c>
      <c r="C507" s="1">
        <v>17.0</v>
      </c>
      <c r="D507" s="1" t="s">
        <v>218</v>
      </c>
      <c r="E507" s="1">
        <v>34262.0</v>
      </c>
    </row>
    <row r="508">
      <c r="A508" s="1">
        <v>27.0</v>
      </c>
      <c r="B508" s="1">
        <v>70.0</v>
      </c>
      <c r="C508" s="1">
        <v>33.0</v>
      </c>
      <c r="D508" s="1" t="s">
        <v>71</v>
      </c>
      <c r="E508" s="1">
        <v>34186.0</v>
      </c>
    </row>
    <row r="509">
      <c r="A509" s="1">
        <v>22.0</v>
      </c>
      <c r="B509" s="1">
        <v>22.0</v>
      </c>
      <c r="C509" s="1">
        <v>4.0</v>
      </c>
      <c r="D509" s="1" t="s">
        <v>209</v>
      </c>
      <c r="E509" s="1">
        <v>34062.0</v>
      </c>
    </row>
    <row r="510">
      <c r="A510" s="1">
        <v>6.0</v>
      </c>
      <c r="B510" s="1">
        <v>1.0</v>
      </c>
      <c r="C510" s="1">
        <v>16.0</v>
      </c>
      <c r="D510" s="1" t="s">
        <v>168</v>
      </c>
      <c r="E510" s="1">
        <v>33794.0</v>
      </c>
    </row>
    <row r="511">
      <c r="A511" s="1">
        <v>17.0</v>
      </c>
      <c r="B511" s="1">
        <v>13.0</v>
      </c>
      <c r="C511" s="1">
        <v>21.0</v>
      </c>
      <c r="D511" s="1" t="s">
        <v>149</v>
      </c>
      <c r="E511" s="1">
        <v>33420.0</v>
      </c>
    </row>
    <row r="512">
      <c r="A512" s="1">
        <v>33.0</v>
      </c>
      <c r="B512" s="1">
        <v>33.0</v>
      </c>
      <c r="C512" s="1">
        <v>41.0</v>
      </c>
      <c r="D512" s="1" t="s">
        <v>82</v>
      </c>
      <c r="E512" s="1">
        <v>33413.0</v>
      </c>
    </row>
    <row r="513">
      <c r="A513" s="1">
        <v>27.0</v>
      </c>
      <c r="B513" s="1">
        <v>7.0</v>
      </c>
      <c r="C513" s="1">
        <v>7.0</v>
      </c>
      <c r="D513" s="1" t="s">
        <v>217</v>
      </c>
      <c r="E513" s="1">
        <v>33331.0</v>
      </c>
    </row>
    <row r="514">
      <c r="A514" s="1">
        <v>33.0</v>
      </c>
      <c r="B514" s="1">
        <v>33.0</v>
      </c>
      <c r="C514" s="1">
        <v>31.0</v>
      </c>
      <c r="D514" s="1" t="s">
        <v>68</v>
      </c>
      <c r="E514" s="1">
        <v>32910.0</v>
      </c>
    </row>
    <row r="515">
      <c r="A515" s="1">
        <v>1.0</v>
      </c>
      <c r="B515" s="1">
        <v>1.0</v>
      </c>
      <c r="C515" s="1">
        <v>3.0</v>
      </c>
      <c r="D515" s="1" t="s">
        <v>155</v>
      </c>
      <c r="E515" s="1">
        <v>32885.0</v>
      </c>
    </row>
    <row r="516">
      <c r="A516" s="1">
        <v>20.0</v>
      </c>
      <c r="B516" s="1">
        <v>31.0</v>
      </c>
      <c r="C516" s="1">
        <v>42.0</v>
      </c>
      <c r="D516" s="1" t="s">
        <v>186</v>
      </c>
      <c r="E516" s="1">
        <v>32701.0</v>
      </c>
    </row>
    <row r="517">
      <c r="A517" s="1">
        <v>22.0</v>
      </c>
      <c r="B517" s="1">
        <v>22.0</v>
      </c>
      <c r="C517" s="1">
        <v>41.0</v>
      </c>
      <c r="D517" s="1" t="s">
        <v>82</v>
      </c>
      <c r="E517" s="1">
        <v>32459.0</v>
      </c>
    </row>
    <row r="518">
      <c r="A518" s="1">
        <v>21.0</v>
      </c>
      <c r="B518" s="1">
        <v>53.0</v>
      </c>
      <c r="C518" s="1">
        <v>41.0</v>
      </c>
      <c r="D518" s="1" t="s">
        <v>82</v>
      </c>
      <c r="E518" s="1">
        <v>32218.0</v>
      </c>
    </row>
    <row r="519">
      <c r="A519" s="1">
        <v>14.0</v>
      </c>
      <c r="B519" s="1">
        <v>40.0</v>
      </c>
      <c r="C519" s="1">
        <v>91.0</v>
      </c>
      <c r="D519" s="1" t="s">
        <v>167</v>
      </c>
      <c r="E519" s="1">
        <v>32154.0</v>
      </c>
    </row>
    <row r="520">
      <c r="A520" s="1">
        <v>33.0</v>
      </c>
      <c r="B520" s="1">
        <v>33.0</v>
      </c>
      <c r="C520" s="1">
        <v>2.0</v>
      </c>
      <c r="D520" s="1" t="s">
        <v>119</v>
      </c>
      <c r="E520" s="1">
        <v>31980.0</v>
      </c>
    </row>
    <row r="521">
      <c r="A521" s="1">
        <v>5.0</v>
      </c>
      <c r="B521" s="1">
        <v>3.0</v>
      </c>
      <c r="C521" s="1">
        <v>6.0</v>
      </c>
      <c r="D521" s="1" t="s">
        <v>107</v>
      </c>
      <c r="E521" s="1">
        <v>31443.0</v>
      </c>
    </row>
    <row r="522">
      <c r="A522" s="1">
        <v>15.0</v>
      </c>
      <c r="B522" s="1">
        <v>6.0</v>
      </c>
      <c r="C522" s="1">
        <v>95.0</v>
      </c>
      <c r="D522" s="1" t="s">
        <v>325</v>
      </c>
      <c r="E522" s="1">
        <v>31085.0</v>
      </c>
    </row>
    <row r="523">
      <c r="A523" s="1">
        <v>27.0</v>
      </c>
      <c r="B523" s="1">
        <v>51.0</v>
      </c>
      <c r="C523" s="1">
        <v>12.0</v>
      </c>
      <c r="D523" s="1" t="s">
        <v>294</v>
      </c>
      <c r="E523" s="1">
        <v>30698.0</v>
      </c>
    </row>
    <row r="524">
      <c r="A524" s="1">
        <v>4.0</v>
      </c>
      <c r="B524" s="1">
        <v>4.0</v>
      </c>
      <c r="C524" s="1">
        <v>4.0</v>
      </c>
      <c r="D524" s="1" t="s">
        <v>244</v>
      </c>
      <c r="E524" s="1">
        <v>30625.0</v>
      </c>
    </row>
    <row r="525">
      <c r="A525" s="1">
        <v>4.0</v>
      </c>
      <c r="B525" s="1">
        <v>1.0</v>
      </c>
      <c r="C525" s="1">
        <v>10.0</v>
      </c>
      <c r="D525" s="1" t="s">
        <v>140</v>
      </c>
      <c r="E525" s="1">
        <v>30593.0</v>
      </c>
    </row>
    <row r="526">
      <c r="A526" s="1">
        <v>22.0</v>
      </c>
      <c r="B526" s="1">
        <v>8.0</v>
      </c>
      <c r="C526" s="1">
        <v>24.0</v>
      </c>
      <c r="D526" s="1" t="s">
        <v>148</v>
      </c>
      <c r="E526" s="1">
        <v>30315.0</v>
      </c>
    </row>
    <row r="527">
      <c r="A527" s="1">
        <v>29.0</v>
      </c>
      <c r="B527" s="1">
        <v>10.0</v>
      </c>
      <c r="C527" s="1">
        <v>7.0</v>
      </c>
      <c r="D527" s="1" t="s">
        <v>328</v>
      </c>
      <c r="E527" s="1">
        <v>30284.0</v>
      </c>
    </row>
    <row r="528">
      <c r="A528" s="1">
        <v>20.0</v>
      </c>
      <c r="B528" s="1">
        <v>6.0</v>
      </c>
      <c r="C528" s="1">
        <v>16.0</v>
      </c>
      <c r="D528" s="1" t="s">
        <v>168</v>
      </c>
      <c r="E528" s="1">
        <v>30248.0</v>
      </c>
    </row>
    <row r="529">
      <c r="A529" s="1">
        <v>15.0</v>
      </c>
      <c r="B529" s="1">
        <v>6.0</v>
      </c>
      <c r="C529" s="1">
        <v>186.0</v>
      </c>
      <c r="D529" s="1" t="s">
        <v>330</v>
      </c>
      <c r="E529" s="1">
        <v>30185.0</v>
      </c>
    </row>
    <row r="530">
      <c r="A530" s="1">
        <v>22.0</v>
      </c>
      <c r="B530" s="1">
        <v>6.0</v>
      </c>
      <c r="C530" s="1">
        <v>42.0</v>
      </c>
      <c r="D530" s="1" t="s">
        <v>186</v>
      </c>
      <c r="E530" s="1">
        <v>29816.0</v>
      </c>
    </row>
    <row r="531">
      <c r="A531" s="1">
        <v>16.0</v>
      </c>
      <c r="B531" s="1">
        <v>1.0</v>
      </c>
      <c r="C531" s="1">
        <v>244.0</v>
      </c>
      <c r="D531" s="1" t="s">
        <v>331</v>
      </c>
      <c r="E531" s="1">
        <v>29811.0</v>
      </c>
    </row>
    <row r="532">
      <c r="A532" s="1">
        <v>15.0</v>
      </c>
      <c r="B532" s="1">
        <v>80.0</v>
      </c>
      <c r="C532" s="1">
        <v>74.0</v>
      </c>
      <c r="D532" s="1" t="s">
        <v>334</v>
      </c>
      <c r="E532" s="1">
        <v>29707.0</v>
      </c>
    </row>
    <row r="533">
      <c r="A533" s="1">
        <v>32.0</v>
      </c>
      <c r="B533" s="1">
        <v>45.0</v>
      </c>
      <c r="C533" s="1">
        <v>60.0</v>
      </c>
      <c r="D533" s="1" t="s">
        <v>254</v>
      </c>
      <c r="E533" s="1">
        <v>29591.0</v>
      </c>
    </row>
    <row r="534">
      <c r="A534" s="1">
        <v>32.0</v>
      </c>
      <c r="B534" s="1">
        <v>3.0</v>
      </c>
      <c r="C534" s="1">
        <v>7.0</v>
      </c>
      <c r="D534" s="1" t="s">
        <v>58</v>
      </c>
      <c r="E534" s="1">
        <v>29265.0</v>
      </c>
    </row>
    <row r="535">
      <c r="A535" s="1">
        <v>3.0</v>
      </c>
      <c r="B535" s="1">
        <v>1.0</v>
      </c>
      <c r="C535" s="1">
        <v>2.0</v>
      </c>
      <c r="D535" s="1" t="s">
        <v>292</v>
      </c>
      <c r="E535" s="1">
        <v>29161.0</v>
      </c>
    </row>
    <row r="536">
      <c r="A536" s="1">
        <v>8.0</v>
      </c>
      <c r="B536" s="1">
        <v>5.0</v>
      </c>
      <c r="C536" s="1">
        <v>21.0</v>
      </c>
      <c r="D536" s="1" t="s">
        <v>149</v>
      </c>
      <c r="E536" s="1">
        <v>29096.0</v>
      </c>
    </row>
    <row r="537">
      <c r="A537" s="1">
        <v>14.0</v>
      </c>
      <c r="B537" s="1">
        <v>38.0</v>
      </c>
      <c r="C537" s="1">
        <v>79.0</v>
      </c>
      <c r="D537" s="1" t="s">
        <v>179</v>
      </c>
      <c r="E537" s="1">
        <v>28579.0</v>
      </c>
    </row>
    <row r="538">
      <c r="A538" s="1">
        <v>18.0</v>
      </c>
      <c r="B538" s="1">
        <v>11.0</v>
      </c>
      <c r="C538" s="1">
        <v>8.0</v>
      </c>
      <c r="D538" s="1" t="s">
        <v>189</v>
      </c>
      <c r="E538" s="1">
        <v>28552.0</v>
      </c>
    </row>
    <row r="539">
      <c r="A539" s="1">
        <v>14.0</v>
      </c>
      <c r="B539" s="1">
        <v>40.0</v>
      </c>
      <c r="C539" s="1">
        <v>24.0</v>
      </c>
      <c r="D539" s="1" t="s">
        <v>338</v>
      </c>
      <c r="E539" s="1">
        <v>28487.0</v>
      </c>
    </row>
    <row r="540">
      <c r="A540" s="1">
        <v>28.0</v>
      </c>
      <c r="B540" s="1">
        <v>1.0</v>
      </c>
      <c r="C540" s="1">
        <v>26.0</v>
      </c>
      <c r="D540" s="1" t="s">
        <v>150</v>
      </c>
      <c r="E540" s="1">
        <v>28213.0</v>
      </c>
    </row>
    <row r="541">
      <c r="A541" s="1">
        <v>13.0</v>
      </c>
      <c r="B541" s="1">
        <v>10.0</v>
      </c>
      <c r="C541" s="1">
        <v>27.0</v>
      </c>
      <c r="D541" s="1" t="s">
        <v>52</v>
      </c>
      <c r="E541" s="1">
        <v>28145.0</v>
      </c>
    </row>
    <row r="542">
      <c r="A542" s="1">
        <v>17.0</v>
      </c>
      <c r="B542" s="1">
        <v>27.0</v>
      </c>
      <c r="C542" s="1">
        <v>31.0</v>
      </c>
      <c r="D542" s="1" t="s">
        <v>68</v>
      </c>
      <c r="E542" s="1">
        <v>28141.0</v>
      </c>
    </row>
    <row r="543">
      <c r="A543" s="1">
        <v>14.0</v>
      </c>
      <c r="B543" s="1">
        <v>15.0</v>
      </c>
      <c r="C543" s="1">
        <v>22.0</v>
      </c>
      <c r="D543" s="1" t="s">
        <v>340</v>
      </c>
      <c r="E543" s="1">
        <v>27808.0</v>
      </c>
    </row>
    <row r="544">
      <c r="A544" s="1">
        <v>32.0</v>
      </c>
      <c r="B544" s="1">
        <v>3.0</v>
      </c>
      <c r="C544" s="1">
        <v>4.0</v>
      </c>
      <c r="D544" s="1" t="s">
        <v>209</v>
      </c>
      <c r="E544" s="1">
        <v>27803.0</v>
      </c>
    </row>
    <row r="545">
      <c r="A545" s="1">
        <v>27.0</v>
      </c>
      <c r="B545" s="1">
        <v>1.0</v>
      </c>
      <c r="C545" s="1">
        <v>6.0</v>
      </c>
      <c r="D545" s="1" t="s">
        <v>107</v>
      </c>
      <c r="E545" s="1">
        <v>27752.0</v>
      </c>
    </row>
    <row r="546">
      <c r="A546" s="1">
        <v>17.0</v>
      </c>
      <c r="B546" s="1">
        <v>17.0</v>
      </c>
      <c r="C546" s="1">
        <v>19.0</v>
      </c>
      <c r="D546" s="1" t="s">
        <v>72</v>
      </c>
      <c r="E546" s="1">
        <v>27629.0</v>
      </c>
    </row>
    <row r="547">
      <c r="A547" s="1">
        <v>18.0</v>
      </c>
      <c r="B547" s="1">
        <v>11.0</v>
      </c>
      <c r="C547" s="1">
        <v>12.0</v>
      </c>
      <c r="D547" s="1" t="s">
        <v>177</v>
      </c>
      <c r="E547" s="1">
        <v>27565.0</v>
      </c>
    </row>
    <row r="548">
      <c r="A548" s="1">
        <v>4.0</v>
      </c>
      <c r="B548" s="1">
        <v>1.0</v>
      </c>
      <c r="C548" s="1">
        <v>11.0</v>
      </c>
      <c r="D548" s="1" t="s">
        <v>93</v>
      </c>
      <c r="E548" s="1">
        <v>27443.0</v>
      </c>
    </row>
    <row r="549">
      <c r="A549" s="1">
        <v>32.0</v>
      </c>
      <c r="B549" s="1">
        <v>45.0</v>
      </c>
      <c r="C549" s="1">
        <v>37.0</v>
      </c>
      <c r="D549" s="1" t="s">
        <v>73</v>
      </c>
      <c r="E549" s="1">
        <v>27379.0</v>
      </c>
    </row>
    <row r="550">
      <c r="A550" s="1">
        <v>19.0</v>
      </c>
      <c r="B550" s="1">
        <v>1.0</v>
      </c>
      <c r="C550" s="1">
        <v>26.0</v>
      </c>
      <c r="D550" s="1" t="s">
        <v>150</v>
      </c>
      <c r="E550" s="1">
        <v>27350.0</v>
      </c>
    </row>
    <row r="551">
      <c r="A551" s="1">
        <v>14.0</v>
      </c>
      <c r="B551" s="1">
        <v>15.0</v>
      </c>
      <c r="C551" s="1">
        <v>23.0</v>
      </c>
      <c r="D551" s="1" t="s">
        <v>345</v>
      </c>
      <c r="E551" s="1">
        <v>27291.0</v>
      </c>
    </row>
    <row r="552">
      <c r="A552" s="1">
        <v>34.0</v>
      </c>
      <c r="B552" s="1">
        <v>9.0</v>
      </c>
      <c r="C552" s="1">
        <v>21.0</v>
      </c>
      <c r="D552" s="1" t="s">
        <v>149</v>
      </c>
      <c r="E552" s="1">
        <v>27115.0</v>
      </c>
    </row>
    <row r="553">
      <c r="A553" s="1">
        <v>5.0</v>
      </c>
      <c r="B553" s="1">
        <v>17.0</v>
      </c>
      <c r="C553" s="1">
        <v>85.0</v>
      </c>
      <c r="D553" s="1" t="s">
        <v>219</v>
      </c>
      <c r="E553" s="1">
        <v>27101.0</v>
      </c>
    </row>
    <row r="554">
      <c r="A554" s="1">
        <v>5.0</v>
      </c>
      <c r="B554" s="1">
        <v>17.0</v>
      </c>
      <c r="C554" s="1">
        <v>8.0</v>
      </c>
      <c r="D554" s="1" t="s">
        <v>189</v>
      </c>
      <c r="E554" s="1">
        <v>27055.0</v>
      </c>
    </row>
    <row r="555">
      <c r="A555" s="1">
        <v>19.0</v>
      </c>
      <c r="B555" s="1">
        <v>1.0</v>
      </c>
      <c r="C555" s="1">
        <v>10.0</v>
      </c>
      <c r="D555" s="1" t="s">
        <v>348</v>
      </c>
      <c r="E555" s="1">
        <v>26876.0</v>
      </c>
    </row>
    <row r="556">
      <c r="A556" s="1">
        <v>12.0</v>
      </c>
      <c r="B556" s="1">
        <v>3.0</v>
      </c>
      <c r="C556" s="1">
        <v>5.0</v>
      </c>
      <c r="D556" s="1" t="s">
        <v>160</v>
      </c>
      <c r="E556" s="1">
        <v>26823.0</v>
      </c>
    </row>
    <row r="557">
      <c r="A557" s="1">
        <v>27.0</v>
      </c>
      <c r="B557" s="1">
        <v>51.0</v>
      </c>
      <c r="C557" s="1">
        <v>55.0</v>
      </c>
      <c r="D557" s="1" t="s">
        <v>91</v>
      </c>
      <c r="E557" s="1">
        <v>26811.0</v>
      </c>
    </row>
    <row r="558">
      <c r="A558" s="1">
        <v>7.0</v>
      </c>
      <c r="B558" s="1">
        <v>1.0</v>
      </c>
      <c r="C558" s="1">
        <v>45.0</v>
      </c>
      <c r="D558" s="1" t="s">
        <v>171</v>
      </c>
      <c r="E558" s="1">
        <v>26763.0</v>
      </c>
    </row>
    <row r="559">
      <c r="A559" s="1">
        <v>31.0</v>
      </c>
      <c r="B559" s="1">
        <v>2.0</v>
      </c>
      <c r="C559" s="1">
        <v>30.0</v>
      </c>
      <c r="D559" s="1" t="s">
        <v>181</v>
      </c>
      <c r="E559" s="1">
        <v>26282.0</v>
      </c>
    </row>
    <row r="560">
      <c r="A560" s="1">
        <v>11.0</v>
      </c>
      <c r="B560" s="1">
        <v>14.0</v>
      </c>
      <c r="C560" s="1">
        <v>16.0</v>
      </c>
      <c r="D560" s="1" t="s">
        <v>168</v>
      </c>
      <c r="E560" s="1">
        <v>26078.0</v>
      </c>
    </row>
    <row r="561">
      <c r="A561" s="1">
        <v>31.0</v>
      </c>
      <c r="B561" s="1">
        <v>7.0</v>
      </c>
      <c r="C561" s="1">
        <v>27.0</v>
      </c>
      <c r="D561" s="1" t="s">
        <v>52</v>
      </c>
      <c r="E561" s="1">
        <v>25880.0</v>
      </c>
    </row>
    <row r="562">
      <c r="A562" s="1">
        <v>22.0</v>
      </c>
      <c r="B562" s="1">
        <v>6.0</v>
      </c>
      <c r="C562" s="1">
        <v>16.0</v>
      </c>
      <c r="D562" s="1" t="s">
        <v>355</v>
      </c>
      <c r="E562" s="1">
        <v>25752.0</v>
      </c>
    </row>
    <row r="563">
      <c r="A563" s="1">
        <v>27.0</v>
      </c>
      <c r="B563" s="1">
        <v>7.0</v>
      </c>
      <c r="C563" s="1">
        <v>59.0</v>
      </c>
      <c r="D563" s="1" t="s">
        <v>151</v>
      </c>
      <c r="E563" s="1">
        <v>25650.0</v>
      </c>
    </row>
    <row r="564">
      <c r="A564" s="1">
        <v>11.0</v>
      </c>
      <c r="B564" s="1">
        <v>5.0</v>
      </c>
      <c r="C564" s="1">
        <v>44.0</v>
      </c>
      <c r="D564" s="1" t="s">
        <v>173</v>
      </c>
      <c r="E564" s="1">
        <v>25611.0</v>
      </c>
    </row>
    <row r="565">
      <c r="A565" s="1">
        <v>11.0</v>
      </c>
      <c r="B565" s="1">
        <v>5.0</v>
      </c>
      <c r="C565" s="1">
        <v>9.0</v>
      </c>
      <c r="D565" s="1" t="s">
        <v>124</v>
      </c>
      <c r="E565" s="1">
        <v>25537.0</v>
      </c>
    </row>
    <row r="566">
      <c r="A566" s="1">
        <v>18.0</v>
      </c>
      <c r="B566" s="1">
        <v>1.0</v>
      </c>
      <c r="C566" s="1">
        <v>18.0</v>
      </c>
      <c r="D566" s="1" t="s">
        <v>76</v>
      </c>
      <c r="E566" s="1">
        <v>25324.0</v>
      </c>
    </row>
    <row r="567">
      <c r="A567" s="1">
        <v>3.0</v>
      </c>
      <c r="B567" s="1">
        <v>8.0</v>
      </c>
      <c r="C567" s="1">
        <v>7.0</v>
      </c>
      <c r="D567" s="1" t="s">
        <v>58</v>
      </c>
      <c r="E567" s="1">
        <v>24914.0</v>
      </c>
    </row>
    <row r="568">
      <c r="A568" s="1">
        <v>14.0</v>
      </c>
      <c r="B568" s="1">
        <v>15.0</v>
      </c>
      <c r="C568" s="1">
        <v>95.0</v>
      </c>
      <c r="D568" s="1" t="s">
        <v>325</v>
      </c>
      <c r="E568" s="1">
        <v>24738.0</v>
      </c>
    </row>
    <row r="569">
      <c r="A569" s="1">
        <v>13.0</v>
      </c>
      <c r="B569" s="1">
        <v>7.0</v>
      </c>
      <c r="C569" s="1">
        <v>15.0</v>
      </c>
      <c r="D569" s="1" t="s">
        <v>116</v>
      </c>
      <c r="E569" s="1">
        <v>24663.0</v>
      </c>
    </row>
    <row r="570">
      <c r="A570" s="1">
        <v>31.0</v>
      </c>
      <c r="B570" s="1">
        <v>2.0</v>
      </c>
      <c r="C570" s="1">
        <v>19.0</v>
      </c>
      <c r="D570" s="1" t="s">
        <v>72</v>
      </c>
      <c r="E570" s="1">
        <v>24609.0</v>
      </c>
    </row>
    <row r="571">
      <c r="A571" s="1">
        <v>3.0</v>
      </c>
      <c r="B571" s="1">
        <v>1.0</v>
      </c>
      <c r="C571" s="1">
        <v>1.0</v>
      </c>
      <c r="D571" s="1" t="s">
        <v>87</v>
      </c>
      <c r="E571" s="1">
        <v>24408.0</v>
      </c>
    </row>
    <row r="572">
      <c r="A572" s="1">
        <v>27.0</v>
      </c>
      <c r="B572" s="1">
        <v>7.0</v>
      </c>
      <c r="C572" s="1">
        <v>61.0</v>
      </c>
      <c r="D572" s="1" t="s">
        <v>145</v>
      </c>
      <c r="E572" s="1">
        <v>24030.0</v>
      </c>
    </row>
    <row r="573">
      <c r="A573" s="1">
        <v>16.0</v>
      </c>
      <c r="B573" s="1">
        <v>1.0</v>
      </c>
      <c r="C573" s="1">
        <v>241.0</v>
      </c>
      <c r="D573" s="1" t="s">
        <v>361</v>
      </c>
      <c r="E573" s="1">
        <v>24002.0</v>
      </c>
    </row>
    <row r="574">
      <c r="A574" s="1">
        <v>5.0</v>
      </c>
      <c r="B574" s="1">
        <v>23.0</v>
      </c>
      <c r="C574" s="1">
        <v>25.0</v>
      </c>
      <c r="D574" s="1" t="s">
        <v>223</v>
      </c>
      <c r="E574" s="1">
        <v>23992.0</v>
      </c>
    </row>
    <row r="575">
      <c r="A575" s="1">
        <v>11.0</v>
      </c>
      <c r="B575" s="1">
        <v>14.0</v>
      </c>
      <c r="C575" s="1">
        <v>15.0</v>
      </c>
      <c r="D575" s="1" t="s">
        <v>362</v>
      </c>
      <c r="E575" s="1">
        <v>23810.0</v>
      </c>
    </row>
    <row r="576">
      <c r="A576" s="1">
        <v>17.0</v>
      </c>
      <c r="B576" s="1">
        <v>13.0</v>
      </c>
      <c r="C576" s="1">
        <v>5.0</v>
      </c>
      <c r="D576" s="1" t="s">
        <v>160</v>
      </c>
      <c r="E576" s="1">
        <v>23651.0</v>
      </c>
    </row>
    <row r="577">
      <c r="A577" s="1">
        <v>28.0</v>
      </c>
      <c r="B577" s="1">
        <v>2.0</v>
      </c>
      <c r="C577" s="1">
        <v>21.0</v>
      </c>
      <c r="D577" s="1" t="s">
        <v>149</v>
      </c>
      <c r="E577" s="1">
        <v>23641.0</v>
      </c>
    </row>
    <row r="578">
      <c r="A578" s="1">
        <v>26.0</v>
      </c>
      <c r="B578" s="1">
        <v>1.0</v>
      </c>
      <c r="C578" s="1">
        <v>11.0</v>
      </c>
      <c r="D578" s="1" t="s">
        <v>365</v>
      </c>
      <c r="E578" s="1">
        <v>23446.0</v>
      </c>
    </row>
    <row r="579">
      <c r="A579" s="1">
        <v>11.0</v>
      </c>
      <c r="B579" s="1">
        <v>8.0</v>
      </c>
      <c r="C579" s="1">
        <v>8.0</v>
      </c>
      <c r="D579" s="1" t="s">
        <v>189</v>
      </c>
      <c r="E579" s="1">
        <v>23328.0</v>
      </c>
    </row>
    <row r="580">
      <c r="A580" s="1">
        <v>34.0</v>
      </c>
      <c r="B580" s="1">
        <v>9.0</v>
      </c>
      <c r="C580" s="1">
        <v>7.0</v>
      </c>
      <c r="D580" s="1" t="s">
        <v>58</v>
      </c>
      <c r="E580" s="1">
        <v>23151.0</v>
      </c>
    </row>
    <row r="581">
      <c r="A581" s="1">
        <v>14.0</v>
      </c>
      <c r="B581" s="1">
        <v>40.0</v>
      </c>
      <c r="C581" s="1">
        <v>10.0</v>
      </c>
      <c r="D581" s="1" t="s">
        <v>368</v>
      </c>
      <c r="E581" s="1">
        <v>23142.0</v>
      </c>
    </row>
    <row r="582">
      <c r="A582" s="1">
        <v>33.0</v>
      </c>
      <c r="B582" s="1">
        <v>33.0</v>
      </c>
      <c r="C582" s="1">
        <v>54.0</v>
      </c>
      <c r="D582" s="1" t="s">
        <v>241</v>
      </c>
      <c r="E582" s="1">
        <v>23111.0</v>
      </c>
    </row>
    <row r="583">
      <c r="A583" s="1">
        <v>7.0</v>
      </c>
      <c r="B583" s="1">
        <v>2.0</v>
      </c>
      <c r="C583" s="1">
        <v>15.0</v>
      </c>
      <c r="D583" s="1" t="s">
        <v>369</v>
      </c>
      <c r="E583" s="1">
        <v>23004.0</v>
      </c>
    </row>
    <row r="584">
      <c r="A584" s="1">
        <v>8.0</v>
      </c>
      <c r="B584" s="1">
        <v>5.0</v>
      </c>
      <c r="C584" s="1">
        <v>12.0</v>
      </c>
      <c r="D584" s="1" t="s">
        <v>177</v>
      </c>
      <c r="E584" s="1">
        <v>22987.0</v>
      </c>
    </row>
    <row r="585">
      <c r="A585" s="1">
        <v>28.0</v>
      </c>
      <c r="B585" s="1">
        <v>2.0</v>
      </c>
      <c r="C585" s="1">
        <v>22.0</v>
      </c>
      <c r="D585" s="1" t="s">
        <v>201</v>
      </c>
      <c r="E585" s="1">
        <v>22905.0</v>
      </c>
    </row>
    <row r="586">
      <c r="A586" s="1">
        <v>26.0</v>
      </c>
      <c r="B586" s="1">
        <v>1.0</v>
      </c>
      <c r="C586" s="1">
        <v>22.0</v>
      </c>
      <c r="D586" s="1" t="s">
        <v>201</v>
      </c>
      <c r="E586" s="1">
        <v>22900.0</v>
      </c>
    </row>
    <row r="587">
      <c r="A587" s="1">
        <v>27.0</v>
      </c>
      <c r="B587" s="1">
        <v>7.0</v>
      </c>
      <c r="C587" s="1">
        <v>57.0</v>
      </c>
      <c r="D587" s="1" t="s">
        <v>89</v>
      </c>
      <c r="E587" s="1">
        <v>22610.0</v>
      </c>
    </row>
    <row r="588">
      <c r="A588" s="1">
        <v>30.0</v>
      </c>
      <c r="B588" s="1">
        <v>1.0</v>
      </c>
      <c r="C588" s="1">
        <v>10.0</v>
      </c>
      <c r="D588" s="1" t="s">
        <v>140</v>
      </c>
      <c r="E588" s="1">
        <v>22605.0</v>
      </c>
    </row>
    <row r="589">
      <c r="A589" s="1">
        <v>34.0</v>
      </c>
      <c r="B589" s="1">
        <v>9.0</v>
      </c>
      <c r="C589" s="1">
        <v>6.0</v>
      </c>
      <c r="D589" s="1" t="s">
        <v>185</v>
      </c>
      <c r="E589" s="1">
        <v>22416.0</v>
      </c>
    </row>
    <row r="590">
      <c r="A590" s="1">
        <v>5.0</v>
      </c>
      <c r="B590" s="1">
        <v>12.0</v>
      </c>
      <c r="C590" s="1">
        <v>60.0</v>
      </c>
      <c r="D590" s="1" t="s">
        <v>254</v>
      </c>
      <c r="E590" s="1">
        <v>22252.0</v>
      </c>
    </row>
    <row r="591">
      <c r="A591" s="1">
        <v>30.0</v>
      </c>
      <c r="B591" s="1">
        <v>1.0</v>
      </c>
      <c r="C591" s="1">
        <v>6.0</v>
      </c>
      <c r="D591" s="1" t="s">
        <v>185</v>
      </c>
      <c r="E591" s="1">
        <v>22113.0</v>
      </c>
    </row>
    <row r="592">
      <c r="A592" s="1">
        <v>15.0</v>
      </c>
      <c r="B592" s="1">
        <v>80.0</v>
      </c>
      <c r="C592" s="1">
        <v>82.0</v>
      </c>
      <c r="D592" s="1" t="s">
        <v>147</v>
      </c>
      <c r="E592" s="1">
        <v>22044.0</v>
      </c>
    </row>
    <row r="593">
      <c r="A593" s="1">
        <v>33.0</v>
      </c>
      <c r="B593" s="1">
        <v>33.0</v>
      </c>
      <c r="C593" s="1">
        <v>49.0</v>
      </c>
      <c r="D593" s="1" t="s">
        <v>134</v>
      </c>
      <c r="E593" s="1">
        <v>21786.0</v>
      </c>
    </row>
    <row r="594">
      <c r="A594" s="1">
        <v>28.0</v>
      </c>
      <c r="B594" s="1">
        <v>2.0</v>
      </c>
      <c r="C594" s="1">
        <v>23.0</v>
      </c>
      <c r="D594" s="1" t="s">
        <v>104</v>
      </c>
      <c r="E594" s="1">
        <v>21644.0</v>
      </c>
    </row>
    <row r="595">
      <c r="A595" s="1">
        <v>30.0</v>
      </c>
      <c r="B595" s="1">
        <v>1.0</v>
      </c>
      <c r="C595" s="1">
        <v>22.0</v>
      </c>
      <c r="D595" s="1" t="s">
        <v>201</v>
      </c>
      <c r="E595" s="1">
        <v>21587.0</v>
      </c>
    </row>
    <row r="596">
      <c r="A596" s="1">
        <v>22.0</v>
      </c>
      <c r="B596" s="1">
        <v>1.0</v>
      </c>
      <c r="C596" s="1">
        <v>47.0</v>
      </c>
      <c r="D596" s="1" t="s">
        <v>61</v>
      </c>
      <c r="E596" s="1">
        <v>21529.0</v>
      </c>
    </row>
    <row r="597">
      <c r="A597" s="1">
        <v>10.0</v>
      </c>
      <c r="B597" s="1">
        <v>1.0</v>
      </c>
      <c r="C597" s="1">
        <v>2.0</v>
      </c>
      <c r="D597" s="1" t="s">
        <v>119</v>
      </c>
      <c r="E597" s="1">
        <v>21486.0</v>
      </c>
    </row>
    <row r="598">
      <c r="A598" s="1">
        <v>14.0</v>
      </c>
      <c r="B598" s="1">
        <v>39.0</v>
      </c>
      <c r="C598" s="1">
        <v>40.0</v>
      </c>
      <c r="D598" s="1" t="s">
        <v>374</v>
      </c>
      <c r="E598" s="1">
        <v>21473.0</v>
      </c>
    </row>
    <row r="599">
      <c r="A599" s="1">
        <v>14.0</v>
      </c>
      <c r="B599" s="1">
        <v>12.0</v>
      </c>
      <c r="C599" s="1">
        <v>47.0</v>
      </c>
      <c r="D599" s="1" t="s">
        <v>61</v>
      </c>
      <c r="E599" s="1">
        <v>21472.0</v>
      </c>
    </row>
    <row r="600">
      <c r="A600" s="1">
        <v>26.0</v>
      </c>
      <c r="B600" s="1">
        <v>4.0</v>
      </c>
      <c r="C600" s="1">
        <v>9.0</v>
      </c>
      <c r="D600" s="1" t="s">
        <v>375</v>
      </c>
      <c r="E600" s="1">
        <v>21371.0</v>
      </c>
    </row>
    <row r="601">
      <c r="A601" s="1">
        <v>11.0</v>
      </c>
      <c r="B601" s="1">
        <v>17.0</v>
      </c>
      <c r="C601" s="1">
        <v>27.0</v>
      </c>
      <c r="D601" s="1" t="s">
        <v>52</v>
      </c>
      <c r="E601" s="1">
        <v>21334.0</v>
      </c>
    </row>
    <row r="602">
      <c r="A602" s="1">
        <v>18.0</v>
      </c>
      <c r="B602" s="1">
        <v>15.0</v>
      </c>
      <c r="C602" s="1">
        <v>4.0</v>
      </c>
      <c r="D602" s="1" t="s">
        <v>209</v>
      </c>
      <c r="E602" s="1">
        <v>21231.0</v>
      </c>
    </row>
    <row r="603">
      <c r="A603" s="1">
        <v>7.0</v>
      </c>
      <c r="B603" s="1">
        <v>1.0</v>
      </c>
      <c r="C603" s="1">
        <v>34.0</v>
      </c>
      <c r="D603" s="1" t="s">
        <v>55</v>
      </c>
      <c r="E603" s="1">
        <v>21152.0</v>
      </c>
    </row>
    <row r="604">
      <c r="A604" s="1">
        <v>14.0</v>
      </c>
      <c r="B604" s="1">
        <v>39.0</v>
      </c>
      <c r="C604" s="1">
        <v>49.0</v>
      </c>
      <c r="D604" s="1" t="s">
        <v>134</v>
      </c>
      <c r="E604" s="1">
        <v>21131.0</v>
      </c>
    </row>
    <row r="605">
      <c r="A605" s="1">
        <v>8.0</v>
      </c>
      <c r="B605" s="1">
        <v>22.0</v>
      </c>
      <c r="C605" s="1">
        <v>24.0</v>
      </c>
      <c r="D605" s="1" t="s">
        <v>338</v>
      </c>
      <c r="E605" s="1">
        <v>21106.0</v>
      </c>
    </row>
    <row r="606">
      <c r="A606" s="1">
        <v>26.0</v>
      </c>
      <c r="B606" s="1">
        <v>5.0</v>
      </c>
      <c r="C606" s="1">
        <v>21.0</v>
      </c>
      <c r="D606" s="1" t="s">
        <v>149</v>
      </c>
      <c r="E606" s="1">
        <v>21105.0</v>
      </c>
    </row>
    <row r="607">
      <c r="A607" s="1">
        <v>13.0</v>
      </c>
      <c r="B607" s="1">
        <v>1.0</v>
      </c>
      <c r="C607" s="1">
        <v>29.0</v>
      </c>
      <c r="D607" s="1" t="s">
        <v>270</v>
      </c>
      <c r="E607" s="1">
        <v>20939.0</v>
      </c>
    </row>
    <row r="608">
      <c r="A608" s="1">
        <v>27.0</v>
      </c>
      <c r="B608" s="1">
        <v>51.0</v>
      </c>
      <c r="C608" s="1">
        <v>19.0</v>
      </c>
      <c r="D608" s="1" t="s">
        <v>72</v>
      </c>
      <c r="E608" s="1">
        <v>20832.0</v>
      </c>
    </row>
    <row r="609">
      <c r="A609" s="1">
        <v>16.0</v>
      </c>
      <c r="B609" s="1">
        <v>1.0</v>
      </c>
      <c r="C609" s="1">
        <v>229.0</v>
      </c>
      <c r="D609" s="1" t="s">
        <v>376</v>
      </c>
      <c r="E609" s="1">
        <v>20743.0</v>
      </c>
    </row>
    <row r="610">
      <c r="A610" s="1">
        <v>18.0</v>
      </c>
      <c r="B610" s="1">
        <v>1.0</v>
      </c>
      <c r="C610" s="1">
        <v>2.0</v>
      </c>
      <c r="D610" s="1" t="s">
        <v>112</v>
      </c>
      <c r="E610" s="1">
        <v>20704.0</v>
      </c>
    </row>
    <row r="611">
      <c r="A611" s="1">
        <v>27.0</v>
      </c>
      <c r="B611" s="1">
        <v>10.0</v>
      </c>
      <c r="C611" s="1">
        <v>21.0</v>
      </c>
      <c r="D611" s="1" t="s">
        <v>149</v>
      </c>
      <c r="E611" s="1">
        <v>20467.0</v>
      </c>
    </row>
    <row r="612">
      <c r="A612" s="1">
        <v>33.0</v>
      </c>
      <c r="B612" s="1">
        <v>33.0</v>
      </c>
      <c r="C612" s="1">
        <v>19.0</v>
      </c>
      <c r="D612" s="1" t="s">
        <v>72</v>
      </c>
      <c r="E612" s="1">
        <v>20348.0</v>
      </c>
    </row>
    <row r="613">
      <c r="A613" s="1">
        <v>1.0</v>
      </c>
      <c r="B613" s="1">
        <v>1.0</v>
      </c>
      <c r="C613" s="1">
        <v>5.0</v>
      </c>
      <c r="D613" s="1" t="s">
        <v>160</v>
      </c>
      <c r="E613" s="1">
        <v>20318.0</v>
      </c>
    </row>
    <row r="614">
      <c r="A614" s="1">
        <v>29.0</v>
      </c>
      <c r="B614" s="1">
        <v>19.0</v>
      </c>
      <c r="C614" s="1">
        <v>18.0</v>
      </c>
      <c r="D614" s="1" t="s">
        <v>76</v>
      </c>
      <c r="E614" s="1">
        <v>20260.0</v>
      </c>
    </row>
    <row r="615">
      <c r="A615" s="1">
        <v>27.0</v>
      </c>
      <c r="B615" s="1">
        <v>7.0</v>
      </c>
      <c r="C615" s="1">
        <v>60.0</v>
      </c>
      <c r="D615" s="1" t="s">
        <v>254</v>
      </c>
      <c r="E615" s="1">
        <v>20224.0</v>
      </c>
    </row>
    <row r="616">
      <c r="A616" s="1">
        <v>27.0</v>
      </c>
      <c r="B616" s="1">
        <v>7.0</v>
      </c>
      <c r="C616" s="1">
        <v>62.0</v>
      </c>
      <c r="D616" s="1" t="s">
        <v>67</v>
      </c>
      <c r="E616" s="1">
        <v>20120.0</v>
      </c>
    </row>
    <row r="617">
      <c r="A617" s="1">
        <v>27.0</v>
      </c>
      <c r="B617" s="1">
        <v>70.0</v>
      </c>
      <c r="C617" s="1">
        <v>67.0</v>
      </c>
      <c r="D617" s="1" t="s">
        <v>213</v>
      </c>
      <c r="E617" s="1">
        <v>20120.0</v>
      </c>
    </row>
    <row r="618">
      <c r="A618" s="1">
        <v>14.0</v>
      </c>
      <c r="B618" s="1">
        <v>22.0</v>
      </c>
      <c r="C618" s="1">
        <v>62.0</v>
      </c>
      <c r="D618" s="1" t="s">
        <v>67</v>
      </c>
      <c r="E618" s="1">
        <v>20007.0</v>
      </c>
    </row>
    <row r="619">
      <c r="A619" s="1">
        <v>32.0</v>
      </c>
      <c r="B619" s="1">
        <v>3.0</v>
      </c>
      <c r="C619" s="1">
        <v>2.0</v>
      </c>
      <c r="D619" s="1" t="s">
        <v>112</v>
      </c>
      <c r="E619" s="1">
        <v>19884.0</v>
      </c>
    </row>
    <row r="620">
      <c r="A620" s="1">
        <v>7.0</v>
      </c>
      <c r="B620" s="1">
        <v>1.0</v>
      </c>
      <c r="C620" s="1">
        <v>14.0</v>
      </c>
      <c r="D620" s="1" t="s">
        <v>378</v>
      </c>
      <c r="E620" s="1">
        <v>19739.0</v>
      </c>
    </row>
    <row r="621">
      <c r="A621" s="1">
        <v>14.0</v>
      </c>
      <c r="B621" s="1">
        <v>22.0</v>
      </c>
      <c r="C621" s="1">
        <v>19.0</v>
      </c>
      <c r="D621" s="1" t="s">
        <v>379</v>
      </c>
      <c r="E621" s="1">
        <v>19696.0</v>
      </c>
    </row>
    <row r="622">
      <c r="A622" s="1">
        <v>21.0</v>
      </c>
      <c r="B622" s="1">
        <v>53.0</v>
      </c>
      <c r="C622" s="1">
        <v>32.0</v>
      </c>
      <c r="D622" s="1" t="s">
        <v>127</v>
      </c>
      <c r="E622" s="1">
        <v>19634.0</v>
      </c>
    </row>
    <row r="623">
      <c r="A623" s="1">
        <v>5.0</v>
      </c>
      <c r="B623" s="1">
        <v>17.0</v>
      </c>
      <c r="C623" s="1">
        <v>10.0</v>
      </c>
      <c r="D623" s="1" t="s">
        <v>140</v>
      </c>
      <c r="E623" s="1">
        <v>19469.0</v>
      </c>
    </row>
    <row r="624">
      <c r="A624" s="1">
        <v>20.0</v>
      </c>
      <c r="B624" s="1">
        <v>31.0</v>
      </c>
      <c r="C624" s="1">
        <v>45.0</v>
      </c>
      <c r="D624" s="1" t="s">
        <v>171</v>
      </c>
      <c r="E624" s="1">
        <v>19439.0</v>
      </c>
    </row>
    <row r="625">
      <c r="A625" s="1">
        <v>12.0</v>
      </c>
      <c r="B625" s="1">
        <v>3.0</v>
      </c>
      <c r="C625" s="1">
        <v>19.0</v>
      </c>
      <c r="D625" s="1" t="s">
        <v>212</v>
      </c>
      <c r="E625" s="1">
        <v>19426.0</v>
      </c>
    </row>
    <row r="626">
      <c r="A626" s="1">
        <v>28.0</v>
      </c>
      <c r="B626" s="1">
        <v>1.0</v>
      </c>
      <c r="C626" s="1">
        <v>27.0</v>
      </c>
      <c r="D626" s="1" t="s">
        <v>52</v>
      </c>
      <c r="E626" s="1">
        <v>19347.0</v>
      </c>
    </row>
    <row r="627">
      <c r="A627" s="1">
        <v>16.0</v>
      </c>
      <c r="B627" s="1">
        <v>1.0</v>
      </c>
      <c r="C627" s="1">
        <v>243.0</v>
      </c>
      <c r="D627" s="1" t="s">
        <v>380</v>
      </c>
      <c r="E627" s="1">
        <v>19218.0</v>
      </c>
    </row>
    <row r="628">
      <c r="A628" s="1">
        <v>15.0</v>
      </c>
      <c r="B628" s="1">
        <v>80.0</v>
      </c>
      <c r="C628" s="1">
        <v>73.0</v>
      </c>
      <c r="D628" s="1" t="s">
        <v>137</v>
      </c>
      <c r="E628" s="1">
        <v>19207.0</v>
      </c>
    </row>
    <row r="629">
      <c r="A629" s="1">
        <v>7.0</v>
      </c>
      <c r="B629" s="1">
        <v>1.0</v>
      </c>
      <c r="C629" s="1">
        <v>24.0</v>
      </c>
      <c r="D629" s="1" t="s">
        <v>148</v>
      </c>
      <c r="E629" s="1">
        <v>18813.0</v>
      </c>
    </row>
    <row r="630">
      <c r="A630" s="1">
        <v>26.0</v>
      </c>
      <c r="B630" s="1">
        <v>3.0</v>
      </c>
      <c r="C630" s="1">
        <v>8.0</v>
      </c>
      <c r="D630" s="1" t="s">
        <v>382</v>
      </c>
      <c r="E630" s="1">
        <v>18748.0</v>
      </c>
    </row>
    <row r="631">
      <c r="A631" s="1">
        <v>25.0</v>
      </c>
      <c r="B631" s="1">
        <v>1.0</v>
      </c>
      <c r="C631" s="1">
        <v>21.0</v>
      </c>
      <c r="D631" s="1" t="s">
        <v>149</v>
      </c>
      <c r="E631" s="1">
        <v>18636.0</v>
      </c>
    </row>
    <row r="632">
      <c r="A632" s="1">
        <v>30.0</v>
      </c>
      <c r="B632" s="1">
        <v>1.0</v>
      </c>
      <c r="C632" s="1">
        <v>37.0</v>
      </c>
      <c r="D632" s="1" t="s">
        <v>73</v>
      </c>
      <c r="E632" s="1">
        <v>18587.0</v>
      </c>
    </row>
    <row r="633">
      <c r="A633" s="1">
        <v>21.0</v>
      </c>
      <c r="B633" s="1">
        <v>3.0</v>
      </c>
      <c r="C633" s="1">
        <v>5.0</v>
      </c>
      <c r="D633" s="1" t="s">
        <v>160</v>
      </c>
      <c r="E633" s="1">
        <v>18565.0</v>
      </c>
    </row>
    <row r="634">
      <c r="A634" s="1">
        <v>14.0</v>
      </c>
      <c r="B634" s="1">
        <v>22.0</v>
      </c>
      <c r="C634" s="1">
        <v>18.0</v>
      </c>
      <c r="D634" s="1" t="s">
        <v>314</v>
      </c>
      <c r="E634" s="1">
        <v>18542.0</v>
      </c>
    </row>
    <row r="635">
      <c r="A635" s="1">
        <v>23.0</v>
      </c>
      <c r="B635" s="1">
        <v>1.0</v>
      </c>
      <c r="C635" s="1">
        <v>57.0</v>
      </c>
      <c r="D635" s="1" t="s">
        <v>384</v>
      </c>
      <c r="E635" s="1">
        <v>18453.0</v>
      </c>
    </row>
    <row r="636">
      <c r="A636" s="1">
        <v>33.0</v>
      </c>
      <c r="B636" s="1">
        <v>33.0</v>
      </c>
      <c r="C636" s="1">
        <v>50.0</v>
      </c>
      <c r="D636" s="1" t="s">
        <v>208</v>
      </c>
      <c r="E636" s="1">
        <v>18441.0</v>
      </c>
    </row>
    <row r="637">
      <c r="A637" s="1">
        <v>25.0</v>
      </c>
      <c r="B637" s="1">
        <v>5.0</v>
      </c>
      <c r="C637" s="1">
        <v>37.0</v>
      </c>
      <c r="D637" s="1" t="s">
        <v>73</v>
      </c>
      <c r="E637" s="1">
        <v>18349.0</v>
      </c>
    </row>
    <row r="638">
      <c r="A638" s="1">
        <v>34.0</v>
      </c>
      <c r="B638" s="1">
        <v>1.0</v>
      </c>
      <c r="C638" s="1">
        <v>5.0</v>
      </c>
      <c r="D638" s="1" t="s">
        <v>160</v>
      </c>
      <c r="E638" s="1">
        <v>18283.0</v>
      </c>
    </row>
    <row r="639">
      <c r="A639" s="1">
        <v>2.0</v>
      </c>
      <c r="B639" s="1">
        <v>1.0</v>
      </c>
      <c r="C639" s="1">
        <v>2.0</v>
      </c>
      <c r="D639" s="1" t="s">
        <v>386</v>
      </c>
      <c r="E639" s="1">
        <v>18188.0</v>
      </c>
    </row>
    <row r="640">
      <c r="A640" s="1">
        <v>8.0</v>
      </c>
      <c r="B640" s="1">
        <v>10.0</v>
      </c>
      <c r="C640" s="1">
        <v>63.0</v>
      </c>
      <c r="D640" s="1" t="s">
        <v>144</v>
      </c>
      <c r="E640" s="1">
        <v>18178.0</v>
      </c>
    </row>
    <row r="641">
      <c r="A641" s="1">
        <v>34.0</v>
      </c>
      <c r="B641" s="1">
        <v>1.0</v>
      </c>
      <c r="C641" s="1">
        <v>28.0</v>
      </c>
      <c r="D641" s="1" t="s">
        <v>75</v>
      </c>
      <c r="E641" s="1">
        <v>18131.0</v>
      </c>
    </row>
    <row r="642">
      <c r="A642" s="1">
        <v>21.0</v>
      </c>
      <c r="B642" s="1">
        <v>2.0</v>
      </c>
      <c r="C642" s="1">
        <v>18.0</v>
      </c>
      <c r="D642" s="1" t="s">
        <v>387</v>
      </c>
      <c r="E642" s="1">
        <v>18068.0</v>
      </c>
    </row>
    <row r="643">
      <c r="A643" s="1">
        <v>12.0</v>
      </c>
      <c r="B643" s="1">
        <v>2.0</v>
      </c>
      <c r="C643" s="1">
        <v>28.0</v>
      </c>
      <c r="D643" s="1" t="s">
        <v>75</v>
      </c>
      <c r="E643" s="1">
        <v>18060.0</v>
      </c>
    </row>
    <row r="644">
      <c r="A644" s="1">
        <v>28.0</v>
      </c>
      <c r="B644" s="1">
        <v>1.0</v>
      </c>
      <c r="C644" s="1">
        <v>20.0</v>
      </c>
      <c r="D644" s="1" t="s">
        <v>176</v>
      </c>
      <c r="E644" s="1">
        <v>17965.0</v>
      </c>
    </row>
    <row r="645">
      <c r="A645" s="1">
        <v>11.0</v>
      </c>
      <c r="B645" s="1">
        <v>5.0</v>
      </c>
      <c r="C645" s="1">
        <v>22.0</v>
      </c>
      <c r="D645" s="1" t="s">
        <v>201</v>
      </c>
      <c r="E645" s="1">
        <v>17944.0</v>
      </c>
    </row>
    <row r="646">
      <c r="A646" s="1">
        <v>16.0</v>
      </c>
      <c r="B646" s="1">
        <v>1.0</v>
      </c>
      <c r="C646" s="1">
        <v>233.0</v>
      </c>
      <c r="D646" s="1" t="s">
        <v>389</v>
      </c>
      <c r="E646" s="1">
        <v>17932.0</v>
      </c>
    </row>
    <row r="647">
      <c r="A647" s="1">
        <v>26.0</v>
      </c>
      <c r="B647" s="1">
        <v>4.0</v>
      </c>
      <c r="C647" s="1">
        <v>15.0</v>
      </c>
      <c r="D647" s="1" t="s">
        <v>391</v>
      </c>
      <c r="E647" s="1">
        <v>17885.0</v>
      </c>
    </row>
    <row r="648">
      <c r="A648" s="1">
        <v>32.0</v>
      </c>
      <c r="B648" s="1">
        <v>45.0</v>
      </c>
      <c r="C648" s="1">
        <v>66.0</v>
      </c>
      <c r="D648" s="1" t="s">
        <v>132</v>
      </c>
      <c r="E648" s="1">
        <v>17838.0</v>
      </c>
    </row>
    <row r="649">
      <c r="A649" s="1">
        <v>14.0</v>
      </c>
      <c r="B649" s="1">
        <v>12.0</v>
      </c>
      <c r="C649" s="1">
        <v>84.0</v>
      </c>
      <c r="D649" s="1" t="s">
        <v>202</v>
      </c>
      <c r="E649" s="1">
        <v>17696.0</v>
      </c>
    </row>
    <row r="650">
      <c r="A650" s="1">
        <v>31.0</v>
      </c>
      <c r="B650" s="1">
        <v>7.0</v>
      </c>
      <c r="C650" s="1">
        <v>59.0</v>
      </c>
      <c r="D650" s="1" t="s">
        <v>151</v>
      </c>
      <c r="E650" s="1">
        <v>17566.0</v>
      </c>
    </row>
    <row r="651">
      <c r="A651" s="1">
        <v>20.0</v>
      </c>
      <c r="B651" s="1">
        <v>31.0</v>
      </c>
      <c r="C651" s="1">
        <v>10.0</v>
      </c>
      <c r="D651" s="1" t="s">
        <v>348</v>
      </c>
      <c r="E651" s="1">
        <v>17545.0</v>
      </c>
    </row>
    <row r="652">
      <c r="A652" s="1">
        <v>31.0</v>
      </c>
      <c r="B652" s="1">
        <v>12.0</v>
      </c>
      <c r="C652" s="1">
        <v>40.0</v>
      </c>
      <c r="D652" s="1" t="s">
        <v>175</v>
      </c>
      <c r="E652" s="1">
        <v>17483.0</v>
      </c>
    </row>
    <row r="653">
      <c r="A653" s="1">
        <v>32.0</v>
      </c>
      <c r="B653" s="1">
        <v>3.0</v>
      </c>
      <c r="C653" s="1">
        <v>5.0</v>
      </c>
      <c r="D653" s="1" t="s">
        <v>160</v>
      </c>
      <c r="E653" s="1">
        <v>17408.0</v>
      </c>
    </row>
    <row r="654">
      <c r="A654" s="1">
        <v>30.0</v>
      </c>
      <c r="B654" s="1">
        <v>1.0</v>
      </c>
      <c r="C654" s="1">
        <v>51.0</v>
      </c>
      <c r="D654" s="1" t="s">
        <v>152</v>
      </c>
      <c r="E654" s="1">
        <v>17281.0</v>
      </c>
    </row>
    <row r="655">
      <c r="A655" s="1">
        <v>19.0</v>
      </c>
      <c r="B655" s="1">
        <v>1.0</v>
      </c>
      <c r="C655" s="1">
        <v>8.0</v>
      </c>
      <c r="D655" s="1" t="s">
        <v>262</v>
      </c>
      <c r="E655" s="1">
        <v>17136.0</v>
      </c>
    </row>
    <row r="656">
      <c r="A656" s="1">
        <v>14.0</v>
      </c>
      <c r="B656" s="1">
        <v>22.0</v>
      </c>
      <c r="C656" s="1">
        <v>15.0</v>
      </c>
      <c r="D656" s="1" t="s">
        <v>362</v>
      </c>
      <c r="E656" s="1">
        <v>17085.0</v>
      </c>
    </row>
    <row r="657">
      <c r="A657" s="1">
        <v>25.0</v>
      </c>
      <c r="B657" s="1">
        <v>5.0</v>
      </c>
      <c r="C657" s="1">
        <v>13.0</v>
      </c>
      <c r="D657" s="1" t="s">
        <v>99</v>
      </c>
      <c r="E657" s="1">
        <v>17084.0</v>
      </c>
    </row>
    <row r="658">
      <c r="A658" s="1">
        <v>11.0</v>
      </c>
      <c r="B658" s="1">
        <v>17.0</v>
      </c>
      <c r="C658" s="1">
        <v>28.0</v>
      </c>
      <c r="D658" s="1" t="s">
        <v>75</v>
      </c>
      <c r="E658" s="1">
        <v>16983.0</v>
      </c>
    </row>
    <row r="659">
      <c r="A659" s="1">
        <v>4.0</v>
      </c>
      <c r="B659" s="1">
        <v>1.0</v>
      </c>
      <c r="C659" s="1">
        <v>2.0</v>
      </c>
      <c r="D659" s="1" t="s">
        <v>112</v>
      </c>
      <c r="E659" s="1">
        <v>16966.0</v>
      </c>
    </row>
    <row r="660">
      <c r="A660" s="1">
        <v>16.0</v>
      </c>
      <c r="B660" s="1">
        <v>5.0</v>
      </c>
      <c r="C660" s="1">
        <v>88.0</v>
      </c>
      <c r="D660" s="1" t="s">
        <v>259</v>
      </c>
      <c r="E660" s="1">
        <v>16952.0</v>
      </c>
    </row>
    <row r="661">
      <c r="A661" s="1">
        <v>13.0</v>
      </c>
      <c r="B661" s="1">
        <v>10.0</v>
      </c>
      <c r="C661" s="1">
        <v>9.0</v>
      </c>
      <c r="D661" s="1" t="s">
        <v>124</v>
      </c>
      <c r="E661" s="1">
        <v>16951.0</v>
      </c>
    </row>
    <row r="662">
      <c r="A662" s="1">
        <v>2.0</v>
      </c>
      <c r="B662" s="1">
        <v>1.0</v>
      </c>
      <c r="C662" s="1">
        <v>10.0</v>
      </c>
      <c r="D662" s="1" t="s">
        <v>368</v>
      </c>
      <c r="E662" s="1">
        <v>16946.0</v>
      </c>
    </row>
    <row r="663">
      <c r="A663" s="1">
        <v>15.0</v>
      </c>
      <c r="B663" s="1">
        <v>80.0</v>
      </c>
      <c r="C663" s="1">
        <v>85.0</v>
      </c>
      <c r="D663" s="1" t="s">
        <v>219</v>
      </c>
      <c r="E663" s="1">
        <v>16929.0</v>
      </c>
    </row>
    <row r="664">
      <c r="A664" s="1">
        <v>24.0</v>
      </c>
      <c r="B664" s="1">
        <v>1.0</v>
      </c>
      <c r="C664" s="1">
        <v>6.0</v>
      </c>
      <c r="D664" s="1" t="s">
        <v>185</v>
      </c>
      <c r="E664" s="1">
        <v>16912.0</v>
      </c>
    </row>
    <row r="665">
      <c r="A665" s="1">
        <v>32.0</v>
      </c>
      <c r="B665" s="1">
        <v>2.0</v>
      </c>
      <c r="C665" s="1">
        <v>58.0</v>
      </c>
      <c r="D665" s="1" t="s">
        <v>154</v>
      </c>
      <c r="E665" s="1">
        <v>16893.0</v>
      </c>
    </row>
    <row r="666">
      <c r="A666" s="1">
        <v>18.0</v>
      </c>
      <c r="B666" s="1">
        <v>15.0</v>
      </c>
      <c r="C666" s="1">
        <v>6.0</v>
      </c>
      <c r="D666" s="1" t="s">
        <v>185</v>
      </c>
      <c r="E666" s="1">
        <v>16889.0</v>
      </c>
    </row>
    <row r="667">
      <c r="A667" s="1">
        <v>17.0</v>
      </c>
      <c r="B667" s="1">
        <v>27.0</v>
      </c>
      <c r="C667" s="1">
        <v>27.0</v>
      </c>
      <c r="D667" s="1" t="s">
        <v>52</v>
      </c>
      <c r="E667" s="1">
        <v>16786.0</v>
      </c>
    </row>
    <row r="668">
      <c r="A668" s="1">
        <v>4.0</v>
      </c>
      <c r="B668" s="1">
        <v>1.0</v>
      </c>
      <c r="C668" s="1">
        <v>5.0</v>
      </c>
      <c r="D668" s="1" t="s">
        <v>160</v>
      </c>
      <c r="E668" s="1">
        <v>16681.0</v>
      </c>
    </row>
    <row r="669">
      <c r="A669" s="1">
        <v>26.0</v>
      </c>
      <c r="B669" s="1">
        <v>3.0</v>
      </c>
      <c r="C669" s="1">
        <v>6.0</v>
      </c>
      <c r="D669" s="1" t="s">
        <v>398</v>
      </c>
      <c r="E669" s="1">
        <v>16595.0</v>
      </c>
    </row>
    <row r="670">
      <c r="A670" s="1">
        <v>14.0</v>
      </c>
      <c r="B670" s="1">
        <v>40.0</v>
      </c>
      <c r="C670" s="1">
        <v>58.0</v>
      </c>
      <c r="D670" s="1" t="s">
        <v>154</v>
      </c>
      <c r="E670" s="1">
        <v>16460.0</v>
      </c>
    </row>
    <row r="671">
      <c r="A671" s="1">
        <v>27.0</v>
      </c>
      <c r="B671" s="1">
        <v>57.0</v>
      </c>
      <c r="C671" s="1">
        <v>23.0</v>
      </c>
      <c r="D671" s="1" t="s">
        <v>231</v>
      </c>
      <c r="E671" s="1">
        <v>16271.0</v>
      </c>
    </row>
    <row r="672">
      <c r="A672" s="1">
        <v>5.0</v>
      </c>
      <c r="B672" s="1">
        <v>12.0</v>
      </c>
      <c r="C672" s="1">
        <v>12.0</v>
      </c>
      <c r="D672" s="1" t="s">
        <v>177</v>
      </c>
      <c r="E672" s="1">
        <v>16206.0</v>
      </c>
    </row>
    <row r="673">
      <c r="A673" s="1">
        <v>31.0</v>
      </c>
      <c r="B673" s="1">
        <v>7.0</v>
      </c>
      <c r="C673" s="1">
        <v>47.0</v>
      </c>
      <c r="D673" s="1" t="s">
        <v>61</v>
      </c>
      <c r="E673" s="1">
        <v>16144.0</v>
      </c>
    </row>
    <row r="674">
      <c r="A674" s="1">
        <v>22.0</v>
      </c>
      <c r="B674" s="1">
        <v>1.0</v>
      </c>
      <c r="C674" s="1">
        <v>17.0</v>
      </c>
      <c r="D674" s="1" t="s">
        <v>218</v>
      </c>
      <c r="E674" s="1">
        <v>16141.0</v>
      </c>
    </row>
    <row r="675">
      <c r="A675" s="1">
        <v>22.0</v>
      </c>
      <c r="B675" s="1">
        <v>5.0</v>
      </c>
      <c r="C675" s="1">
        <v>58.0</v>
      </c>
      <c r="D675" s="1" t="s">
        <v>154</v>
      </c>
      <c r="E675" s="1">
        <v>16053.0</v>
      </c>
    </row>
    <row r="676">
      <c r="A676" s="1">
        <v>31.0</v>
      </c>
      <c r="B676" s="1">
        <v>25.0</v>
      </c>
      <c r="C676" s="1">
        <v>50.0</v>
      </c>
      <c r="D676" s="1" t="s">
        <v>400</v>
      </c>
      <c r="E676" s="1">
        <v>15966.0</v>
      </c>
    </row>
    <row r="677">
      <c r="A677" s="1">
        <v>34.0</v>
      </c>
      <c r="B677" s="1">
        <v>1.0</v>
      </c>
      <c r="C677" s="1">
        <v>36.0</v>
      </c>
      <c r="D677" s="1" t="s">
        <v>95</v>
      </c>
      <c r="E677" s="1">
        <v>15855.0</v>
      </c>
    </row>
    <row r="678">
      <c r="A678" s="1">
        <v>28.0</v>
      </c>
      <c r="B678" s="1">
        <v>1.0</v>
      </c>
      <c r="C678" s="1">
        <v>4.0</v>
      </c>
      <c r="D678" s="1" t="s">
        <v>266</v>
      </c>
      <c r="E678" s="1">
        <v>15847.0</v>
      </c>
    </row>
    <row r="679">
      <c r="A679" s="1">
        <v>32.0</v>
      </c>
      <c r="B679" s="1">
        <v>3.0</v>
      </c>
      <c r="C679" s="1">
        <v>3.0</v>
      </c>
      <c r="D679" s="1" t="s">
        <v>155</v>
      </c>
      <c r="E679" s="1">
        <v>15771.0</v>
      </c>
    </row>
    <row r="680">
      <c r="A680" s="1">
        <v>3.0</v>
      </c>
      <c r="B680" s="1">
        <v>8.0</v>
      </c>
      <c r="C680" s="1">
        <v>26.0</v>
      </c>
      <c r="D680" s="1" t="s">
        <v>258</v>
      </c>
      <c r="E680" s="1">
        <v>15699.0</v>
      </c>
    </row>
    <row r="681">
      <c r="A681" s="1">
        <v>17.0</v>
      </c>
      <c r="B681" s="1">
        <v>3.0</v>
      </c>
      <c r="C681" s="1">
        <v>64.0</v>
      </c>
      <c r="D681" s="1" t="s">
        <v>63</v>
      </c>
      <c r="E681" s="1">
        <v>15690.0</v>
      </c>
    </row>
    <row r="682">
      <c r="A682" s="1">
        <v>20.0</v>
      </c>
      <c r="B682" s="1">
        <v>34.0</v>
      </c>
      <c r="C682" s="1">
        <v>38.0</v>
      </c>
      <c r="D682" s="1" t="s">
        <v>204</v>
      </c>
      <c r="E682" s="1">
        <v>15488.0</v>
      </c>
    </row>
    <row r="683">
      <c r="A683" s="1">
        <v>32.0</v>
      </c>
      <c r="B683" s="1">
        <v>2.0</v>
      </c>
      <c r="C683" s="1">
        <v>13.0</v>
      </c>
      <c r="D683" s="1" t="s">
        <v>99</v>
      </c>
      <c r="E683" s="1">
        <v>15281.0</v>
      </c>
    </row>
    <row r="684">
      <c r="A684" s="1">
        <v>31.0</v>
      </c>
      <c r="B684" s="1">
        <v>7.0</v>
      </c>
      <c r="C684" s="1">
        <v>74.0</v>
      </c>
      <c r="D684" s="1" t="s">
        <v>334</v>
      </c>
      <c r="E684" s="1">
        <v>15146.0</v>
      </c>
    </row>
    <row r="685">
      <c r="A685" s="1">
        <v>14.0</v>
      </c>
      <c r="B685" s="1">
        <v>22.0</v>
      </c>
      <c r="C685" s="1">
        <v>63.0</v>
      </c>
      <c r="D685" s="1" t="s">
        <v>144</v>
      </c>
      <c r="E685" s="1">
        <v>15121.0</v>
      </c>
    </row>
    <row r="686">
      <c r="A686" s="1">
        <v>33.0</v>
      </c>
      <c r="B686" s="1">
        <v>33.0</v>
      </c>
      <c r="C686" s="1">
        <v>17.0</v>
      </c>
      <c r="D686" s="1" t="s">
        <v>218</v>
      </c>
      <c r="E686" s="1">
        <v>14997.0</v>
      </c>
    </row>
    <row r="687">
      <c r="A687" s="1">
        <v>5.0</v>
      </c>
      <c r="B687" s="1">
        <v>23.0</v>
      </c>
      <c r="C687" s="1">
        <v>27.0</v>
      </c>
      <c r="D687" s="1" t="s">
        <v>401</v>
      </c>
      <c r="E687" s="1">
        <v>14981.0</v>
      </c>
    </row>
    <row r="688">
      <c r="A688" s="1">
        <v>11.0</v>
      </c>
      <c r="B688" s="1">
        <v>8.0</v>
      </c>
      <c r="C688" s="1">
        <v>5.0</v>
      </c>
      <c r="D688" s="1" t="s">
        <v>160</v>
      </c>
      <c r="E688" s="1">
        <v>14882.0</v>
      </c>
    </row>
    <row r="689">
      <c r="A689" s="1">
        <v>15.0</v>
      </c>
      <c r="B689" s="1">
        <v>80.0</v>
      </c>
      <c r="C689" s="1">
        <v>87.0</v>
      </c>
      <c r="D689" s="1" t="s">
        <v>273</v>
      </c>
      <c r="E689" s="1">
        <v>14794.0</v>
      </c>
    </row>
    <row r="690">
      <c r="A690" s="1">
        <v>16.0</v>
      </c>
      <c r="B690" s="1">
        <v>1.0</v>
      </c>
      <c r="C690" s="1">
        <v>245.0</v>
      </c>
      <c r="D690" s="1" t="s">
        <v>403</v>
      </c>
      <c r="E690" s="1">
        <v>14782.0</v>
      </c>
    </row>
    <row r="691">
      <c r="A691" s="1">
        <v>22.0</v>
      </c>
      <c r="B691" s="1">
        <v>1.0</v>
      </c>
      <c r="C691" s="1">
        <v>19.0</v>
      </c>
      <c r="D691" s="1" t="s">
        <v>72</v>
      </c>
      <c r="E691" s="1">
        <v>14776.0</v>
      </c>
    </row>
    <row r="692">
      <c r="A692" s="1">
        <v>32.0</v>
      </c>
      <c r="B692" s="1">
        <v>45.0</v>
      </c>
      <c r="C692" s="1">
        <v>57.0</v>
      </c>
      <c r="D692" s="1" t="s">
        <v>89</v>
      </c>
      <c r="E692" s="1">
        <v>14751.0</v>
      </c>
    </row>
    <row r="693">
      <c r="A693" s="1">
        <v>19.0</v>
      </c>
      <c r="B693" s="1">
        <v>1.0</v>
      </c>
      <c r="C693" s="1">
        <v>6.0</v>
      </c>
      <c r="D693" s="1" t="s">
        <v>251</v>
      </c>
      <c r="E693" s="1">
        <v>14574.0</v>
      </c>
    </row>
    <row r="694">
      <c r="A694" s="1">
        <v>8.0</v>
      </c>
      <c r="B694" s="1">
        <v>1.0</v>
      </c>
      <c r="C694" s="1">
        <v>3.0</v>
      </c>
      <c r="D694" s="1" t="s">
        <v>155</v>
      </c>
      <c r="E694" s="1">
        <v>14524.0</v>
      </c>
    </row>
    <row r="695">
      <c r="A695" s="1">
        <v>28.0</v>
      </c>
      <c r="B695" s="1">
        <v>1.0</v>
      </c>
      <c r="C695" s="1">
        <v>18.0</v>
      </c>
      <c r="D695" s="1" t="s">
        <v>76</v>
      </c>
      <c r="E695" s="1">
        <v>14478.0</v>
      </c>
    </row>
    <row r="696">
      <c r="A696" s="1">
        <v>11.0</v>
      </c>
      <c r="B696" s="1">
        <v>17.0</v>
      </c>
      <c r="C696" s="1">
        <v>30.0</v>
      </c>
      <c r="D696" s="1" t="s">
        <v>181</v>
      </c>
      <c r="E696" s="1">
        <v>14453.0</v>
      </c>
    </row>
    <row r="697">
      <c r="A697" s="1">
        <v>23.0</v>
      </c>
      <c r="B697" s="1">
        <v>3.0</v>
      </c>
      <c r="C697" s="1">
        <v>56.0</v>
      </c>
      <c r="D697" s="1" t="s">
        <v>261</v>
      </c>
      <c r="E697" s="1">
        <v>14429.0</v>
      </c>
    </row>
    <row r="698">
      <c r="A698" s="1">
        <v>22.0</v>
      </c>
      <c r="B698" s="1">
        <v>1.0</v>
      </c>
      <c r="C698" s="1">
        <v>39.0</v>
      </c>
      <c r="D698" s="1" t="s">
        <v>79</v>
      </c>
      <c r="E698" s="1">
        <v>14413.0</v>
      </c>
    </row>
    <row r="699">
      <c r="A699" s="1">
        <v>3.0</v>
      </c>
      <c r="B699" s="1">
        <v>1.0</v>
      </c>
      <c r="C699" s="1">
        <v>19.0</v>
      </c>
      <c r="D699" s="1" t="s">
        <v>72</v>
      </c>
      <c r="E699" s="1">
        <v>14356.0</v>
      </c>
    </row>
    <row r="700">
      <c r="A700" s="1">
        <v>27.0</v>
      </c>
      <c r="B700" s="1">
        <v>10.0</v>
      </c>
      <c r="C700" s="1">
        <v>5.0</v>
      </c>
      <c r="D700" s="1" t="s">
        <v>277</v>
      </c>
      <c r="E700" s="1">
        <v>14314.0</v>
      </c>
    </row>
    <row r="701">
      <c r="A701" s="1">
        <v>14.0</v>
      </c>
      <c r="B701" s="1">
        <v>40.0</v>
      </c>
      <c r="C701" s="1">
        <v>31.0</v>
      </c>
      <c r="D701" s="1" t="s">
        <v>404</v>
      </c>
      <c r="E701" s="1">
        <v>14270.0</v>
      </c>
    </row>
    <row r="702">
      <c r="A702" s="1">
        <v>32.0</v>
      </c>
      <c r="B702" s="1">
        <v>38.0</v>
      </c>
      <c r="C702" s="1">
        <v>43.0</v>
      </c>
      <c r="D702" s="1" t="s">
        <v>164</v>
      </c>
      <c r="E702" s="1">
        <v>14195.0</v>
      </c>
    </row>
    <row r="703">
      <c r="A703" s="1">
        <v>26.0</v>
      </c>
      <c r="B703" s="1">
        <v>5.0</v>
      </c>
      <c r="C703" s="1">
        <v>29.0</v>
      </c>
      <c r="D703" s="1" t="s">
        <v>405</v>
      </c>
      <c r="E703" s="1">
        <v>14150.0</v>
      </c>
    </row>
    <row r="704">
      <c r="A704" s="1">
        <v>2.0</v>
      </c>
      <c r="B704" s="1">
        <v>1.0</v>
      </c>
      <c r="C704" s="1">
        <v>26.0</v>
      </c>
      <c r="D704" s="1" t="s">
        <v>150</v>
      </c>
      <c r="E704" s="1">
        <v>14099.0</v>
      </c>
    </row>
    <row r="705">
      <c r="A705" s="1">
        <v>23.0</v>
      </c>
      <c r="B705" s="1">
        <v>3.0</v>
      </c>
      <c r="C705" s="1">
        <v>12.0</v>
      </c>
      <c r="D705" s="1" t="s">
        <v>177</v>
      </c>
      <c r="E705" s="1">
        <v>14068.0</v>
      </c>
    </row>
    <row r="706">
      <c r="A706" s="1">
        <v>25.0</v>
      </c>
      <c r="B706" s="1">
        <v>1.0</v>
      </c>
      <c r="C706" s="1">
        <v>19.0</v>
      </c>
      <c r="D706" s="1" t="s">
        <v>72</v>
      </c>
      <c r="E706" s="1">
        <v>13978.0</v>
      </c>
    </row>
    <row r="707">
      <c r="A707" s="1">
        <v>13.0</v>
      </c>
      <c r="B707" s="1">
        <v>5.0</v>
      </c>
      <c r="C707" s="1">
        <v>4.0</v>
      </c>
      <c r="D707" s="1" t="s">
        <v>209</v>
      </c>
      <c r="E707" s="1">
        <v>13955.0</v>
      </c>
    </row>
    <row r="708">
      <c r="A708" s="1">
        <v>13.0</v>
      </c>
      <c r="B708" s="1">
        <v>5.0</v>
      </c>
      <c r="C708" s="1">
        <v>3.0</v>
      </c>
      <c r="D708" s="1" t="s">
        <v>155</v>
      </c>
      <c r="E708" s="1">
        <v>13944.0</v>
      </c>
    </row>
    <row r="709">
      <c r="A709" s="1">
        <v>26.0</v>
      </c>
      <c r="B709" s="1">
        <v>5.0</v>
      </c>
      <c r="C709" s="1">
        <v>31.0</v>
      </c>
      <c r="D709" s="1" t="s">
        <v>404</v>
      </c>
      <c r="E709" s="1">
        <v>13926.0</v>
      </c>
    </row>
    <row r="710">
      <c r="A710" s="1">
        <v>14.0</v>
      </c>
      <c r="B710" s="1">
        <v>22.0</v>
      </c>
      <c r="C710" s="1">
        <v>28.0</v>
      </c>
      <c r="D710" s="1" t="s">
        <v>281</v>
      </c>
      <c r="E710" s="1">
        <v>13897.0</v>
      </c>
    </row>
    <row r="711">
      <c r="A711" s="1">
        <v>8.0</v>
      </c>
      <c r="B711" s="1">
        <v>1.0</v>
      </c>
      <c r="C711" s="1">
        <v>58.0</v>
      </c>
      <c r="D711" s="1" t="s">
        <v>154</v>
      </c>
      <c r="E711" s="1">
        <v>13895.0</v>
      </c>
    </row>
    <row r="712">
      <c r="A712" s="1">
        <v>29.0</v>
      </c>
      <c r="B712" s="1">
        <v>10.0</v>
      </c>
      <c r="C712" s="1">
        <v>9.0</v>
      </c>
      <c r="D712" s="1" t="s">
        <v>124</v>
      </c>
      <c r="E712" s="1">
        <v>13873.0</v>
      </c>
    </row>
    <row r="713">
      <c r="A713" s="1">
        <v>5.0</v>
      </c>
      <c r="B713" s="1">
        <v>3.0</v>
      </c>
      <c r="C713" s="1">
        <v>4.0</v>
      </c>
      <c r="D713" s="1" t="s">
        <v>209</v>
      </c>
      <c r="E713" s="1">
        <v>13865.0</v>
      </c>
    </row>
    <row r="714">
      <c r="A714" s="1">
        <v>14.0</v>
      </c>
      <c r="B714" s="1">
        <v>12.0</v>
      </c>
      <c r="C714" s="1">
        <v>86.0</v>
      </c>
      <c r="D714" s="1" t="s">
        <v>221</v>
      </c>
      <c r="E714" s="1">
        <v>13865.0</v>
      </c>
    </row>
    <row r="715">
      <c r="A715" s="1">
        <v>26.0</v>
      </c>
      <c r="B715" s="1">
        <v>1.0</v>
      </c>
      <c r="C715" s="1">
        <v>10.0</v>
      </c>
      <c r="D715" s="1" t="s">
        <v>140</v>
      </c>
      <c r="E715" s="1">
        <v>13828.0</v>
      </c>
    </row>
    <row r="716">
      <c r="A716" s="1">
        <v>8.0</v>
      </c>
      <c r="B716" s="1">
        <v>5.0</v>
      </c>
      <c r="C716" s="1">
        <v>57.0</v>
      </c>
      <c r="D716" s="1" t="s">
        <v>89</v>
      </c>
      <c r="E716" s="1">
        <v>13825.0</v>
      </c>
    </row>
    <row r="717">
      <c r="A717" s="1">
        <v>16.0</v>
      </c>
      <c r="B717" s="1">
        <v>1.0</v>
      </c>
      <c r="C717" s="1">
        <v>227.0</v>
      </c>
      <c r="D717" s="1" t="s">
        <v>406</v>
      </c>
      <c r="E717" s="1">
        <v>13796.0</v>
      </c>
    </row>
    <row r="718">
      <c r="A718" s="1">
        <v>31.0</v>
      </c>
      <c r="B718" s="1">
        <v>25.0</v>
      </c>
      <c r="C718" s="1">
        <v>51.0</v>
      </c>
      <c r="D718" s="1" t="s">
        <v>152</v>
      </c>
      <c r="E718" s="1">
        <v>13783.0</v>
      </c>
    </row>
    <row r="719">
      <c r="A719" s="1">
        <v>25.0</v>
      </c>
      <c r="B719" s="1">
        <v>60.0</v>
      </c>
      <c r="C719" s="1">
        <v>40.0</v>
      </c>
      <c r="D719" s="1" t="s">
        <v>175</v>
      </c>
      <c r="E719" s="1">
        <v>13757.0</v>
      </c>
    </row>
    <row r="720">
      <c r="A720" s="1">
        <v>14.0</v>
      </c>
      <c r="B720" s="1">
        <v>22.0</v>
      </c>
      <c r="C720" s="1">
        <v>81.0</v>
      </c>
      <c r="D720" s="1" t="s">
        <v>210</v>
      </c>
      <c r="E720" s="1">
        <v>13708.0</v>
      </c>
    </row>
    <row r="721">
      <c r="A721" s="1">
        <v>8.0</v>
      </c>
      <c r="B721" s="1">
        <v>5.0</v>
      </c>
      <c r="C721" s="1">
        <v>13.0</v>
      </c>
      <c r="D721" s="1" t="s">
        <v>99</v>
      </c>
      <c r="E721" s="1">
        <v>13575.0</v>
      </c>
    </row>
    <row r="722">
      <c r="A722" s="1">
        <v>16.0</v>
      </c>
      <c r="B722" s="1">
        <v>1.0</v>
      </c>
      <c r="C722" s="1">
        <v>246.0</v>
      </c>
      <c r="D722" s="1" t="s">
        <v>407</v>
      </c>
      <c r="E722" s="1">
        <v>13521.0</v>
      </c>
    </row>
    <row r="723">
      <c r="A723" s="1">
        <v>22.0</v>
      </c>
      <c r="B723" s="1">
        <v>6.0</v>
      </c>
      <c r="C723" s="1">
        <v>43.0</v>
      </c>
      <c r="D723" s="1" t="s">
        <v>164</v>
      </c>
      <c r="E723" s="1">
        <v>13459.0</v>
      </c>
    </row>
    <row r="724">
      <c r="A724" s="1">
        <v>21.0</v>
      </c>
      <c r="B724" s="1">
        <v>2.0</v>
      </c>
      <c r="C724" s="1">
        <v>31.0</v>
      </c>
      <c r="D724" s="1" t="s">
        <v>68</v>
      </c>
      <c r="E724" s="1">
        <v>13441.0</v>
      </c>
    </row>
    <row r="725">
      <c r="A725" s="1">
        <v>21.0</v>
      </c>
      <c r="B725" s="1">
        <v>2.0</v>
      </c>
      <c r="C725" s="1">
        <v>27.0</v>
      </c>
      <c r="D725" s="1" t="s">
        <v>52</v>
      </c>
      <c r="E725" s="1">
        <v>13258.0</v>
      </c>
    </row>
    <row r="726">
      <c r="A726" s="1">
        <v>32.0</v>
      </c>
      <c r="B726" s="1">
        <v>38.0</v>
      </c>
      <c r="C726" s="1">
        <v>56.0</v>
      </c>
      <c r="D726" s="1" t="s">
        <v>261</v>
      </c>
      <c r="E726" s="1">
        <v>13236.0</v>
      </c>
    </row>
    <row r="727">
      <c r="A727" s="1">
        <v>19.0</v>
      </c>
      <c r="B727" s="1">
        <v>1.0</v>
      </c>
      <c r="C727" s="1">
        <v>15.0</v>
      </c>
      <c r="D727" s="1" t="s">
        <v>362</v>
      </c>
      <c r="E727" s="1">
        <v>13233.0</v>
      </c>
    </row>
    <row r="728">
      <c r="A728" s="1">
        <v>10.0</v>
      </c>
      <c r="B728" s="1">
        <v>1.0</v>
      </c>
      <c r="C728" s="1">
        <v>41.0</v>
      </c>
      <c r="D728" s="1" t="s">
        <v>82</v>
      </c>
      <c r="E728" s="1">
        <v>13101.0</v>
      </c>
    </row>
    <row r="729">
      <c r="A729" s="1">
        <v>23.0</v>
      </c>
      <c r="B729" s="1">
        <v>3.0</v>
      </c>
      <c r="C729" s="1">
        <v>58.0</v>
      </c>
      <c r="D729" s="1" t="s">
        <v>154</v>
      </c>
      <c r="E729" s="1">
        <v>13042.0</v>
      </c>
    </row>
    <row r="730">
      <c r="A730" s="1">
        <v>34.0</v>
      </c>
      <c r="B730" s="1">
        <v>1.0</v>
      </c>
      <c r="C730" s="1">
        <v>9.0</v>
      </c>
      <c r="D730" s="1" t="s">
        <v>124</v>
      </c>
      <c r="E730" s="1">
        <v>12949.0</v>
      </c>
    </row>
    <row r="731">
      <c r="A731" s="1">
        <v>7.0</v>
      </c>
      <c r="B731" s="1">
        <v>2.0</v>
      </c>
      <c r="C731" s="1">
        <v>16.0</v>
      </c>
      <c r="D731" s="1" t="s">
        <v>355</v>
      </c>
      <c r="E731" s="1">
        <v>12878.0</v>
      </c>
    </row>
    <row r="732">
      <c r="A732" s="1">
        <v>32.0</v>
      </c>
      <c r="B732" s="1">
        <v>2.0</v>
      </c>
      <c r="C732" s="1">
        <v>12.0</v>
      </c>
      <c r="D732" s="1" t="s">
        <v>408</v>
      </c>
      <c r="E732" s="1">
        <v>12875.0</v>
      </c>
    </row>
    <row r="733">
      <c r="A733" s="1">
        <v>31.0</v>
      </c>
      <c r="B733" s="1">
        <v>25.0</v>
      </c>
      <c r="C733" s="1">
        <v>32.0</v>
      </c>
      <c r="D733" s="1" t="s">
        <v>127</v>
      </c>
      <c r="E733" s="1">
        <v>12862.0</v>
      </c>
    </row>
    <row r="734">
      <c r="A734" s="1">
        <v>13.0</v>
      </c>
      <c r="B734" s="1">
        <v>1.0</v>
      </c>
      <c r="C734" s="1">
        <v>31.0</v>
      </c>
      <c r="D734" s="1" t="s">
        <v>68</v>
      </c>
      <c r="E734" s="1">
        <v>12841.0</v>
      </c>
    </row>
    <row r="735">
      <c r="A735" s="1">
        <v>22.0</v>
      </c>
      <c r="B735" s="1">
        <v>6.0</v>
      </c>
      <c r="C735" s="1">
        <v>27.0</v>
      </c>
      <c r="D735" s="1" t="s">
        <v>52</v>
      </c>
      <c r="E735" s="1">
        <v>12836.0</v>
      </c>
    </row>
    <row r="736">
      <c r="A736" s="1">
        <v>28.0</v>
      </c>
      <c r="B736" s="1">
        <v>2.0</v>
      </c>
      <c r="C736" s="1">
        <v>5.0</v>
      </c>
      <c r="D736" s="1" t="s">
        <v>160</v>
      </c>
      <c r="E736" s="1">
        <v>12836.0</v>
      </c>
    </row>
    <row r="737">
      <c r="A737" s="1">
        <v>8.0</v>
      </c>
      <c r="B737" s="1">
        <v>1.0</v>
      </c>
      <c r="C737" s="1">
        <v>29.0</v>
      </c>
      <c r="D737" s="1" t="s">
        <v>270</v>
      </c>
      <c r="E737" s="1">
        <v>12786.0</v>
      </c>
    </row>
    <row r="738">
      <c r="A738" s="1">
        <v>21.0</v>
      </c>
      <c r="B738" s="1">
        <v>53.0</v>
      </c>
      <c r="C738" s="1">
        <v>26.0</v>
      </c>
      <c r="D738" s="1" t="s">
        <v>150</v>
      </c>
      <c r="E738" s="1">
        <v>12752.0</v>
      </c>
    </row>
    <row r="739">
      <c r="A739" s="1">
        <v>34.0</v>
      </c>
      <c r="B739" s="1">
        <v>1.0</v>
      </c>
      <c r="C739" s="1">
        <v>33.0</v>
      </c>
      <c r="D739" s="1" t="s">
        <v>71</v>
      </c>
      <c r="E739" s="1">
        <v>12710.0</v>
      </c>
    </row>
    <row r="740">
      <c r="A740" s="1">
        <v>12.0</v>
      </c>
      <c r="B740" s="1">
        <v>2.0</v>
      </c>
      <c r="C740" s="1">
        <v>25.0</v>
      </c>
      <c r="D740" s="1" t="s">
        <v>223</v>
      </c>
      <c r="E740" s="1">
        <v>12686.0</v>
      </c>
    </row>
    <row r="741">
      <c r="A741" s="1">
        <v>26.0</v>
      </c>
      <c r="B741" s="1">
        <v>3.0</v>
      </c>
      <c r="C741" s="1">
        <v>13.0</v>
      </c>
      <c r="D741" s="1" t="s">
        <v>99</v>
      </c>
      <c r="E741" s="1">
        <v>12570.0</v>
      </c>
    </row>
    <row r="742">
      <c r="A742" s="1">
        <v>31.0</v>
      </c>
      <c r="B742" s="1">
        <v>2.0</v>
      </c>
      <c r="C742" s="1">
        <v>67.0</v>
      </c>
      <c r="D742" s="1" t="s">
        <v>213</v>
      </c>
      <c r="E742" s="1">
        <v>12559.0</v>
      </c>
    </row>
    <row r="743">
      <c r="A743" s="1">
        <v>14.0</v>
      </c>
      <c r="B743" s="1">
        <v>40.0</v>
      </c>
      <c r="C743" s="1">
        <v>77.0</v>
      </c>
      <c r="D743" s="1" t="s">
        <v>97</v>
      </c>
      <c r="E743" s="1">
        <v>12464.0</v>
      </c>
    </row>
    <row r="744">
      <c r="A744" s="1">
        <v>2.0</v>
      </c>
      <c r="B744" s="1">
        <v>1.0</v>
      </c>
      <c r="C744" s="1">
        <v>5.0</v>
      </c>
      <c r="D744" s="1" t="s">
        <v>207</v>
      </c>
      <c r="E744" s="1">
        <v>12428.0</v>
      </c>
    </row>
    <row r="745">
      <c r="A745" s="1">
        <v>33.0</v>
      </c>
      <c r="B745" s="1">
        <v>33.0</v>
      </c>
      <c r="C745" s="1">
        <v>55.0</v>
      </c>
      <c r="D745" s="1" t="s">
        <v>91</v>
      </c>
      <c r="E745" s="1">
        <v>12184.0</v>
      </c>
    </row>
    <row r="746">
      <c r="A746" s="1">
        <v>28.0</v>
      </c>
      <c r="B746" s="1">
        <v>1.0</v>
      </c>
      <c r="C746" s="1">
        <v>3.0</v>
      </c>
      <c r="D746" s="1" t="s">
        <v>155</v>
      </c>
      <c r="E746" s="1">
        <v>12162.0</v>
      </c>
    </row>
    <row r="747">
      <c r="A747" s="1">
        <v>17.0</v>
      </c>
      <c r="B747" s="1">
        <v>3.0</v>
      </c>
      <c r="C747" s="1">
        <v>70.0</v>
      </c>
      <c r="D747" s="1" t="s">
        <v>183</v>
      </c>
      <c r="E747" s="1">
        <v>12041.0</v>
      </c>
    </row>
    <row r="748">
      <c r="A748" s="1">
        <v>14.0</v>
      </c>
      <c r="B748" s="1">
        <v>40.0</v>
      </c>
      <c r="C748" s="1">
        <v>56.0</v>
      </c>
      <c r="D748" s="1" t="s">
        <v>261</v>
      </c>
      <c r="E748" s="1">
        <v>12022.0</v>
      </c>
    </row>
    <row r="749">
      <c r="A749" s="1">
        <v>11.0</v>
      </c>
      <c r="B749" s="1">
        <v>14.0</v>
      </c>
      <c r="C749" s="1">
        <v>34.0</v>
      </c>
      <c r="D749" s="1" t="s">
        <v>55</v>
      </c>
      <c r="E749" s="1">
        <v>12008.0</v>
      </c>
    </row>
    <row r="750">
      <c r="A750" s="1">
        <v>19.0</v>
      </c>
      <c r="B750" s="1">
        <v>1.0</v>
      </c>
      <c r="C750" s="1">
        <v>18.0</v>
      </c>
      <c r="D750" s="1" t="s">
        <v>76</v>
      </c>
      <c r="E750" s="1">
        <v>11894.0</v>
      </c>
    </row>
    <row r="751">
      <c r="A751" s="1">
        <v>19.0</v>
      </c>
      <c r="B751" s="1">
        <v>1.0</v>
      </c>
      <c r="C751" s="1">
        <v>14.0</v>
      </c>
      <c r="D751" s="1" t="s">
        <v>141</v>
      </c>
      <c r="E751" s="1">
        <v>11881.0</v>
      </c>
    </row>
    <row r="752">
      <c r="A752" s="1">
        <v>21.0</v>
      </c>
      <c r="B752" s="1">
        <v>3.0</v>
      </c>
      <c r="C752" s="1">
        <v>37.0</v>
      </c>
      <c r="D752" s="1" t="s">
        <v>409</v>
      </c>
      <c r="E752" s="1">
        <v>11864.0</v>
      </c>
    </row>
    <row r="753">
      <c r="A753" s="1">
        <v>32.0</v>
      </c>
      <c r="B753" s="1">
        <v>2.0</v>
      </c>
      <c r="C753" s="1">
        <v>10.0</v>
      </c>
      <c r="D753" s="1" t="s">
        <v>140</v>
      </c>
      <c r="E753" s="1">
        <v>11836.0</v>
      </c>
    </row>
    <row r="754">
      <c r="A754" s="1">
        <v>3.0</v>
      </c>
      <c r="B754" s="1">
        <v>1.0</v>
      </c>
      <c r="C754" s="1">
        <v>35.0</v>
      </c>
      <c r="D754" s="1" t="s">
        <v>136</v>
      </c>
      <c r="E754" s="1">
        <v>11704.0</v>
      </c>
    </row>
    <row r="755">
      <c r="A755" s="1">
        <v>7.0</v>
      </c>
      <c r="B755" s="1">
        <v>1.0</v>
      </c>
      <c r="C755" s="1">
        <v>40.0</v>
      </c>
      <c r="D755" s="1" t="s">
        <v>175</v>
      </c>
      <c r="E755" s="1">
        <v>11693.0</v>
      </c>
    </row>
    <row r="756">
      <c r="A756" s="1">
        <v>14.0</v>
      </c>
      <c r="B756" s="1">
        <v>12.0</v>
      </c>
      <c r="C756" s="1">
        <v>85.0</v>
      </c>
      <c r="D756" s="1" t="s">
        <v>219</v>
      </c>
      <c r="E756" s="1">
        <v>11693.0</v>
      </c>
    </row>
    <row r="757">
      <c r="A757" s="1">
        <v>7.0</v>
      </c>
      <c r="B757" s="1">
        <v>1.0</v>
      </c>
      <c r="C757" s="1">
        <v>43.0</v>
      </c>
      <c r="D757" s="1" t="s">
        <v>164</v>
      </c>
      <c r="E757" s="1">
        <v>11690.0</v>
      </c>
    </row>
    <row r="758">
      <c r="A758" s="1">
        <v>21.0</v>
      </c>
      <c r="B758" s="1">
        <v>3.0</v>
      </c>
      <c r="C758" s="1">
        <v>23.0</v>
      </c>
      <c r="D758" s="1" t="s">
        <v>104</v>
      </c>
      <c r="E758" s="1">
        <v>11653.0</v>
      </c>
    </row>
    <row r="759">
      <c r="A759" s="1">
        <v>14.0</v>
      </c>
      <c r="B759" s="1">
        <v>39.0</v>
      </c>
      <c r="C759" s="1">
        <v>50.0</v>
      </c>
      <c r="D759" s="1" t="s">
        <v>208</v>
      </c>
      <c r="E759" s="1">
        <v>11625.0</v>
      </c>
    </row>
    <row r="760">
      <c r="A760" s="1">
        <v>17.0</v>
      </c>
      <c r="B760" s="1">
        <v>3.0</v>
      </c>
      <c r="C760" s="1">
        <v>74.0</v>
      </c>
      <c r="D760" s="1" t="s">
        <v>334</v>
      </c>
      <c r="E760" s="1">
        <v>11517.0</v>
      </c>
    </row>
    <row r="761">
      <c r="A761" s="1">
        <v>7.0</v>
      </c>
      <c r="B761" s="1">
        <v>2.0</v>
      </c>
      <c r="C761" s="1">
        <v>12.0</v>
      </c>
      <c r="D761" s="1" t="s">
        <v>177</v>
      </c>
      <c r="E761" s="1">
        <v>11387.0</v>
      </c>
    </row>
    <row r="762">
      <c r="A762" s="1">
        <v>14.0</v>
      </c>
      <c r="B762" s="1">
        <v>12.0</v>
      </c>
      <c r="C762" s="1">
        <v>160.0</v>
      </c>
      <c r="D762" s="1" t="s">
        <v>188</v>
      </c>
      <c r="E762" s="1">
        <v>11372.0</v>
      </c>
    </row>
    <row r="763">
      <c r="A763" s="1">
        <v>26.0</v>
      </c>
      <c r="B763" s="1">
        <v>4.0</v>
      </c>
      <c r="C763" s="1">
        <v>51.0</v>
      </c>
      <c r="D763" s="1" t="s">
        <v>152</v>
      </c>
      <c r="E763" s="1">
        <v>11318.0</v>
      </c>
    </row>
    <row r="764">
      <c r="A764" s="1">
        <v>17.0</v>
      </c>
      <c r="B764" s="1">
        <v>17.0</v>
      </c>
      <c r="C764" s="1">
        <v>50.0</v>
      </c>
      <c r="D764" s="1" t="s">
        <v>208</v>
      </c>
      <c r="E764" s="1">
        <v>11295.0</v>
      </c>
    </row>
    <row r="765">
      <c r="A765" s="1">
        <v>25.0</v>
      </c>
      <c r="B765" s="1">
        <v>5.0</v>
      </c>
      <c r="C765" s="1">
        <v>4.0</v>
      </c>
      <c r="D765" s="1" t="s">
        <v>410</v>
      </c>
      <c r="E765" s="1">
        <v>11189.0</v>
      </c>
    </row>
    <row r="766">
      <c r="A766" s="1">
        <v>32.0</v>
      </c>
      <c r="B766" s="1">
        <v>45.0</v>
      </c>
      <c r="C766" s="1">
        <v>65.0</v>
      </c>
      <c r="D766" s="1" t="s">
        <v>182</v>
      </c>
      <c r="E766" s="1">
        <v>11184.0</v>
      </c>
    </row>
    <row r="767">
      <c r="A767" s="1">
        <v>21.0</v>
      </c>
      <c r="B767" s="1">
        <v>4.0</v>
      </c>
      <c r="C767" s="1">
        <v>59.0</v>
      </c>
      <c r="D767" s="1" t="s">
        <v>151</v>
      </c>
      <c r="E767" s="1">
        <v>11183.0</v>
      </c>
    </row>
    <row r="768">
      <c r="A768" s="1">
        <v>21.0</v>
      </c>
      <c r="B768" s="1">
        <v>3.0</v>
      </c>
      <c r="C768" s="1">
        <v>29.0</v>
      </c>
      <c r="D768" s="1" t="s">
        <v>270</v>
      </c>
      <c r="E768" s="1">
        <v>11174.0</v>
      </c>
    </row>
    <row r="769">
      <c r="A769" s="1">
        <v>32.0</v>
      </c>
      <c r="B769" s="1">
        <v>45.0</v>
      </c>
      <c r="C769" s="1">
        <v>59.0</v>
      </c>
      <c r="D769" s="1" t="s">
        <v>151</v>
      </c>
      <c r="E769" s="1">
        <v>11172.0</v>
      </c>
    </row>
    <row r="770">
      <c r="A770" s="1">
        <v>19.0</v>
      </c>
      <c r="B770" s="1">
        <v>1.0</v>
      </c>
      <c r="C770" s="1">
        <v>2.0</v>
      </c>
      <c r="D770" s="1" t="s">
        <v>112</v>
      </c>
      <c r="E770" s="1">
        <v>11101.0</v>
      </c>
    </row>
    <row r="771">
      <c r="A771" s="1">
        <v>31.0</v>
      </c>
      <c r="B771" s="1">
        <v>12.0</v>
      </c>
      <c r="C771" s="1">
        <v>39.0</v>
      </c>
      <c r="D771" s="1" t="s">
        <v>79</v>
      </c>
      <c r="E771" s="1">
        <v>11048.0</v>
      </c>
    </row>
    <row r="772">
      <c r="A772" s="1">
        <v>31.0</v>
      </c>
      <c r="B772" s="1">
        <v>9.0</v>
      </c>
      <c r="C772" s="1">
        <v>23.0</v>
      </c>
      <c r="D772" s="1" t="s">
        <v>104</v>
      </c>
      <c r="E772" s="1">
        <v>10999.0</v>
      </c>
    </row>
    <row r="773">
      <c r="A773" s="1">
        <v>10.0</v>
      </c>
      <c r="B773" s="1">
        <v>13.0</v>
      </c>
      <c r="C773" s="1">
        <v>31.0</v>
      </c>
      <c r="D773" s="1" t="s">
        <v>68</v>
      </c>
      <c r="E773" s="1">
        <v>10975.0</v>
      </c>
    </row>
    <row r="774">
      <c r="A774" s="1">
        <v>27.0</v>
      </c>
      <c r="B774" s="1">
        <v>7.0</v>
      </c>
      <c r="C774" s="1">
        <v>7.0</v>
      </c>
      <c r="D774" s="1" t="s">
        <v>328</v>
      </c>
      <c r="E774" s="1">
        <v>10949.0</v>
      </c>
    </row>
    <row r="775">
      <c r="A775" s="1">
        <v>7.0</v>
      </c>
      <c r="B775" s="1">
        <v>2.0</v>
      </c>
      <c r="C775" s="1">
        <v>5.0</v>
      </c>
      <c r="D775" s="1" t="s">
        <v>160</v>
      </c>
      <c r="E775" s="1">
        <v>10899.0</v>
      </c>
    </row>
    <row r="776">
      <c r="A776" s="1">
        <v>19.0</v>
      </c>
      <c r="B776" s="1">
        <v>1.0</v>
      </c>
      <c r="C776" s="1">
        <v>17.0</v>
      </c>
      <c r="D776" s="1" t="s">
        <v>218</v>
      </c>
      <c r="E776" s="1">
        <v>10868.0</v>
      </c>
    </row>
    <row r="777">
      <c r="A777" s="1">
        <v>17.0</v>
      </c>
      <c r="B777" s="1">
        <v>9.0</v>
      </c>
      <c r="C777" s="1">
        <v>26.0</v>
      </c>
      <c r="D777" s="1" t="s">
        <v>150</v>
      </c>
      <c r="E777" s="1">
        <v>10852.0</v>
      </c>
    </row>
    <row r="778">
      <c r="A778" s="1">
        <v>14.0</v>
      </c>
      <c r="B778" s="1">
        <v>40.0</v>
      </c>
      <c r="C778" s="1">
        <v>12.0</v>
      </c>
      <c r="D778" s="1" t="s">
        <v>177</v>
      </c>
      <c r="E778" s="1">
        <v>10701.0</v>
      </c>
    </row>
    <row r="779">
      <c r="A779" s="1">
        <v>14.0</v>
      </c>
      <c r="B779" s="1">
        <v>40.0</v>
      </c>
      <c r="C779" s="1">
        <v>72.0</v>
      </c>
      <c r="D779" s="1" t="s">
        <v>302</v>
      </c>
      <c r="E779" s="1">
        <v>10698.0</v>
      </c>
    </row>
    <row r="780">
      <c r="A780" s="1">
        <v>2.0</v>
      </c>
      <c r="B780" s="1">
        <v>3.0</v>
      </c>
      <c r="C780" s="1">
        <v>11.0</v>
      </c>
      <c r="D780" s="1" t="s">
        <v>93</v>
      </c>
      <c r="E780" s="1">
        <v>10678.0</v>
      </c>
    </row>
    <row r="781">
      <c r="A781" s="1">
        <v>10.0</v>
      </c>
      <c r="B781" s="1">
        <v>13.0</v>
      </c>
      <c r="C781" s="1">
        <v>32.0</v>
      </c>
      <c r="D781" s="1" t="s">
        <v>127</v>
      </c>
      <c r="E781" s="1">
        <v>10673.0</v>
      </c>
    </row>
    <row r="782">
      <c r="A782" s="1">
        <v>31.0</v>
      </c>
      <c r="B782" s="1">
        <v>2.0</v>
      </c>
      <c r="C782" s="1">
        <v>58.0</v>
      </c>
      <c r="D782" s="1" t="s">
        <v>154</v>
      </c>
      <c r="E782" s="1">
        <v>10647.0</v>
      </c>
    </row>
    <row r="783">
      <c r="A783" s="1">
        <v>10.0</v>
      </c>
      <c r="B783" s="1">
        <v>1.0</v>
      </c>
      <c r="C783" s="1">
        <v>26.0</v>
      </c>
      <c r="D783" s="1" t="s">
        <v>412</v>
      </c>
      <c r="E783" s="1">
        <v>10633.0</v>
      </c>
    </row>
    <row r="784">
      <c r="A784" s="1">
        <v>18.0</v>
      </c>
      <c r="B784" s="1">
        <v>11.0</v>
      </c>
      <c r="C784" s="1">
        <v>15.0</v>
      </c>
      <c r="D784" s="1" t="s">
        <v>116</v>
      </c>
      <c r="E784" s="1">
        <v>10625.0</v>
      </c>
    </row>
    <row r="785">
      <c r="A785" s="1">
        <v>6.0</v>
      </c>
      <c r="B785" s="1">
        <v>7.0</v>
      </c>
      <c r="C785" s="1">
        <v>3.0</v>
      </c>
      <c r="D785" s="1" t="s">
        <v>155</v>
      </c>
      <c r="E785" s="1">
        <v>10606.0</v>
      </c>
    </row>
    <row r="786">
      <c r="A786" s="1">
        <v>19.0</v>
      </c>
      <c r="B786" s="1">
        <v>1.0</v>
      </c>
      <c r="C786" s="1">
        <v>16.0</v>
      </c>
      <c r="D786" s="1" t="s">
        <v>168</v>
      </c>
      <c r="E786" s="1">
        <v>10556.0</v>
      </c>
    </row>
    <row r="787">
      <c r="A787" s="1">
        <v>16.0</v>
      </c>
      <c r="B787" s="1">
        <v>1.0</v>
      </c>
      <c r="C787" s="1">
        <v>239.0</v>
      </c>
      <c r="D787" s="1" t="s">
        <v>413</v>
      </c>
      <c r="E787" s="1">
        <v>10471.0</v>
      </c>
    </row>
    <row r="788">
      <c r="A788" s="1">
        <v>6.0</v>
      </c>
      <c r="B788" s="1">
        <v>1.0</v>
      </c>
      <c r="C788" s="1">
        <v>6.0</v>
      </c>
      <c r="D788" s="1" t="s">
        <v>185</v>
      </c>
      <c r="E788" s="1">
        <v>10448.0</v>
      </c>
    </row>
    <row r="789">
      <c r="A789" s="1">
        <v>8.0</v>
      </c>
      <c r="B789" s="1">
        <v>3.0</v>
      </c>
      <c r="C789" s="1">
        <v>17.0</v>
      </c>
      <c r="D789" s="1" t="s">
        <v>414</v>
      </c>
      <c r="E789" s="1">
        <v>10416.0</v>
      </c>
    </row>
    <row r="790">
      <c r="A790" s="1">
        <v>27.0</v>
      </c>
      <c r="B790" s="1">
        <v>70.0</v>
      </c>
      <c r="C790" s="1">
        <v>17.0</v>
      </c>
      <c r="D790" s="1" t="s">
        <v>218</v>
      </c>
      <c r="E790" s="1">
        <v>10368.0</v>
      </c>
    </row>
    <row r="791">
      <c r="A791" s="1">
        <v>34.0</v>
      </c>
      <c r="B791" s="1">
        <v>1.0</v>
      </c>
      <c r="C791" s="1">
        <v>35.0</v>
      </c>
      <c r="D791" s="1" t="s">
        <v>136</v>
      </c>
      <c r="E791" s="1">
        <v>10357.0</v>
      </c>
    </row>
    <row r="792">
      <c r="A792" s="1">
        <v>31.0</v>
      </c>
      <c r="B792" s="1">
        <v>9.0</v>
      </c>
      <c r="C792" s="1">
        <v>45.0</v>
      </c>
      <c r="D792" s="1" t="s">
        <v>171</v>
      </c>
      <c r="E792" s="1">
        <v>10355.0</v>
      </c>
    </row>
    <row r="793">
      <c r="A793" s="1">
        <v>21.0</v>
      </c>
      <c r="B793" s="1">
        <v>2.0</v>
      </c>
      <c r="C793" s="1">
        <v>57.0</v>
      </c>
      <c r="D793" s="1" t="s">
        <v>89</v>
      </c>
      <c r="E793" s="1">
        <v>10341.0</v>
      </c>
    </row>
    <row r="794">
      <c r="A794" s="1">
        <v>18.0</v>
      </c>
      <c r="B794" s="1">
        <v>15.0</v>
      </c>
      <c r="C794" s="1">
        <v>9.0</v>
      </c>
      <c r="D794" s="1" t="s">
        <v>124</v>
      </c>
      <c r="E794" s="1">
        <v>10313.0</v>
      </c>
    </row>
    <row r="795">
      <c r="A795" s="1">
        <v>26.0</v>
      </c>
      <c r="B795" s="1">
        <v>3.0</v>
      </c>
      <c r="C795" s="1">
        <v>12.0</v>
      </c>
      <c r="D795" s="1" t="s">
        <v>415</v>
      </c>
      <c r="E795" s="1">
        <v>10288.0</v>
      </c>
    </row>
    <row r="796">
      <c r="A796" s="1">
        <v>26.0</v>
      </c>
      <c r="B796" s="1">
        <v>3.0</v>
      </c>
      <c r="C796" s="1">
        <v>7.0</v>
      </c>
      <c r="D796" s="1" t="s">
        <v>416</v>
      </c>
      <c r="E796" s="1">
        <v>10232.0</v>
      </c>
    </row>
    <row r="797">
      <c r="A797" s="1">
        <v>32.0</v>
      </c>
      <c r="B797" s="1">
        <v>38.0</v>
      </c>
      <c r="C797" s="1">
        <v>48.0</v>
      </c>
      <c r="D797" s="1" t="s">
        <v>78</v>
      </c>
      <c r="E797" s="1">
        <v>10208.0</v>
      </c>
    </row>
    <row r="798">
      <c r="A798" s="1">
        <v>27.0</v>
      </c>
      <c r="B798" s="1">
        <v>70.0</v>
      </c>
      <c r="C798" s="1">
        <v>53.0</v>
      </c>
      <c r="D798" s="1" t="s">
        <v>69</v>
      </c>
      <c r="E798" s="1">
        <v>10149.0</v>
      </c>
    </row>
    <row r="799">
      <c r="A799" s="1">
        <v>1.0</v>
      </c>
      <c r="B799" s="1">
        <v>19.0</v>
      </c>
      <c r="C799" s="1">
        <v>4.0</v>
      </c>
      <c r="D799" s="1" t="s">
        <v>209</v>
      </c>
      <c r="E799" s="1">
        <v>10067.0</v>
      </c>
    </row>
    <row r="800">
      <c r="A800" s="1">
        <v>21.0</v>
      </c>
      <c r="B800" s="1">
        <v>53.0</v>
      </c>
      <c r="C800" s="1">
        <v>33.0</v>
      </c>
      <c r="D800" s="1" t="s">
        <v>71</v>
      </c>
      <c r="E800" s="1">
        <v>10057.0</v>
      </c>
    </row>
    <row r="801">
      <c r="A801" s="1">
        <v>8.0</v>
      </c>
      <c r="B801" s="1">
        <v>3.0</v>
      </c>
      <c r="C801" s="1">
        <v>5.0</v>
      </c>
      <c r="D801" s="1" t="s">
        <v>207</v>
      </c>
      <c r="E801" s="1">
        <v>10040.0</v>
      </c>
    </row>
    <row r="802">
      <c r="A802" s="1">
        <v>6.0</v>
      </c>
      <c r="B802" s="1">
        <v>1.0</v>
      </c>
      <c r="C802" s="1">
        <v>5.0</v>
      </c>
      <c r="D802" s="1" t="s">
        <v>160</v>
      </c>
      <c r="E802" s="1">
        <v>10020.0</v>
      </c>
    </row>
    <row r="803">
      <c r="A803" s="1">
        <v>26.0</v>
      </c>
      <c r="B803" s="1">
        <v>4.0</v>
      </c>
      <c r="C803" s="1">
        <v>41.0</v>
      </c>
      <c r="D803" s="1" t="s">
        <v>82</v>
      </c>
      <c r="E803" s="1">
        <v>9990.0</v>
      </c>
    </row>
    <row r="804">
      <c r="A804" s="1">
        <v>32.0</v>
      </c>
      <c r="B804" s="1">
        <v>2.0</v>
      </c>
      <c r="C804" s="1">
        <v>9.0</v>
      </c>
      <c r="D804" s="1" t="s">
        <v>124</v>
      </c>
      <c r="E804" s="1">
        <v>9952.0</v>
      </c>
    </row>
    <row r="805">
      <c r="A805" s="1">
        <v>32.0</v>
      </c>
      <c r="B805" s="1">
        <v>45.0</v>
      </c>
      <c r="C805" s="1">
        <v>34.0</v>
      </c>
      <c r="D805" s="1" t="s">
        <v>417</v>
      </c>
      <c r="E805" s="1">
        <v>9876.0</v>
      </c>
    </row>
    <row r="806">
      <c r="A806" s="1">
        <v>14.0</v>
      </c>
      <c r="B806" s="1">
        <v>15.0</v>
      </c>
      <c r="C806" s="1">
        <v>100.0</v>
      </c>
      <c r="D806" s="1" t="s">
        <v>418</v>
      </c>
      <c r="E806" s="1">
        <v>9871.0</v>
      </c>
    </row>
    <row r="807">
      <c r="A807" s="1">
        <v>10.0</v>
      </c>
      <c r="B807" s="1">
        <v>13.0</v>
      </c>
      <c r="C807" s="1">
        <v>30.0</v>
      </c>
      <c r="D807" s="1" t="s">
        <v>181</v>
      </c>
      <c r="E807" s="1">
        <v>9850.0</v>
      </c>
    </row>
    <row r="808">
      <c r="A808" s="1">
        <v>28.0</v>
      </c>
      <c r="B808" s="1">
        <v>1.0</v>
      </c>
      <c r="C808" s="1">
        <v>33.0</v>
      </c>
      <c r="D808" s="1" t="s">
        <v>71</v>
      </c>
      <c r="E808" s="1">
        <v>9839.0</v>
      </c>
    </row>
    <row r="809">
      <c r="A809" s="1">
        <v>14.0</v>
      </c>
      <c r="B809" s="1">
        <v>12.0</v>
      </c>
      <c r="C809" s="1">
        <v>128.0</v>
      </c>
      <c r="D809" s="1" t="s">
        <v>419</v>
      </c>
      <c r="E809" s="1">
        <v>9792.0</v>
      </c>
    </row>
    <row r="810">
      <c r="A810" s="1">
        <v>21.0</v>
      </c>
      <c r="B810" s="1">
        <v>2.0</v>
      </c>
      <c r="C810" s="1">
        <v>24.0</v>
      </c>
      <c r="D810" s="1" t="s">
        <v>420</v>
      </c>
      <c r="E810" s="1">
        <v>9736.0</v>
      </c>
    </row>
    <row r="811">
      <c r="A811" s="1">
        <v>10.0</v>
      </c>
      <c r="B811" s="1">
        <v>13.0</v>
      </c>
      <c r="C811" s="1">
        <v>13.0</v>
      </c>
      <c r="D811" s="1" t="s">
        <v>99</v>
      </c>
      <c r="E811" s="1">
        <v>9714.0</v>
      </c>
    </row>
    <row r="812">
      <c r="A812" s="1">
        <v>14.0</v>
      </c>
      <c r="B812" s="1">
        <v>12.0</v>
      </c>
      <c r="C812" s="1">
        <v>87.0</v>
      </c>
      <c r="D812" s="1" t="s">
        <v>273</v>
      </c>
      <c r="E812" s="1">
        <v>9680.0</v>
      </c>
    </row>
    <row r="813">
      <c r="A813" s="1">
        <v>25.0</v>
      </c>
      <c r="B813" s="1">
        <v>5.0</v>
      </c>
      <c r="C813" s="1">
        <v>24.0</v>
      </c>
      <c r="D813" s="1" t="s">
        <v>148</v>
      </c>
      <c r="E813" s="1">
        <v>9642.0</v>
      </c>
    </row>
    <row r="814">
      <c r="A814" s="1">
        <v>12.0</v>
      </c>
      <c r="B814" s="1">
        <v>1.0</v>
      </c>
      <c r="C814" s="1">
        <v>23.0</v>
      </c>
      <c r="D814" s="1" t="s">
        <v>104</v>
      </c>
      <c r="E814" s="1">
        <v>9640.0</v>
      </c>
    </row>
    <row r="815">
      <c r="A815" s="1">
        <v>5.0</v>
      </c>
      <c r="B815" s="1">
        <v>23.0</v>
      </c>
      <c r="C815" s="1">
        <v>31.0</v>
      </c>
      <c r="D815" s="1" t="s">
        <v>68</v>
      </c>
      <c r="E815" s="1">
        <v>9637.0</v>
      </c>
    </row>
    <row r="816">
      <c r="A816" s="1">
        <v>2.0</v>
      </c>
      <c r="B816" s="1">
        <v>1.0</v>
      </c>
      <c r="C816" s="1">
        <v>3.0</v>
      </c>
      <c r="D816" s="1" t="s">
        <v>421</v>
      </c>
      <c r="E816" s="1">
        <v>9626.0</v>
      </c>
    </row>
    <row r="817">
      <c r="A817" s="1">
        <v>8.0</v>
      </c>
      <c r="B817" s="1">
        <v>1.0</v>
      </c>
      <c r="C817" s="1">
        <v>28.0</v>
      </c>
      <c r="D817" s="1" t="s">
        <v>75</v>
      </c>
      <c r="E817" s="1">
        <v>9602.0</v>
      </c>
    </row>
    <row r="818">
      <c r="A818" s="1">
        <v>22.0</v>
      </c>
      <c r="B818" s="1">
        <v>5.0</v>
      </c>
      <c r="C818" s="1">
        <v>37.0</v>
      </c>
      <c r="D818" s="1" t="s">
        <v>73</v>
      </c>
      <c r="E818" s="1">
        <v>9592.0</v>
      </c>
    </row>
    <row r="819">
      <c r="A819" s="1">
        <v>21.0</v>
      </c>
      <c r="B819" s="1">
        <v>2.0</v>
      </c>
      <c r="C819" s="1">
        <v>34.0</v>
      </c>
      <c r="D819" s="1" t="s">
        <v>422</v>
      </c>
      <c r="E819" s="1">
        <v>9589.0</v>
      </c>
    </row>
    <row r="820">
      <c r="A820" s="1">
        <v>31.0</v>
      </c>
      <c r="B820" s="1">
        <v>7.0</v>
      </c>
      <c r="C820" s="1">
        <v>52.0</v>
      </c>
      <c r="D820" s="1" t="s">
        <v>80</v>
      </c>
      <c r="E820" s="1">
        <v>9580.0</v>
      </c>
    </row>
    <row r="821">
      <c r="A821" s="1">
        <v>18.0</v>
      </c>
      <c r="B821" s="1">
        <v>15.0</v>
      </c>
      <c r="C821" s="1">
        <v>11.0</v>
      </c>
      <c r="D821" s="1" t="s">
        <v>93</v>
      </c>
      <c r="E821" s="1">
        <v>9536.0</v>
      </c>
    </row>
    <row r="822">
      <c r="A822" s="1">
        <v>2.0</v>
      </c>
      <c r="B822" s="1">
        <v>4.0</v>
      </c>
      <c r="C822" s="1">
        <v>9.0</v>
      </c>
      <c r="D822" s="1" t="s">
        <v>375</v>
      </c>
      <c r="E822" s="1">
        <v>9529.0</v>
      </c>
    </row>
    <row r="823">
      <c r="A823" s="1">
        <v>21.0</v>
      </c>
      <c r="B823" s="1">
        <v>2.0</v>
      </c>
      <c r="C823" s="1">
        <v>36.0</v>
      </c>
      <c r="D823" s="1" t="s">
        <v>423</v>
      </c>
      <c r="E823" s="1">
        <v>9515.0</v>
      </c>
    </row>
    <row r="824">
      <c r="A824" s="1">
        <v>28.0</v>
      </c>
      <c r="B824" s="1">
        <v>1.0</v>
      </c>
      <c r="C824" s="1">
        <v>15.0</v>
      </c>
      <c r="D824" s="1" t="s">
        <v>116</v>
      </c>
      <c r="E824" s="1">
        <v>9494.0</v>
      </c>
    </row>
    <row r="825">
      <c r="A825" s="1">
        <v>16.0</v>
      </c>
      <c r="B825" s="1">
        <v>5.0</v>
      </c>
      <c r="C825" s="1">
        <v>80.0</v>
      </c>
      <c r="D825" s="1" t="s">
        <v>85</v>
      </c>
      <c r="E825" s="1">
        <v>9491.0</v>
      </c>
    </row>
    <row r="826">
      <c r="A826" s="1">
        <v>10.0</v>
      </c>
      <c r="B826" s="1">
        <v>13.0</v>
      </c>
      <c r="C826" s="1">
        <v>34.0</v>
      </c>
      <c r="D826" s="1" t="s">
        <v>55</v>
      </c>
      <c r="E826" s="1">
        <v>9456.0</v>
      </c>
    </row>
    <row r="827">
      <c r="A827" s="1">
        <v>16.0</v>
      </c>
      <c r="B827" s="1">
        <v>1.0</v>
      </c>
      <c r="C827" s="1">
        <v>236.0</v>
      </c>
      <c r="D827" s="1" t="s">
        <v>424</v>
      </c>
      <c r="E827" s="1">
        <v>9424.0</v>
      </c>
    </row>
    <row r="828">
      <c r="A828" s="1">
        <v>17.0</v>
      </c>
      <c r="B828" s="1">
        <v>13.0</v>
      </c>
      <c r="C828" s="1">
        <v>6.0</v>
      </c>
      <c r="D828" s="1" t="s">
        <v>185</v>
      </c>
      <c r="E828" s="1">
        <v>9389.0</v>
      </c>
    </row>
    <row r="829">
      <c r="A829" s="1">
        <v>32.0</v>
      </c>
      <c r="B829" s="1">
        <v>2.0</v>
      </c>
      <c r="C829" s="1">
        <v>19.0</v>
      </c>
      <c r="D829" s="1" t="s">
        <v>317</v>
      </c>
      <c r="E829" s="1">
        <v>9363.0</v>
      </c>
    </row>
    <row r="830">
      <c r="A830" s="1">
        <v>15.0</v>
      </c>
      <c r="B830" s="1">
        <v>6.0</v>
      </c>
      <c r="C830" s="1">
        <v>59.0</v>
      </c>
      <c r="D830" s="1" t="s">
        <v>151</v>
      </c>
      <c r="E830" s="1">
        <v>9349.0</v>
      </c>
    </row>
    <row r="831">
      <c r="A831" s="1">
        <v>26.0</v>
      </c>
      <c r="B831" s="1">
        <v>3.0</v>
      </c>
      <c r="C831" s="1">
        <v>33.0</v>
      </c>
      <c r="D831" s="1" t="s">
        <v>425</v>
      </c>
      <c r="E831" s="1">
        <v>9338.0</v>
      </c>
    </row>
    <row r="832">
      <c r="A832" s="1">
        <v>18.0</v>
      </c>
      <c r="B832" s="1">
        <v>11.0</v>
      </c>
      <c r="C832" s="1">
        <v>21.0</v>
      </c>
      <c r="D832" s="1" t="s">
        <v>149</v>
      </c>
      <c r="E832" s="1">
        <v>9301.0</v>
      </c>
    </row>
    <row r="833">
      <c r="A833" s="1">
        <v>3.0</v>
      </c>
      <c r="B833" s="1">
        <v>1.0</v>
      </c>
      <c r="C833" s="1">
        <v>11.0</v>
      </c>
      <c r="D833" s="1" t="s">
        <v>93</v>
      </c>
      <c r="E833" s="1">
        <v>9279.0</v>
      </c>
    </row>
    <row r="834">
      <c r="A834" s="1">
        <v>26.0</v>
      </c>
      <c r="B834" s="1">
        <v>4.0</v>
      </c>
      <c r="C834" s="1">
        <v>32.0</v>
      </c>
      <c r="D834" s="1" t="s">
        <v>224</v>
      </c>
      <c r="E834" s="1">
        <v>9262.0</v>
      </c>
    </row>
    <row r="835">
      <c r="A835" s="1">
        <v>11.0</v>
      </c>
      <c r="B835" s="1">
        <v>8.0</v>
      </c>
      <c r="C835" s="1">
        <v>18.0</v>
      </c>
      <c r="D835" s="1" t="s">
        <v>76</v>
      </c>
      <c r="E835" s="1">
        <v>9199.0</v>
      </c>
    </row>
    <row r="836">
      <c r="A836" s="1">
        <v>30.0</v>
      </c>
      <c r="B836" s="1">
        <v>1.0</v>
      </c>
      <c r="C836" s="1">
        <v>48.0</v>
      </c>
      <c r="D836" s="1" t="s">
        <v>78</v>
      </c>
      <c r="E836" s="1">
        <v>9150.0</v>
      </c>
    </row>
    <row r="837">
      <c r="A837" s="1">
        <v>30.0</v>
      </c>
      <c r="B837" s="1">
        <v>1.0</v>
      </c>
      <c r="C837" s="1">
        <v>5.0</v>
      </c>
      <c r="D837" s="1" t="s">
        <v>160</v>
      </c>
      <c r="E837" s="1">
        <v>9135.0</v>
      </c>
    </row>
    <row r="838">
      <c r="A838" s="1">
        <v>22.0</v>
      </c>
      <c r="B838" s="1">
        <v>5.0</v>
      </c>
      <c r="C838" s="1">
        <v>46.0</v>
      </c>
      <c r="D838" s="1" t="s">
        <v>190</v>
      </c>
      <c r="E838" s="1">
        <v>9126.0</v>
      </c>
    </row>
    <row r="839">
      <c r="A839" s="1">
        <v>14.0</v>
      </c>
      <c r="B839" s="1">
        <v>40.0</v>
      </c>
      <c r="C839" s="1">
        <v>97.0</v>
      </c>
      <c r="D839" s="1" t="s">
        <v>278</v>
      </c>
      <c r="E839" s="1">
        <v>9125.0</v>
      </c>
    </row>
    <row r="840">
      <c r="A840" s="1">
        <v>22.0</v>
      </c>
      <c r="B840" s="1">
        <v>1.0</v>
      </c>
      <c r="C840" s="1">
        <v>18.0</v>
      </c>
      <c r="D840" s="1" t="s">
        <v>76</v>
      </c>
      <c r="E840" s="1">
        <v>9095.0</v>
      </c>
    </row>
    <row r="841">
      <c r="A841" s="1">
        <v>14.0</v>
      </c>
      <c r="B841" s="1">
        <v>15.0</v>
      </c>
      <c r="C841" s="1">
        <v>67.0</v>
      </c>
      <c r="D841" s="1" t="s">
        <v>213</v>
      </c>
      <c r="E841" s="1">
        <v>9089.0</v>
      </c>
    </row>
    <row r="842">
      <c r="A842" s="1">
        <v>32.0</v>
      </c>
      <c r="B842" s="1">
        <v>45.0</v>
      </c>
      <c r="C842" s="1">
        <v>53.0</v>
      </c>
      <c r="D842" s="1" t="s">
        <v>69</v>
      </c>
      <c r="E842" s="1">
        <v>9036.0</v>
      </c>
    </row>
    <row r="843">
      <c r="A843" s="1">
        <v>26.0</v>
      </c>
      <c r="B843" s="1">
        <v>4.0</v>
      </c>
      <c r="C843" s="1">
        <v>23.0</v>
      </c>
      <c r="D843" s="1" t="s">
        <v>104</v>
      </c>
      <c r="E843" s="1">
        <v>8965.0</v>
      </c>
    </row>
    <row r="844">
      <c r="A844" s="1">
        <v>12.0</v>
      </c>
      <c r="B844" s="1">
        <v>2.0</v>
      </c>
      <c r="C844" s="1">
        <v>12.0</v>
      </c>
      <c r="D844" s="1" t="s">
        <v>177</v>
      </c>
      <c r="E844" s="1">
        <v>8927.0</v>
      </c>
    </row>
    <row r="845">
      <c r="A845" s="1">
        <v>30.0</v>
      </c>
      <c r="B845" s="1">
        <v>1.0</v>
      </c>
      <c r="C845" s="1">
        <v>18.0</v>
      </c>
      <c r="D845" s="1" t="s">
        <v>76</v>
      </c>
      <c r="E845" s="1">
        <v>8891.0</v>
      </c>
    </row>
    <row r="846">
      <c r="A846" s="1">
        <v>19.0</v>
      </c>
      <c r="B846" s="1">
        <v>1.0</v>
      </c>
      <c r="C846" s="1">
        <v>22.0</v>
      </c>
      <c r="D846" s="1" t="s">
        <v>201</v>
      </c>
      <c r="E846" s="1">
        <v>8881.0</v>
      </c>
    </row>
    <row r="847">
      <c r="A847" s="1">
        <v>27.0</v>
      </c>
      <c r="B847" s="1">
        <v>7.0</v>
      </c>
      <c r="C847" s="1">
        <v>15.0</v>
      </c>
      <c r="D847" s="1" t="s">
        <v>116</v>
      </c>
      <c r="E847" s="1">
        <v>8879.0</v>
      </c>
    </row>
    <row r="848">
      <c r="A848" s="1">
        <v>14.0</v>
      </c>
      <c r="B848" s="1">
        <v>40.0</v>
      </c>
      <c r="C848" s="1">
        <v>69.0</v>
      </c>
      <c r="D848" s="1" t="s">
        <v>245</v>
      </c>
      <c r="E848" s="1">
        <v>8793.0</v>
      </c>
    </row>
    <row r="849">
      <c r="A849" s="1">
        <v>11.0</v>
      </c>
      <c r="B849" s="1">
        <v>17.0</v>
      </c>
      <c r="C849" s="1">
        <v>25.0</v>
      </c>
      <c r="D849" s="1" t="s">
        <v>223</v>
      </c>
      <c r="E849" s="1">
        <v>8769.0</v>
      </c>
    </row>
    <row r="850">
      <c r="A850" s="1">
        <v>14.0</v>
      </c>
      <c r="B850" s="1">
        <v>40.0</v>
      </c>
      <c r="C850" s="1">
        <v>27.0</v>
      </c>
      <c r="D850" s="1" t="s">
        <v>429</v>
      </c>
      <c r="E850" s="1">
        <v>8737.0</v>
      </c>
    </row>
    <row r="851">
      <c r="A851" s="1">
        <v>27.0</v>
      </c>
      <c r="B851" s="1">
        <v>70.0</v>
      </c>
      <c r="C851" s="1">
        <v>35.0</v>
      </c>
      <c r="D851" s="1" t="s">
        <v>136</v>
      </c>
      <c r="E851" s="1">
        <v>8730.0</v>
      </c>
    </row>
    <row r="852">
      <c r="A852" s="1">
        <v>16.0</v>
      </c>
      <c r="B852" s="1">
        <v>1.0</v>
      </c>
      <c r="C852" s="1">
        <v>234.0</v>
      </c>
      <c r="D852" s="1" t="s">
        <v>430</v>
      </c>
      <c r="E852" s="1">
        <v>8704.0</v>
      </c>
    </row>
    <row r="853">
      <c r="A853" s="1">
        <v>22.0</v>
      </c>
      <c r="B853" s="1">
        <v>6.0</v>
      </c>
      <c r="C853" s="1">
        <v>44.0</v>
      </c>
      <c r="D853" s="1" t="s">
        <v>173</v>
      </c>
      <c r="E853" s="1">
        <v>8703.0</v>
      </c>
    </row>
    <row r="854">
      <c r="A854" s="1">
        <v>28.0</v>
      </c>
      <c r="B854" s="1">
        <v>1.0</v>
      </c>
      <c r="C854" s="1">
        <v>38.0</v>
      </c>
      <c r="D854" s="1" t="s">
        <v>204</v>
      </c>
      <c r="E854" s="1">
        <v>8657.0</v>
      </c>
    </row>
    <row r="855">
      <c r="A855" s="1">
        <v>18.0</v>
      </c>
      <c r="B855" s="1">
        <v>1.0</v>
      </c>
      <c r="C855" s="1">
        <v>17.0</v>
      </c>
      <c r="D855" s="1" t="s">
        <v>218</v>
      </c>
      <c r="E855" s="1">
        <v>8647.0</v>
      </c>
    </row>
    <row r="856">
      <c r="A856" s="1">
        <v>33.0</v>
      </c>
      <c r="B856" s="1">
        <v>1.0</v>
      </c>
      <c r="C856" s="1">
        <v>16.0</v>
      </c>
      <c r="D856" s="1" t="s">
        <v>168</v>
      </c>
      <c r="E856" s="1">
        <v>8606.0</v>
      </c>
    </row>
    <row r="857">
      <c r="A857" s="1">
        <v>3.0</v>
      </c>
      <c r="B857" s="1">
        <v>1.0</v>
      </c>
      <c r="C857" s="1">
        <v>8.0</v>
      </c>
      <c r="D857" s="1" t="s">
        <v>189</v>
      </c>
      <c r="E857" s="1">
        <v>8585.0</v>
      </c>
    </row>
    <row r="858">
      <c r="A858" s="1">
        <v>17.0</v>
      </c>
      <c r="B858" s="1">
        <v>3.0</v>
      </c>
      <c r="C858" s="1">
        <v>42.0</v>
      </c>
      <c r="D858" s="1" t="s">
        <v>186</v>
      </c>
      <c r="E858" s="1">
        <v>8542.0</v>
      </c>
    </row>
    <row r="859">
      <c r="A859" s="1">
        <v>15.0</v>
      </c>
      <c r="B859" s="1">
        <v>80.0</v>
      </c>
      <c r="C859" s="1">
        <v>81.0</v>
      </c>
      <c r="D859" s="1" t="s">
        <v>210</v>
      </c>
      <c r="E859" s="1">
        <v>8505.0</v>
      </c>
    </row>
    <row r="860">
      <c r="A860" s="1">
        <v>8.0</v>
      </c>
      <c r="B860" s="1">
        <v>5.0</v>
      </c>
      <c r="C860" s="1">
        <v>27.0</v>
      </c>
      <c r="D860" s="1" t="s">
        <v>52</v>
      </c>
      <c r="E860" s="1">
        <v>8495.0</v>
      </c>
    </row>
    <row r="861">
      <c r="A861" s="1">
        <v>22.0</v>
      </c>
      <c r="B861" s="1">
        <v>6.0</v>
      </c>
      <c r="C861" s="1">
        <v>38.0</v>
      </c>
      <c r="D861" s="1" t="s">
        <v>204</v>
      </c>
      <c r="E861" s="1">
        <v>8424.0</v>
      </c>
    </row>
    <row r="862">
      <c r="A862" s="1">
        <v>31.0</v>
      </c>
      <c r="B862" s="1">
        <v>25.0</v>
      </c>
      <c r="C862" s="1">
        <v>35.0</v>
      </c>
      <c r="D862" s="1" t="s">
        <v>136</v>
      </c>
      <c r="E862" s="1">
        <v>8404.0</v>
      </c>
    </row>
    <row r="863">
      <c r="A863" s="1">
        <v>22.0</v>
      </c>
      <c r="B863" s="1">
        <v>5.0</v>
      </c>
      <c r="C863" s="1">
        <v>40.0</v>
      </c>
      <c r="D863" s="1" t="s">
        <v>175</v>
      </c>
      <c r="E863" s="1">
        <v>8374.0</v>
      </c>
    </row>
    <row r="864">
      <c r="A864" s="1">
        <v>2.0</v>
      </c>
      <c r="B864" s="1">
        <v>1.0</v>
      </c>
      <c r="C864" s="1">
        <v>4.0</v>
      </c>
      <c r="D864" s="1" t="s">
        <v>432</v>
      </c>
      <c r="E864" s="1">
        <v>8369.0</v>
      </c>
    </row>
    <row r="865">
      <c r="A865" s="1">
        <v>29.0</v>
      </c>
      <c r="B865" s="1">
        <v>19.0</v>
      </c>
      <c r="C865" s="1">
        <v>66.0</v>
      </c>
      <c r="D865" s="1" t="s">
        <v>132</v>
      </c>
      <c r="E865" s="1">
        <v>8337.0</v>
      </c>
    </row>
    <row r="866">
      <c r="A866" s="1">
        <v>22.0</v>
      </c>
      <c r="B866" s="1">
        <v>22.0</v>
      </c>
      <c r="C866" s="1">
        <v>21.0</v>
      </c>
      <c r="D866" s="1" t="s">
        <v>149</v>
      </c>
      <c r="E866" s="1">
        <v>8293.0</v>
      </c>
    </row>
    <row r="867">
      <c r="A867" s="1">
        <v>21.0</v>
      </c>
      <c r="B867" s="1">
        <v>2.0</v>
      </c>
      <c r="C867" s="1">
        <v>21.0</v>
      </c>
      <c r="D867" s="1" t="s">
        <v>433</v>
      </c>
      <c r="E867" s="1">
        <v>8278.0</v>
      </c>
    </row>
    <row r="868">
      <c r="A868" s="1">
        <v>29.0</v>
      </c>
      <c r="B868" s="1">
        <v>13.0</v>
      </c>
      <c r="C868" s="1">
        <v>5.0</v>
      </c>
      <c r="D868" s="1" t="s">
        <v>160</v>
      </c>
      <c r="E868" s="1">
        <v>8270.0</v>
      </c>
    </row>
    <row r="869">
      <c r="A869" s="1">
        <v>5.0</v>
      </c>
      <c r="B869" s="1">
        <v>23.0</v>
      </c>
      <c r="C869" s="1">
        <v>26.0</v>
      </c>
      <c r="D869" s="1" t="s">
        <v>150</v>
      </c>
      <c r="E869" s="1">
        <v>8189.0</v>
      </c>
    </row>
    <row r="870">
      <c r="A870" s="1">
        <v>14.0</v>
      </c>
      <c r="B870" s="1">
        <v>40.0</v>
      </c>
      <c r="C870" s="1">
        <v>75.0</v>
      </c>
      <c r="D870" s="1" t="s">
        <v>114</v>
      </c>
      <c r="E870" s="1">
        <v>8168.0</v>
      </c>
    </row>
    <row r="871">
      <c r="A871" s="1">
        <v>21.0</v>
      </c>
      <c r="B871" s="1">
        <v>2.0</v>
      </c>
      <c r="C871" s="1">
        <v>56.0</v>
      </c>
      <c r="D871" s="1" t="s">
        <v>261</v>
      </c>
      <c r="E871" s="1">
        <v>8154.0</v>
      </c>
    </row>
    <row r="872">
      <c r="A872" s="1">
        <v>34.0</v>
      </c>
      <c r="B872" s="1">
        <v>9.0</v>
      </c>
      <c r="C872" s="1">
        <v>26.0</v>
      </c>
      <c r="D872" s="1" t="s">
        <v>150</v>
      </c>
      <c r="E872" s="1">
        <v>8149.0</v>
      </c>
    </row>
    <row r="873">
      <c r="A873" s="1">
        <v>8.0</v>
      </c>
      <c r="B873" s="1">
        <v>1.0</v>
      </c>
      <c r="C873" s="1">
        <v>30.0</v>
      </c>
      <c r="D873" s="1" t="s">
        <v>434</v>
      </c>
      <c r="E873" s="1">
        <v>8138.0</v>
      </c>
    </row>
    <row r="874">
      <c r="A874" s="1">
        <v>14.0</v>
      </c>
      <c r="B874" s="1">
        <v>50.0</v>
      </c>
      <c r="C874" s="1">
        <v>43.0</v>
      </c>
      <c r="D874" s="1" t="s">
        <v>164</v>
      </c>
      <c r="E874" s="1">
        <v>8128.0</v>
      </c>
    </row>
    <row r="875">
      <c r="A875" s="1">
        <v>6.0</v>
      </c>
      <c r="B875" s="1">
        <v>3.0</v>
      </c>
      <c r="C875" s="1">
        <v>9.0</v>
      </c>
      <c r="D875" s="1" t="s">
        <v>124</v>
      </c>
      <c r="E875" s="1">
        <v>8124.0</v>
      </c>
    </row>
    <row r="876">
      <c r="A876" s="1">
        <v>10.0</v>
      </c>
      <c r="B876" s="1">
        <v>1.0</v>
      </c>
      <c r="C876" s="1">
        <v>82.0</v>
      </c>
      <c r="D876" s="1" t="s">
        <v>436</v>
      </c>
      <c r="E876" s="1">
        <v>8114.0</v>
      </c>
    </row>
    <row r="877">
      <c r="A877" s="1">
        <v>31.0</v>
      </c>
      <c r="B877" s="1">
        <v>25.0</v>
      </c>
      <c r="C877" s="1">
        <v>34.0</v>
      </c>
      <c r="D877" s="1" t="s">
        <v>55</v>
      </c>
      <c r="E877" s="1">
        <v>8098.0</v>
      </c>
    </row>
    <row r="878">
      <c r="A878" s="1">
        <v>17.0</v>
      </c>
      <c r="B878" s="1">
        <v>3.0</v>
      </c>
      <c r="C878" s="1">
        <v>24.0</v>
      </c>
      <c r="D878" s="1" t="s">
        <v>437</v>
      </c>
      <c r="E878" s="1">
        <v>8076.0</v>
      </c>
    </row>
    <row r="879">
      <c r="A879" s="1">
        <v>8.0</v>
      </c>
      <c r="B879" s="1">
        <v>10.0</v>
      </c>
      <c r="C879" s="1">
        <v>10.0</v>
      </c>
      <c r="D879" s="1" t="s">
        <v>140</v>
      </c>
      <c r="E879" s="1">
        <v>8032.0</v>
      </c>
    </row>
    <row r="880">
      <c r="A880" s="1">
        <v>40.0</v>
      </c>
      <c r="B880" s="1">
        <v>6.0</v>
      </c>
      <c r="C880" s="1">
        <v>39.0</v>
      </c>
      <c r="D880" s="1" t="s">
        <v>79</v>
      </c>
      <c r="E880" s="1">
        <v>7960.0</v>
      </c>
    </row>
    <row r="881">
      <c r="A881" s="1">
        <v>22.0</v>
      </c>
      <c r="B881" s="1">
        <v>8.0</v>
      </c>
      <c r="C881" s="1">
        <v>26.0</v>
      </c>
      <c r="D881" s="1" t="s">
        <v>438</v>
      </c>
      <c r="E881" s="1">
        <v>7906.0</v>
      </c>
    </row>
    <row r="882">
      <c r="A882" s="1">
        <v>18.0</v>
      </c>
      <c r="B882" s="1">
        <v>15.0</v>
      </c>
      <c r="C882" s="1">
        <v>13.0</v>
      </c>
      <c r="D882" s="1" t="s">
        <v>99</v>
      </c>
      <c r="E882" s="1">
        <v>7902.0</v>
      </c>
    </row>
    <row r="883">
      <c r="A883" s="1">
        <v>14.0</v>
      </c>
      <c r="B883" s="1">
        <v>40.0</v>
      </c>
      <c r="C883" s="1">
        <v>11.0</v>
      </c>
      <c r="D883" s="1" t="s">
        <v>93</v>
      </c>
      <c r="E883" s="1">
        <v>7861.0</v>
      </c>
    </row>
    <row r="884">
      <c r="A884" s="1">
        <v>19.0</v>
      </c>
      <c r="B884" s="1">
        <v>1.0</v>
      </c>
      <c r="C884" s="1">
        <v>7.0</v>
      </c>
      <c r="D884" s="1" t="s">
        <v>58</v>
      </c>
      <c r="E884" s="1">
        <v>7829.0</v>
      </c>
    </row>
    <row r="885">
      <c r="A885" s="1">
        <v>7.0</v>
      </c>
      <c r="B885" s="1">
        <v>2.0</v>
      </c>
      <c r="C885" s="1">
        <v>29.0</v>
      </c>
      <c r="D885" s="1" t="s">
        <v>270</v>
      </c>
      <c r="E885" s="1">
        <v>7826.0</v>
      </c>
    </row>
    <row r="886">
      <c r="A886" s="1">
        <v>14.0</v>
      </c>
      <c r="B886" s="1">
        <v>38.0</v>
      </c>
      <c r="C886" s="1">
        <v>60.0</v>
      </c>
      <c r="D886" s="1" t="s">
        <v>254</v>
      </c>
      <c r="E886" s="1">
        <v>7819.0</v>
      </c>
    </row>
    <row r="887">
      <c r="A887" s="1">
        <v>27.0</v>
      </c>
      <c r="B887" s="1">
        <v>7.0</v>
      </c>
      <c r="C887" s="1">
        <v>14.0</v>
      </c>
      <c r="D887" s="1" t="s">
        <v>141</v>
      </c>
      <c r="E887" s="1">
        <v>7801.0</v>
      </c>
    </row>
    <row r="888">
      <c r="A888" s="1">
        <v>14.0</v>
      </c>
      <c r="B888" s="1">
        <v>22.0</v>
      </c>
      <c r="C888" s="1">
        <v>114.0</v>
      </c>
      <c r="D888" s="1" t="s">
        <v>439</v>
      </c>
      <c r="E888" s="1">
        <v>7799.0</v>
      </c>
    </row>
    <row r="889">
      <c r="A889" s="1">
        <v>11.0</v>
      </c>
      <c r="B889" s="1">
        <v>8.0</v>
      </c>
      <c r="C889" s="1">
        <v>17.0</v>
      </c>
      <c r="D889" s="1" t="s">
        <v>218</v>
      </c>
      <c r="E889" s="1">
        <v>7767.0</v>
      </c>
    </row>
    <row r="890">
      <c r="A890" s="1">
        <v>7.0</v>
      </c>
      <c r="B890" s="1">
        <v>1.0</v>
      </c>
      <c r="C890" s="1">
        <v>20.0</v>
      </c>
      <c r="D890" s="1" t="s">
        <v>176</v>
      </c>
      <c r="E890" s="1">
        <v>7728.0</v>
      </c>
    </row>
    <row r="891">
      <c r="A891" s="1">
        <v>26.0</v>
      </c>
      <c r="B891" s="1">
        <v>3.0</v>
      </c>
      <c r="C891" s="1">
        <v>43.0</v>
      </c>
      <c r="D891" s="1" t="s">
        <v>164</v>
      </c>
      <c r="E891" s="1">
        <v>7607.0</v>
      </c>
    </row>
    <row r="892">
      <c r="A892" s="1">
        <v>16.0</v>
      </c>
      <c r="B892" s="1">
        <v>1.0</v>
      </c>
      <c r="C892" s="1">
        <v>247.0</v>
      </c>
      <c r="D892" s="1" t="s">
        <v>440</v>
      </c>
      <c r="E892" s="1">
        <v>7576.0</v>
      </c>
    </row>
    <row r="893">
      <c r="A893" s="1">
        <v>10.0</v>
      </c>
      <c r="B893" s="1">
        <v>1.0</v>
      </c>
      <c r="C893" s="1">
        <v>6.0</v>
      </c>
      <c r="D893" s="1" t="s">
        <v>185</v>
      </c>
      <c r="E893" s="1">
        <v>7571.0</v>
      </c>
    </row>
    <row r="894">
      <c r="A894" s="1">
        <v>31.0</v>
      </c>
      <c r="B894" s="1">
        <v>2.0</v>
      </c>
      <c r="C894" s="1">
        <v>37.0</v>
      </c>
      <c r="D894" s="1" t="s">
        <v>73</v>
      </c>
      <c r="E894" s="1">
        <v>7554.0</v>
      </c>
    </row>
    <row r="895">
      <c r="A895" s="1">
        <v>27.0</v>
      </c>
      <c r="B895" s="1">
        <v>10.0</v>
      </c>
      <c r="C895" s="1">
        <v>24.0</v>
      </c>
      <c r="D895" s="1" t="s">
        <v>148</v>
      </c>
      <c r="E895" s="1">
        <v>7549.0</v>
      </c>
    </row>
    <row r="896">
      <c r="A896" s="1">
        <v>7.0</v>
      </c>
      <c r="B896" s="1">
        <v>2.0</v>
      </c>
      <c r="C896" s="1">
        <v>33.0</v>
      </c>
      <c r="D896" s="1" t="s">
        <v>71</v>
      </c>
      <c r="E896" s="1">
        <v>7542.0</v>
      </c>
    </row>
    <row r="897">
      <c r="A897" s="1">
        <v>17.0</v>
      </c>
      <c r="B897" s="1">
        <v>13.0</v>
      </c>
      <c r="C897" s="1">
        <v>68.0</v>
      </c>
      <c r="D897" s="1" t="s">
        <v>74</v>
      </c>
      <c r="E897" s="1">
        <v>7481.0</v>
      </c>
    </row>
    <row r="898">
      <c r="A898" s="1">
        <v>8.0</v>
      </c>
      <c r="B898" s="1">
        <v>22.0</v>
      </c>
      <c r="C898" s="1">
        <v>8.0</v>
      </c>
      <c r="D898" s="1" t="s">
        <v>189</v>
      </c>
      <c r="E898" s="1">
        <v>7445.0</v>
      </c>
    </row>
    <row r="899">
      <c r="A899" s="1">
        <v>17.0</v>
      </c>
      <c r="B899" s="1">
        <v>13.0</v>
      </c>
      <c r="C899" s="1">
        <v>28.0</v>
      </c>
      <c r="D899" s="1" t="s">
        <v>75</v>
      </c>
      <c r="E899" s="1">
        <v>7435.0</v>
      </c>
    </row>
    <row r="900">
      <c r="A900" s="1">
        <v>5.0</v>
      </c>
      <c r="B900" s="1">
        <v>3.0</v>
      </c>
      <c r="C900" s="1">
        <v>62.0</v>
      </c>
      <c r="D900" s="1" t="s">
        <v>67</v>
      </c>
      <c r="E900" s="1">
        <v>7417.0</v>
      </c>
    </row>
    <row r="901">
      <c r="A901" s="1">
        <v>32.0</v>
      </c>
      <c r="B901" s="1">
        <v>2.0</v>
      </c>
      <c r="C901" s="1">
        <v>16.0</v>
      </c>
      <c r="D901" s="1" t="s">
        <v>441</v>
      </c>
      <c r="E901" s="1">
        <v>7409.0</v>
      </c>
    </row>
    <row r="902">
      <c r="A902" s="1">
        <v>34.0</v>
      </c>
      <c r="B902" s="1">
        <v>1.0</v>
      </c>
      <c r="C902" s="1">
        <v>43.0</v>
      </c>
      <c r="D902" s="1" t="s">
        <v>164</v>
      </c>
      <c r="E902" s="1">
        <v>7406.0</v>
      </c>
    </row>
    <row r="903">
      <c r="A903" s="1">
        <v>20.0</v>
      </c>
      <c r="B903" s="1">
        <v>6.0</v>
      </c>
      <c r="C903" s="1">
        <v>13.0</v>
      </c>
      <c r="D903" s="1" t="s">
        <v>99</v>
      </c>
      <c r="E903" s="1">
        <v>7393.0</v>
      </c>
    </row>
    <row r="904">
      <c r="A904" s="1">
        <v>18.0</v>
      </c>
      <c r="B904" s="1">
        <v>1.0</v>
      </c>
      <c r="C904" s="1">
        <v>19.0</v>
      </c>
      <c r="D904" s="1" t="s">
        <v>72</v>
      </c>
      <c r="E904" s="1">
        <v>7375.0</v>
      </c>
    </row>
    <row r="905">
      <c r="A905" s="1">
        <v>14.0</v>
      </c>
      <c r="B905" s="1">
        <v>12.0</v>
      </c>
      <c r="C905" s="1">
        <v>132.0</v>
      </c>
      <c r="D905" s="1" t="s">
        <v>442</v>
      </c>
      <c r="E905" s="1">
        <v>7354.0</v>
      </c>
    </row>
    <row r="906">
      <c r="A906" s="1">
        <v>18.0</v>
      </c>
      <c r="B906" s="1">
        <v>11.0</v>
      </c>
      <c r="C906" s="1">
        <v>22.0</v>
      </c>
      <c r="D906" s="1" t="s">
        <v>201</v>
      </c>
      <c r="E906" s="1">
        <v>7353.0</v>
      </c>
    </row>
    <row r="907">
      <c r="A907" s="1">
        <v>24.0</v>
      </c>
      <c r="B907" s="1">
        <v>7.0</v>
      </c>
      <c r="C907" s="1">
        <v>4.0</v>
      </c>
      <c r="D907" s="1" t="s">
        <v>209</v>
      </c>
      <c r="E907" s="1">
        <v>7338.0</v>
      </c>
    </row>
    <row r="908">
      <c r="A908" s="1">
        <v>17.0</v>
      </c>
      <c r="B908" s="1">
        <v>9.0</v>
      </c>
      <c r="C908" s="1">
        <v>11.0</v>
      </c>
      <c r="D908" s="1" t="s">
        <v>93</v>
      </c>
      <c r="E908" s="1">
        <v>7245.0</v>
      </c>
    </row>
    <row r="909">
      <c r="A909" s="1">
        <v>14.0</v>
      </c>
      <c r="B909" s="1">
        <v>50.0</v>
      </c>
      <c r="C909" s="1">
        <v>162.0</v>
      </c>
      <c r="D909" s="1" t="s">
        <v>238</v>
      </c>
      <c r="E909" s="1">
        <v>7226.0</v>
      </c>
    </row>
    <row r="910">
      <c r="A910" s="1">
        <v>12.0</v>
      </c>
      <c r="B910" s="1">
        <v>2.0</v>
      </c>
      <c r="C910" s="1">
        <v>11.0</v>
      </c>
      <c r="D910" s="1" t="s">
        <v>93</v>
      </c>
      <c r="E910" s="1">
        <v>7218.0</v>
      </c>
    </row>
    <row r="911">
      <c r="A911" s="1">
        <v>34.0</v>
      </c>
      <c r="B911" s="1">
        <v>1.0</v>
      </c>
      <c r="C911" s="1">
        <v>39.0</v>
      </c>
      <c r="D911" s="1" t="s">
        <v>79</v>
      </c>
      <c r="E911" s="1">
        <v>7181.0</v>
      </c>
    </row>
    <row r="912">
      <c r="A912" s="1">
        <v>31.0</v>
      </c>
      <c r="B912" s="1">
        <v>9.0</v>
      </c>
      <c r="C912" s="1">
        <v>43.0</v>
      </c>
      <c r="D912" s="1" t="s">
        <v>164</v>
      </c>
      <c r="E912" s="1">
        <v>7167.0</v>
      </c>
    </row>
    <row r="913">
      <c r="A913" s="1">
        <v>17.0</v>
      </c>
      <c r="B913" s="1">
        <v>3.0</v>
      </c>
      <c r="C913" s="1">
        <v>25.0</v>
      </c>
      <c r="D913" s="1" t="s">
        <v>223</v>
      </c>
      <c r="E913" s="1">
        <v>7153.0</v>
      </c>
    </row>
    <row r="914">
      <c r="A914" s="1">
        <v>8.0</v>
      </c>
      <c r="B914" s="1">
        <v>10.0</v>
      </c>
      <c r="C914" s="1">
        <v>43.0</v>
      </c>
      <c r="D914" s="1" t="s">
        <v>164</v>
      </c>
      <c r="E914" s="1">
        <v>7150.0</v>
      </c>
    </row>
    <row r="915">
      <c r="A915" s="1">
        <v>31.0</v>
      </c>
      <c r="B915" s="1">
        <v>7.0</v>
      </c>
      <c r="C915" s="1">
        <v>49.0</v>
      </c>
      <c r="D915" s="1" t="s">
        <v>134</v>
      </c>
      <c r="E915" s="1">
        <v>7135.0</v>
      </c>
    </row>
    <row r="916">
      <c r="A916" s="1">
        <v>14.0</v>
      </c>
      <c r="B916" s="1">
        <v>22.0</v>
      </c>
      <c r="C916" s="1">
        <v>16.0</v>
      </c>
      <c r="D916" s="1" t="s">
        <v>355</v>
      </c>
      <c r="E916" s="1">
        <v>7100.0</v>
      </c>
    </row>
    <row r="917">
      <c r="A917" s="1">
        <v>25.0</v>
      </c>
      <c r="B917" s="1">
        <v>5.0</v>
      </c>
      <c r="C917" s="1">
        <v>12.0</v>
      </c>
      <c r="D917" s="1" t="s">
        <v>443</v>
      </c>
      <c r="E917" s="1">
        <v>7085.0</v>
      </c>
    </row>
    <row r="918">
      <c r="A918" s="1">
        <v>24.0</v>
      </c>
      <c r="B918" s="1">
        <v>1.0</v>
      </c>
      <c r="C918" s="1">
        <v>5.0</v>
      </c>
      <c r="D918" s="1" t="s">
        <v>160</v>
      </c>
      <c r="E918" s="1">
        <v>7076.0</v>
      </c>
    </row>
    <row r="919">
      <c r="A919" s="1">
        <v>14.0</v>
      </c>
      <c r="B919" s="1">
        <v>50.0</v>
      </c>
      <c r="C919" s="1">
        <v>80.0</v>
      </c>
      <c r="D919" s="1" t="s">
        <v>85</v>
      </c>
      <c r="E919" s="1">
        <v>7016.0</v>
      </c>
    </row>
    <row r="920">
      <c r="A920" s="1">
        <v>11.0</v>
      </c>
      <c r="B920" s="1">
        <v>8.0</v>
      </c>
      <c r="C920" s="1">
        <v>41.0</v>
      </c>
      <c r="D920" s="1" t="s">
        <v>82</v>
      </c>
      <c r="E920" s="1">
        <v>7012.0</v>
      </c>
    </row>
    <row r="921">
      <c r="A921" s="1">
        <v>7.0</v>
      </c>
      <c r="B921" s="1">
        <v>2.0</v>
      </c>
      <c r="C921" s="1">
        <v>26.0</v>
      </c>
      <c r="D921" s="1" t="s">
        <v>150</v>
      </c>
      <c r="E921" s="1">
        <v>6995.0</v>
      </c>
    </row>
    <row r="922">
      <c r="A922" s="1">
        <v>17.0</v>
      </c>
      <c r="B922" s="1">
        <v>17.0</v>
      </c>
      <c r="C922" s="1">
        <v>48.0</v>
      </c>
      <c r="D922" s="1" t="s">
        <v>78</v>
      </c>
      <c r="E922" s="1">
        <v>6974.0</v>
      </c>
    </row>
    <row r="923">
      <c r="A923" s="1">
        <v>25.0</v>
      </c>
      <c r="B923" s="1">
        <v>1.0</v>
      </c>
      <c r="C923" s="1">
        <v>23.0</v>
      </c>
      <c r="D923" s="1" t="s">
        <v>104</v>
      </c>
      <c r="E923" s="1">
        <v>6919.0</v>
      </c>
    </row>
    <row r="924">
      <c r="A924" s="1">
        <v>14.0</v>
      </c>
      <c r="B924" s="1">
        <v>12.0</v>
      </c>
      <c r="C924" s="1">
        <v>130.0</v>
      </c>
      <c r="D924" s="1" t="s">
        <v>444</v>
      </c>
      <c r="E924" s="1">
        <v>6895.0</v>
      </c>
    </row>
    <row r="925">
      <c r="A925" s="1">
        <v>31.0</v>
      </c>
      <c r="B925" s="1">
        <v>2.0</v>
      </c>
      <c r="C925" s="1">
        <v>21.0</v>
      </c>
      <c r="D925" s="1" t="s">
        <v>149</v>
      </c>
      <c r="E925" s="1">
        <v>6892.0</v>
      </c>
    </row>
    <row r="926">
      <c r="A926" s="1">
        <v>14.0</v>
      </c>
      <c r="B926" s="1">
        <v>12.0</v>
      </c>
      <c r="C926" s="1">
        <v>133.0</v>
      </c>
      <c r="D926" s="1" t="s">
        <v>445</v>
      </c>
      <c r="E926" s="1">
        <v>6855.0</v>
      </c>
    </row>
    <row r="927">
      <c r="A927" s="1">
        <v>2.0</v>
      </c>
      <c r="B927" s="1">
        <v>1.0</v>
      </c>
      <c r="C927" s="1">
        <v>24.0</v>
      </c>
      <c r="D927" s="1" t="s">
        <v>338</v>
      </c>
      <c r="E927" s="1">
        <v>6851.0</v>
      </c>
    </row>
    <row r="928">
      <c r="A928" s="1">
        <v>5.0</v>
      </c>
      <c r="B928" s="1">
        <v>12.0</v>
      </c>
      <c r="C928" s="1">
        <v>14.0</v>
      </c>
      <c r="D928" s="1" t="s">
        <v>141</v>
      </c>
      <c r="E928" s="1">
        <v>6847.0</v>
      </c>
    </row>
    <row r="929">
      <c r="A929" s="1">
        <v>29.0</v>
      </c>
      <c r="B929" s="1">
        <v>4.0</v>
      </c>
      <c r="C929" s="1">
        <v>19.0</v>
      </c>
      <c r="D929" s="1" t="s">
        <v>72</v>
      </c>
      <c r="E929" s="1">
        <v>6845.0</v>
      </c>
    </row>
    <row r="930">
      <c r="A930" s="1">
        <v>14.0</v>
      </c>
      <c r="B930" s="1">
        <v>15.0</v>
      </c>
      <c r="C930" s="1">
        <v>66.0</v>
      </c>
      <c r="D930" s="1" t="s">
        <v>132</v>
      </c>
      <c r="E930" s="1">
        <v>6835.0</v>
      </c>
    </row>
    <row r="931">
      <c r="A931" s="1">
        <v>14.0</v>
      </c>
      <c r="B931" s="1">
        <v>22.0</v>
      </c>
      <c r="C931" s="1">
        <v>64.0</v>
      </c>
      <c r="D931" s="1" t="s">
        <v>63</v>
      </c>
      <c r="E931" s="1">
        <v>6827.0</v>
      </c>
    </row>
    <row r="932">
      <c r="A932" s="1">
        <v>40.0</v>
      </c>
      <c r="B932" s="1">
        <v>6.0</v>
      </c>
      <c r="C932" s="1">
        <v>38.0</v>
      </c>
      <c r="D932" s="1" t="s">
        <v>204</v>
      </c>
      <c r="E932" s="1">
        <v>6795.0</v>
      </c>
    </row>
    <row r="933">
      <c r="A933" s="1">
        <v>14.0</v>
      </c>
      <c r="B933" s="1">
        <v>40.0</v>
      </c>
      <c r="C933" s="1">
        <v>30.0</v>
      </c>
      <c r="D933" s="1" t="s">
        <v>181</v>
      </c>
      <c r="E933" s="1">
        <v>6780.0</v>
      </c>
    </row>
    <row r="934">
      <c r="A934" s="1">
        <v>27.0</v>
      </c>
      <c r="B934" s="1">
        <v>70.0</v>
      </c>
      <c r="C934" s="1">
        <v>11.0</v>
      </c>
      <c r="D934" s="1" t="s">
        <v>93</v>
      </c>
      <c r="E934" s="1">
        <v>6771.0</v>
      </c>
    </row>
    <row r="935">
      <c r="A935" s="1">
        <v>32.0</v>
      </c>
      <c r="B935" s="1">
        <v>2.0</v>
      </c>
      <c r="C935" s="1">
        <v>31.0</v>
      </c>
      <c r="D935" s="1" t="s">
        <v>68</v>
      </c>
      <c r="E935" s="1">
        <v>6707.0</v>
      </c>
    </row>
    <row r="936">
      <c r="A936" s="1">
        <v>33.0</v>
      </c>
      <c r="B936" s="1">
        <v>33.0</v>
      </c>
      <c r="C936" s="1">
        <v>18.0</v>
      </c>
      <c r="D936" s="1" t="s">
        <v>76</v>
      </c>
      <c r="E936" s="1">
        <v>6681.0</v>
      </c>
    </row>
    <row r="937">
      <c r="A937" s="1">
        <v>10.0</v>
      </c>
      <c r="B937" s="1">
        <v>1.0</v>
      </c>
      <c r="C937" s="1">
        <v>7.0</v>
      </c>
      <c r="D937" s="1" t="s">
        <v>58</v>
      </c>
      <c r="E937" s="1">
        <v>6587.0</v>
      </c>
    </row>
    <row r="938">
      <c r="A938" s="1">
        <v>19.0</v>
      </c>
      <c r="B938" s="1">
        <v>1.0</v>
      </c>
      <c r="C938" s="1">
        <v>9.0</v>
      </c>
      <c r="D938" s="1" t="s">
        <v>124</v>
      </c>
      <c r="E938" s="1">
        <v>6585.0</v>
      </c>
    </row>
    <row r="939">
      <c r="A939" s="1">
        <v>17.0</v>
      </c>
      <c r="B939" s="1">
        <v>13.0</v>
      </c>
      <c r="C939" s="1">
        <v>72.0</v>
      </c>
      <c r="D939" s="1" t="s">
        <v>302</v>
      </c>
      <c r="E939" s="1">
        <v>6568.0</v>
      </c>
    </row>
    <row r="940">
      <c r="A940" s="1">
        <v>8.0</v>
      </c>
      <c r="B940" s="1">
        <v>3.0</v>
      </c>
      <c r="C940" s="1">
        <v>31.0</v>
      </c>
      <c r="D940" s="1" t="s">
        <v>404</v>
      </c>
      <c r="E940" s="1">
        <v>6560.0</v>
      </c>
    </row>
    <row r="941">
      <c r="A941" s="1">
        <v>27.0</v>
      </c>
      <c r="B941" s="1">
        <v>57.0</v>
      </c>
      <c r="C941" s="1">
        <v>50.0</v>
      </c>
      <c r="D941" s="1" t="s">
        <v>208</v>
      </c>
      <c r="E941" s="1">
        <v>6534.0</v>
      </c>
    </row>
    <row r="942">
      <c r="A942" s="1">
        <v>29.0</v>
      </c>
      <c r="B942" s="1">
        <v>10.0</v>
      </c>
      <c r="C942" s="1">
        <v>37.0</v>
      </c>
      <c r="D942" s="1" t="s">
        <v>73</v>
      </c>
      <c r="E942" s="1">
        <v>6502.0</v>
      </c>
    </row>
    <row r="943">
      <c r="A943" s="1">
        <v>32.0</v>
      </c>
      <c r="B943" s="1">
        <v>2.0</v>
      </c>
      <c r="C943" s="1">
        <v>21.0</v>
      </c>
      <c r="D943" s="1" t="s">
        <v>149</v>
      </c>
      <c r="E943" s="1">
        <v>6483.0</v>
      </c>
    </row>
    <row r="944">
      <c r="A944" s="1">
        <v>25.0</v>
      </c>
      <c r="B944" s="1">
        <v>3.0</v>
      </c>
      <c r="C944" s="1">
        <v>43.0</v>
      </c>
      <c r="D944" s="1" t="s">
        <v>164</v>
      </c>
      <c r="E944" s="1">
        <v>6473.0</v>
      </c>
    </row>
    <row r="945">
      <c r="A945" s="1">
        <v>7.0</v>
      </c>
      <c r="B945" s="1">
        <v>2.0</v>
      </c>
      <c r="C945" s="1">
        <v>7.0</v>
      </c>
      <c r="D945" s="1" t="s">
        <v>58</v>
      </c>
      <c r="E945" s="1">
        <v>6464.0</v>
      </c>
    </row>
    <row r="946">
      <c r="A946" s="1">
        <v>7.0</v>
      </c>
      <c r="B946" s="1">
        <v>1.0</v>
      </c>
      <c r="C946" s="1">
        <v>21.0</v>
      </c>
      <c r="D946" s="1" t="s">
        <v>149</v>
      </c>
      <c r="E946" s="1">
        <v>6430.0</v>
      </c>
    </row>
    <row r="947">
      <c r="A947" s="1">
        <v>31.0</v>
      </c>
      <c r="B947" s="1">
        <v>9.0</v>
      </c>
      <c r="C947" s="1">
        <v>44.0</v>
      </c>
      <c r="D947" s="1" t="s">
        <v>173</v>
      </c>
      <c r="E947" s="1">
        <v>6409.0</v>
      </c>
    </row>
    <row r="948">
      <c r="A948" s="1">
        <v>14.0</v>
      </c>
      <c r="B948" s="1">
        <v>40.0</v>
      </c>
      <c r="C948" s="1">
        <v>73.0</v>
      </c>
      <c r="D948" s="1" t="s">
        <v>137</v>
      </c>
      <c r="E948" s="1">
        <v>6401.0</v>
      </c>
    </row>
    <row r="949">
      <c r="A949" s="1">
        <v>10.0</v>
      </c>
      <c r="B949" s="1">
        <v>13.0</v>
      </c>
      <c r="C949" s="1">
        <v>14.0</v>
      </c>
      <c r="D949" s="1" t="s">
        <v>141</v>
      </c>
      <c r="E949" s="1">
        <v>6380.0</v>
      </c>
    </row>
    <row r="950">
      <c r="A950" s="1">
        <v>30.0</v>
      </c>
      <c r="B950" s="1">
        <v>1.0</v>
      </c>
      <c r="C950" s="1">
        <v>35.0</v>
      </c>
      <c r="D950" s="1" t="s">
        <v>136</v>
      </c>
      <c r="E950" s="1">
        <v>6376.0</v>
      </c>
    </row>
    <row r="951">
      <c r="A951" s="1">
        <v>31.0</v>
      </c>
      <c r="B951" s="1">
        <v>9.0</v>
      </c>
      <c r="C951" s="1">
        <v>46.0</v>
      </c>
      <c r="D951" s="1" t="s">
        <v>190</v>
      </c>
      <c r="E951" s="1">
        <v>6363.0</v>
      </c>
    </row>
    <row r="952">
      <c r="A952" s="1">
        <v>33.0</v>
      </c>
      <c r="B952" s="1">
        <v>33.0</v>
      </c>
      <c r="C952" s="1">
        <v>8.0</v>
      </c>
      <c r="D952" s="1" t="s">
        <v>189</v>
      </c>
      <c r="E952" s="1">
        <v>6331.0</v>
      </c>
    </row>
    <row r="953">
      <c r="A953" s="1">
        <v>26.0</v>
      </c>
      <c r="B953" s="1">
        <v>1.0</v>
      </c>
      <c r="C953" s="1">
        <v>53.0</v>
      </c>
      <c r="D953" s="1" t="s">
        <v>69</v>
      </c>
      <c r="E953" s="1">
        <v>6330.0</v>
      </c>
    </row>
    <row r="954">
      <c r="A954" s="1">
        <v>32.0</v>
      </c>
      <c r="B954" s="1">
        <v>2.0</v>
      </c>
      <c r="C954" s="1">
        <v>14.0</v>
      </c>
      <c r="D954" s="1" t="s">
        <v>141</v>
      </c>
      <c r="E954" s="1">
        <v>6327.0</v>
      </c>
    </row>
    <row r="955">
      <c r="A955" s="1">
        <v>11.0</v>
      </c>
      <c r="B955" s="1">
        <v>14.0</v>
      </c>
      <c r="C955" s="1">
        <v>36.0</v>
      </c>
      <c r="D955" s="1" t="s">
        <v>95</v>
      </c>
      <c r="E955" s="1">
        <v>6324.0</v>
      </c>
    </row>
    <row r="956">
      <c r="A956" s="1">
        <v>10.0</v>
      </c>
      <c r="B956" s="1">
        <v>13.0</v>
      </c>
      <c r="C956" s="1">
        <v>33.0</v>
      </c>
      <c r="D956" s="1" t="s">
        <v>71</v>
      </c>
      <c r="E956" s="1">
        <v>6298.0</v>
      </c>
    </row>
    <row r="957">
      <c r="A957" s="1">
        <v>5.0</v>
      </c>
      <c r="B957" s="1">
        <v>17.0</v>
      </c>
      <c r="C957" s="1">
        <v>74.0</v>
      </c>
      <c r="D957" s="1" t="s">
        <v>334</v>
      </c>
      <c r="E957" s="1">
        <v>6277.0</v>
      </c>
    </row>
    <row r="958">
      <c r="A958" s="1">
        <v>25.0</v>
      </c>
      <c r="B958" s="1">
        <v>1.0</v>
      </c>
      <c r="C958" s="1">
        <v>26.0</v>
      </c>
      <c r="D958" s="1" t="s">
        <v>150</v>
      </c>
      <c r="E958" s="1">
        <v>6209.0</v>
      </c>
    </row>
    <row r="959">
      <c r="A959" s="1">
        <v>34.0</v>
      </c>
      <c r="B959" s="1">
        <v>1.0</v>
      </c>
      <c r="C959" s="1">
        <v>10.0</v>
      </c>
      <c r="D959" s="1" t="s">
        <v>140</v>
      </c>
      <c r="E959" s="1">
        <v>6209.0</v>
      </c>
    </row>
    <row r="960">
      <c r="A960" s="1">
        <v>33.0</v>
      </c>
      <c r="B960" s="1">
        <v>33.0</v>
      </c>
      <c r="C960" s="1">
        <v>22.0</v>
      </c>
      <c r="D960" s="1" t="s">
        <v>201</v>
      </c>
      <c r="E960" s="1">
        <v>6207.0</v>
      </c>
    </row>
    <row r="961">
      <c r="A961" s="1">
        <v>20.0</v>
      </c>
      <c r="B961" s="1">
        <v>6.0</v>
      </c>
      <c r="C961" s="1">
        <v>53.0</v>
      </c>
      <c r="D961" s="1" t="s">
        <v>69</v>
      </c>
      <c r="E961" s="1">
        <v>6196.0</v>
      </c>
    </row>
    <row r="962">
      <c r="A962" s="1">
        <v>11.0</v>
      </c>
      <c r="B962" s="1">
        <v>17.0</v>
      </c>
      <c r="C962" s="1">
        <v>24.0</v>
      </c>
      <c r="D962" s="1" t="s">
        <v>148</v>
      </c>
      <c r="E962" s="1">
        <v>6191.0</v>
      </c>
    </row>
    <row r="963">
      <c r="A963" s="1">
        <v>28.0</v>
      </c>
      <c r="B963" s="1">
        <v>2.0</v>
      </c>
      <c r="C963" s="1">
        <v>10.0</v>
      </c>
      <c r="D963" s="1" t="s">
        <v>140</v>
      </c>
      <c r="E963" s="1">
        <v>6184.0</v>
      </c>
    </row>
    <row r="964">
      <c r="A964" s="1">
        <v>34.0</v>
      </c>
      <c r="B964" s="1">
        <v>1.0</v>
      </c>
      <c r="C964" s="1">
        <v>11.0</v>
      </c>
      <c r="D964" s="1" t="s">
        <v>93</v>
      </c>
      <c r="E964" s="1">
        <v>6140.0</v>
      </c>
    </row>
    <row r="965">
      <c r="A965" s="1">
        <v>14.0</v>
      </c>
      <c r="B965" s="1">
        <v>38.0</v>
      </c>
      <c r="C965" s="1">
        <v>57.0</v>
      </c>
      <c r="D965" s="1" t="s">
        <v>89</v>
      </c>
      <c r="E965" s="1">
        <v>6133.0</v>
      </c>
    </row>
    <row r="966">
      <c r="A966" s="1">
        <v>19.0</v>
      </c>
      <c r="B966" s="1">
        <v>1.0</v>
      </c>
      <c r="C966" s="1">
        <v>13.0</v>
      </c>
      <c r="D966" s="1" t="s">
        <v>99</v>
      </c>
      <c r="E966" s="1">
        <v>6001.0</v>
      </c>
    </row>
    <row r="967">
      <c r="A967" s="1">
        <v>14.0</v>
      </c>
      <c r="B967" s="1">
        <v>12.0</v>
      </c>
      <c r="C967" s="1">
        <v>159.0</v>
      </c>
      <c r="D967" s="1" t="s">
        <v>468</v>
      </c>
      <c r="E967" s="1">
        <v>5953.0</v>
      </c>
    </row>
    <row r="968">
      <c r="A968" s="1">
        <v>2.0</v>
      </c>
      <c r="B968" s="1">
        <v>1.0</v>
      </c>
      <c r="C968" s="1">
        <v>15.0</v>
      </c>
      <c r="D968" s="1" t="s">
        <v>391</v>
      </c>
      <c r="E968" s="1">
        <v>5950.0</v>
      </c>
    </row>
    <row r="969">
      <c r="A969" s="1">
        <v>4.0</v>
      </c>
      <c r="B969" s="1">
        <v>1.0</v>
      </c>
      <c r="C969" s="1">
        <v>8.0</v>
      </c>
      <c r="D969" s="1" t="s">
        <v>189</v>
      </c>
      <c r="E969" s="1">
        <v>5881.0</v>
      </c>
    </row>
    <row r="970">
      <c r="A970" s="1">
        <v>31.0</v>
      </c>
      <c r="B970" s="1">
        <v>2.0</v>
      </c>
      <c r="C970" s="1">
        <v>22.0</v>
      </c>
      <c r="D970" s="1" t="s">
        <v>201</v>
      </c>
      <c r="E970" s="1">
        <v>5866.0</v>
      </c>
    </row>
    <row r="971">
      <c r="A971" s="1">
        <v>21.0</v>
      </c>
      <c r="B971" s="1">
        <v>3.0</v>
      </c>
      <c r="C971" s="1">
        <v>12.0</v>
      </c>
      <c r="D971" s="1" t="s">
        <v>177</v>
      </c>
      <c r="E971" s="1">
        <v>5835.0</v>
      </c>
    </row>
    <row r="972">
      <c r="A972" s="1">
        <v>14.0</v>
      </c>
      <c r="B972" s="1">
        <v>40.0</v>
      </c>
      <c r="C972" s="1">
        <v>155.0</v>
      </c>
      <c r="D972" s="1" t="s">
        <v>470</v>
      </c>
      <c r="E972" s="1">
        <v>5831.0</v>
      </c>
    </row>
    <row r="973">
      <c r="A973" s="1">
        <v>26.0</v>
      </c>
      <c r="B973" s="1">
        <v>3.0</v>
      </c>
      <c r="C973" s="1">
        <v>5.0</v>
      </c>
      <c r="D973" s="1" t="s">
        <v>160</v>
      </c>
      <c r="E973" s="1">
        <v>5810.0</v>
      </c>
    </row>
    <row r="974">
      <c r="A974" s="1">
        <v>8.0</v>
      </c>
      <c r="B974" s="1">
        <v>8.0</v>
      </c>
      <c r="C974" s="1">
        <v>37.0</v>
      </c>
      <c r="D974" s="1" t="s">
        <v>73</v>
      </c>
      <c r="E974" s="1">
        <v>5808.0</v>
      </c>
    </row>
    <row r="975">
      <c r="A975" s="1">
        <v>28.0</v>
      </c>
      <c r="B975" s="1">
        <v>2.0</v>
      </c>
      <c r="C975" s="1">
        <v>12.0</v>
      </c>
      <c r="D975" s="1" t="s">
        <v>177</v>
      </c>
      <c r="E975" s="1">
        <v>5793.0</v>
      </c>
    </row>
    <row r="976">
      <c r="A976" s="1">
        <v>17.0</v>
      </c>
      <c r="B976" s="1">
        <v>13.0</v>
      </c>
      <c r="C976" s="1">
        <v>54.0</v>
      </c>
      <c r="D976" s="1" t="s">
        <v>241</v>
      </c>
      <c r="E976" s="1">
        <v>5784.0</v>
      </c>
    </row>
    <row r="977">
      <c r="A977" s="1">
        <v>27.0</v>
      </c>
      <c r="B977" s="1">
        <v>7.0</v>
      </c>
      <c r="C977" s="1">
        <v>42.0</v>
      </c>
      <c r="D977" s="1" t="s">
        <v>186</v>
      </c>
      <c r="E977" s="1">
        <v>5714.0</v>
      </c>
    </row>
    <row r="978">
      <c r="A978" s="1">
        <v>23.0</v>
      </c>
      <c r="B978" s="1">
        <v>1.0</v>
      </c>
      <c r="C978" s="1">
        <v>59.0</v>
      </c>
      <c r="D978" s="1" t="s">
        <v>151</v>
      </c>
      <c r="E978" s="1">
        <v>5677.0</v>
      </c>
    </row>
    <row r="979">
      <c r="A979" s="1">
        <v>20.0</v>
      </c>
      <c r="B979" s="1">
        <v>6.0</v>
      </c>
      <c r="C979" s="1">
        <v>55.0</v>
      </c>
      <c r="D979" s="1" t="s">
        <v>91</v>
      </c>
      <c r="E979" s="1">
        <v>5652.0</v>
      </c>
    </row>
    <row r="980">
      <c r="A980" s="1">
        <v>34.0</v>
      </c>
      <c r="B980" s="1">
        <v>9.0</v>
      </c>
      <c r="C980" s="1">
        <v>52.0</v>
      </c>
      <c r="D980" s="1" t="s">
        <v>80</v>
      </c>
      <c r="E980" s="1">
        <v>5638.0</v>
      </c>
    </row>
    <row r="981">
      <c r="A981" s="1">
        <v>16.0</v>
      </c>
      <c r="B981" s="1">
        <v>1.0</v>
      </c>
      <c r="C981" s="1">
        <v>237.0</v>
      </c>
      <c r="D981" s="1" t="s">
        <v>472</v>
      </c>
      <c r="E981" s="1">
        <v>5624.0</v>
      </c>
    </row>
    <row r="982">
      <c r="A982" s="1">
        <v>20.0</v>
      </c>
      <c r="B982" s="1">
        <v>33.0</v>
      </c>
      <c r="C982" s="1">
        <v>51.0</v>
      </c>
      <c r="D982" s="1" t="s">
        <v>152</v>
      </c>
      <c r="E982" s="1">
        <v>5614.0</v>
      </c>
    </row>
    <row r="983">
      <c r="A983" s="1">
        <v>31.0</v>
      </c>
      <c r="B983" s="1">
        <v>2.0</v>
      </c>
      <c r="C983" s="1">
        <v>38.0</v>
      </c>
      <c r="D983" s="1" t="s">
        <v>204</v>
      </c>
      <c r="E983" s="1">
        <v>5610.0</v>
      </c>
    </row>
    <row r="984">
      <c r="A984" s="1">
        <v>29.0</v>
      </c>
      <c r="B984" s="1">
        <v>10.0</v>
      </c>
      <c r="C984" s="1">
        <v>75.0</v>
      </c>
      <c r="D984" s="1" t="s">
        <v>114</v>
      </c>
      <c r="E984" s="1">
        <v>5568.0</v>
      </c>
    </row>
    <row r="985">
      <c r="A985" s="1">
        <v>28.0</v>
      </c>
      <c r="B985" s="1">
        <v>2.0</v>
      </c>
      <c r="C985" s="1">
        <v>32.0</v>
      </c>
      <c r="D985" s="1" t="s">
        <v>127</v>
      </c>
      <c r="E985" s="1">
        <v>5560.0</v>
      </c>
    </row>
    <row r="986">
      <c r="A986" s="1">
        <v>31.0</v>
      </c>
      <c r="B986" s="1">
        <v>2.0</v>
      </c>
      <c r="C986" s="1">
        <v>12.0</v>
      </c>
      <c r="D986" s="1" t="s">
        <v>177</v>
      </c>
      <c r="E986" s="1">
        <v>5550.0</v>
      </c>
    </row>
    <row r="987">
      <c r="A987" s="1">
        <v>23.0</v>
      </c>
      <c r="B987" s="1">
        <v>1.0</v>
      </c>
      <c r="C987" s="1">
        <v>64.0</v>
      </c>
      <c r="D987" s="1" t="s">
        <v>63</v>
      </c>
      <c r="E987" s="1">
        <v>5525.0</v>
      </c>
    </row>
    <row r="988">
      <c r="A988" s="1">
        <v>14.0</v>
      </c>
      <c r="B988" s="1">
        <v>22.0</v>
      </c>
      <c r="C988" s="1">
        <v>61.0</v>
      </c>
      <c r="D988" s="1" t="s">
        <v>145</v>
      </c>
      <c r="E988" s="1">
        <v>5514.0</v>
      </c>
    </row>
    <row r="989">
      <c r="A989" s="1">
        <v>12.0</v>
      </c>
      <c r="B989" s="1">
        <v>13.0</v>
      </c>
      <c r="C989" s="1">
        <v>15.0</v>
      </c>
      <c r="D989" s="1" t="s">
        <v>116</v>
      </c>
      <c r="E989" s="1">
        <v>5497.0</v>
      </c>
    </row>
    <row r="990">
      <c r="A990" s="1">
        <v>5.0</v>
      </c>
      <c r="B990" s="1">
        <v>17.0</v>
      </c>
      <c r="C990" s="1">
        <v>50.0</v>
      </c>
      <c r="D990" s="1" t="s">
        <v>208</v>
      </c>
      <c r="E990" s="1">
        <v>5458.0</v>
      </c>
    </row>
    <row r="991">
      <c r="A991" s="1">
        <v>22.0</v>
      </c>
      <c r="B991" s="1">
        <v>8.0</v>
      </c>
      <c r="C991" s="1">
        <v>50.0</v>
      </c>
      <c r="D991" s="1" t="s">
        <v>208</v>
      </c>
      <c r="E991" s="1">
        <v>5416.0</v>
      </c>
    </row>
    <row r="992">
      <c r="A992" s="1">
        <v>29.0</v>
      </c>
      <c r="B992" s="1">
        <v>13.0</v>
      </c>
      <c r="C992" s="1">
        <v>25.0</v>
      </c>
      <c r="D992" s="1" t="s">
        <v>223</v>
      </c>
      <c r="E992" s="1">
        <v>5409.0</v>
      </c>
    </row>
    <row r="993">
      <c r="A993" s="1">
        <v>28.0</v>
      </c>
      <c r="B993" s="1">
        <v>1.0</v>
      </c>
      <c r="C993" s="1">
        <v>36.0</v>
      </c>
      <c r="D993" s="1" t="s">
        <v>95</v>
      </c>
      <c r="E993" s="1">
        <v>5357.0</v>
      </c>
    </row>
    <row r="994">
      <c r="A994" s="1">
        <v>19.0</v>
      </c>
      <c r="B994" s="1">
        <v>1.0</v>
      </c>
      <c r="C994" s="1">
        <v>4.0</v>
      </c>
      <c r="D994" s="1" t="s">
        <v>209</v>
      </c>
      <c r="E994" s="1">
        <v>5327.0</v>
      </c>
    </row>
    <row r="995">
      <c r="A995" s="1">
        <v>22.0</v>
      </c>
      <c r="B995" s="1">
        <v>6.0</v>
      </c>
      <c r="C995" s="1">
        <v>28.0</v>
      </c>
      <c r="D995" s="1" t="s">
        <v>475</v>
      </c>
      <c r="E995" s="1">
        <v>5325.0</v>
      </c>
    </row>
    <row r="996">
      <c r="A996" s="1">
        <v>28.0</v>
      </c>
      <c r="B996" s="1">
        <v>2.0</v>
      </c>
      <c r="C996" s="1">
        <v>13.0</v>
      </c>
      <c r="D996" s="1" t="s">
        <v>99</v>
      </c>
      <c r="E996" s="1">
        <v>5317.0</v>
      </c>
    </row>
    <row r="997">
      <c r="A997" s="1">
        <v>16.0</v>
      </c>
      <c r="B997" s="1">
        <v>1.0</v>
      </c>
      <c r="C997" s="1">
        <v>232.0</v>
      </c>
      <c r="D997" s="1" t="s">
        <v>477</v>
      </c>
      <c r="E997" s="1">
        <v>5313.0</v>
      </c>
    </row>
    <row r="998">
      <c r="A998" s="1">
        <v>5.0</v>
      </c>
      <c r="B998" s="1">
        <v>9.0</v>
      </c>
      <c r="C998" s="1">
        <v>61.0</v>
      </c>
      <c r="D998" s="1" t="s">
        <v>145</v>
      </c>
      <c r="E998" s="1">
        <v>5289.0</v>
      </c>
    </row>
    <row r="999">
      <c r="A999" s="1">
        <v>27.0</v>
      </c>
      <c r="B999" s="1">
        <v>13.0</v>
      </c>
      <c r="C999" s="1">
        <v>32.0</v>
      </c>
      <c r="D999" s="1" t="s">
        <v>127</v>
      </c>
      <c r="E999" s="1">
        <v>5283.0</v>
      </c>
    </row>
    <row r="1000">
      <c r="A1000" s="1">
        <v>27.0</v>
      </c>
      <c r="B1000" s="1">
        <v>70.0</v>
      </c>
      <c r="C1000" s="1">
        <v>18.0</v>
      </c>
      <c r="D1000" s="1" t="s">
        <v>76</v>
      </c>
      <c r="E1000" s="1">
        <v>5258.0</v>
      </c>
    </row>
    <row r="1001">
      <c r="A1001" s="1">
        <v>27.0</v>
      </c>
      <c r="B1001" s="1">
        <v>51.0</v>
      </c>
      <c r="C1001" s="1">
        <v>12.0</v>
      </c>
      <c r="D1001" s="1" t="s">
        <v>408</v>
      </c>
      <c r="E1001" s="1">
        <v>5249.0</v>
      </c>
    </row>
    <row r="1002">
      <c r="A1002" s="1">
        <v>25.0</v>
      </c>
      <c r="B1002" s="1">
        <v>60.0</v>
      </c>
      <c r="C1002" s="1">
        <v>16.0</v>
      </c>
      <c r="D1002" s="1" t="s">
        <v>168</v>
      </c>
      <c r="E1002" s="1">
        <v>5226.0</v>
      </c>
    </row>
    <row r="1003">
      <c r="A1003" s="1">
        <v>8.0</v>
      </c>
      <c r="B1003" s="1">
        <v>3.0</v>
      </c>
      <c r="C1003" s="1">
        <v>41.0</v>
      </c>
      <c r="D1003" s="1" t="s">
        <v>82</v>
      </c>
      <c r="E1003" s="1">
        <v>5223.0</v>
      </c>
    </row>
    <row r="1004">
      <c r="A1004" s="1">
        <v>22.0</v>
      </c>
      <c r="B1004" s="1">
        <v>5.0</v>
      </c>
      <c r="C1004" s="1">
        <v>33.0</v>
      </c>
      <c r="D1004" s="1" t="s">
        <v>425</v>
      </c>
      <c r="E1004" s="1">
        <v>5208.0</v>
      </c>
    </row>
    <row r="1005">
      <c r="A1005" s="1">
        <v>5.0</v>
      </c>
      <c r="B1005" s="1">
        <v>12.0</v>
      </c>
      <c r="C1005" s="1">
        <v>64.0</v>
      </c>
      <c r="D1005" s="1" t="s">
        <v>63</v>
      </c>
      <c r="E1005" s="1">
        <v>5169.0</v>
      </c>
    </row>
    <row r="1006">
      <c r="A1006" s="1">
        <v>2.0</v>
      </c>
      <c r="B1006" s="1">
        <v>3.0</v>
      </c>
      <c r="C1006" s="1">
        <v>14.0</v>
      </c>
      <c r="D1006" s="1" t="s">
        <v>141</v>
      </c>
      <c r="E1006" s="1">
        <v>5119.0</v>
      </c>
    </row>
    <row r="1007">
      <c r="A1007" s="1">
        <v>26.0</v>
      </c>
      <c r="B1007" s="1">
        <v>3.0</v>
      </c>
      <c r="C1007" s="1">
        <v>14.0</v>
      </c>
      <c r="D1007" s="1" t="s">
        <v>141</v>
      </c>
      <c r="E1007" s="1">
        <v>5119.0</v>
      </c>
    </row>
    <row r="1008">
      <c r="A1008" s="1">
        <v>10.0</v>
      </c>
      <c r="B1008" s="1">
        <v>13.0</v>
      </c>
      <c r="C1008" s="1">
        <v>29.0</v>
      </c>
      <c r="D1008" s="1" t="s">
        <v>270</v>
      </c>
      <c r="E1008" s="1">
        <v>5066.0</v>
      </c>
    </row>
    <row r="1009">
      <c r="A1009" s="1">
        <v>34.0</v>
      </c>
      <c r="B1009" s="1">
        <v>1.0</v>
      </c>
      <c r="C1009" s="1">
        <v>29.0</v>
      </c>
      <c r="D1009" s="1" t="s">
        <v>270</v>
      </c>
      <c r="E1009" s="1">
        <v>5060.0</v>
      </c>
    </row>
    <row r="1010">
      <c r="A1010" s="1">
        <v>26.0</v>
      </c>
      <c r="B1010" s="1">
        <v>4.0</v>
      </c>
      <c r="C1010" s="1">
        <v>20.0</v>
      </c>
      <c r="D1010" s="1" t="s">
        <v>176</v>
      </c>
      <c r="E1010" s="1">
        <v>5002.0</v>
      </c>
    </row>
    <row r="1011">
      <c r="A1011" s="1">
        <v>25.0</v>
      </c>
      <c r="B1011" s="1">
        <v>5.0</v>
      </c>
      <c r="C1011" s="1">
        <v>35.0</v>
      </c>
      <c r="D1011" s="1" t="s">
        <v>136</v>
      </c>
      <c r="E1011" s="1">
        <v>4986.0</v>
      </c>
    </row>
    <row r="1012">
      <c r="A1012" s="1">
        <v>29.0</v>
      </c>
      <c r="B1012" s="1">
        <v>13.0</v>
      </c>
      <c r="C1012" s="1">
        <v>30.0</v>
      </c>
      <c r="D1012" s="1" t="s">
        <v>181</v>
      </c>
      <c r="E1012" s="1">
        <v>4986.0</v>
      </c>
    </row>
    <row r="1013">
      <c r="A1013" s="1">
        <v>20.0</v>
      </c>
      <c r="B1013" s="1">
        <v>31.0</v>
      </c>
      <c r="C1013" s="1">
        <v>48.0</v>
      </c>
      <c r="D1013" s="1" t="s">
        <v>78</v>
      </c>
      <c r="E1013" s="1">
        <v>4981.0</v>
      </c>
    </row>
    <row r="1014">
      <c r="A1014" s="1">
        <v>34.0</v>
      </c>
      <c r="B1014" s="1">
        <v>9.0</v>
      </c>
      <c r="C1014" s="1">
        <v>44.0</v>
      </c>
      <c r="D1014" s="1" t="s">
        <v>173</v>
      </c>
      <c r="E1014" s="1">
        <v>4976.0</v>
      </c>
    </row>
    <row r="1015">
      <c r="A1015" s="1">
        <v>17.0</v>
      </c>
      <c r="B1015" s="1">
        <v>3.0</v>
      </c>
      <c r="C1015" s="1">
        <v>71.0</v>
      </c>
      <c r="D1015" s="1" t="s">
        <v>211</v>
      </c>
      <c r="E1015" s="1">
        <v>4960.0</v>
      </c>
    </row>
    <row r="1016">
      <c r="A1016" s="1">
        <v>10.0</v>
      </c>
      <c r="B1016" s="1">
        <v>13.0</v>
      </c>
      <c r="C1016" s="1">
        <v>24.0</v>
      </c>
      <c r="D1016" s="1" t="s">
        <v>148</v>
      </c>
      <c r="E1016" s="1">
        <v>4943.0</v>
      </c>
    </row>
    <row r="1017">
      <c r="A1017" s="1">
        <v>31.0</v>
      </c>
      <c r="B1017" s="1">
        <v>2.0</v>
      </c>
      <c r="C1017" s="1">
        <v>18.0</v>
      </c>
      <c r="D1017" s="1" t="s">
        <v>76</v>
      </c>
      <c r="E1017" s="1">
        <v>4935.0</v>
      </c>
    </row>
    <row r="1018">
      <c r="A1018" s="1">
        <v>8.0</v>
      </c>
      <c r="B1018" s="1">
        <v>5.0</v>
      </c>
      <c r="C1018" s="1">
        <v>14.0</v>
      </c>
      <c r="D1018" s="1" t="s">
        <v>141</v>
      </c>
      <c r="E1018" s="1">
        <v>4929.0</v>
      </c>
    </row>
    <row r="1019">
      <c r="A1019" s="1">
        <v>31.0</v>
      </c>
      <c r="B1019" s="1">
        <v>12.0</v>
      </c>
      <c r="C1019" s="1">
        <v>25.0</v>
      </c>
      <c r="D1019" s="1" t="s">
        <v>223</v>
      </c>
      <c r="E1019" s="1">
        <v>4917.0</v>
      </c>
    </row>
    <row r="1020">
      <c r="A1020" s="1">
        <v>3.0</v>
      </c>
      <c r="B1020" s="1">
        <v>1.0</v>
      </c>
      <c r="C1020" s="1">
        <v>3.0</v>
      </c>
      <c r="D1020" s="1" t="s">
        <v>155</v>
      </c>
      <c r="E1020" s="1">
        <v>4907.0</v>
      </c>
    </row>
    <row r="1021">
      <c r="A1021" s="1">
        <v>21.0</v>
      </c>
      <c r="B1021" s="1">
        <v>3.0</v>
      </c>
      <c r="C1021" s="1">
        <v>30.0</v>
      </c>
      <c r="D1021" s="1" t="s">
        <v>181</v>
      </c>
      <c r="E1021" s="1">
        <v>4907.0</v>
      </c>
    </row>
    <row r="1022">
      <c r="A1022" s="1">
        <v>28.0</v>
      </c>
      <c r="B1022" s="1">
        <v>2.0</v>
      </c>
      <c r="C1022" s="1">
        <v>8.0</v>
      </c>
      <c r="D1022" s="1" t="s">
        <v>189</v>
      </c>
      <c r="E1022" s="1">
        <v>4907.0</v>
      </c>
    </row>
    <row r="1023">
      <c r="A1023" s="1">
        <v>27.0</v>
      </c>
      <c r="B1023" s="1">
        <v>3.0</v>
      </c>
      <c r="C1023" s="1">
        <v>13.0</v>
      </c>
      <c r="D1023" s="1" t="s">
        <v>99</v>
      </c>
      <c r="E1023" s="1">
        <v>4895.0</v>
      </c>
    </row>
    <row r="1024">
      <c r="A1024" s="1">
        <v>14.0</v>
      </c>
      <c r="B1024" s="1">
        <v>38.0</v>
      </c>
      <c r="C1024" s="1">
        <v>8.0</v>
      </c>
      <c r="D1024" s="1" t="s">
        <v>189</v>
      </c>
      <c r="E1024" s="1">
        <v>4889.0</v>
      </c>
    </row>
    <row r="1025">
      <c r="A1025" s="1">
        <v>32.0</v>
      </c>
      <c r="B1025" s="1">
        <v>3.0</v>
      </c>
      <c r="C1025" s="1">
        <v>22.0</v>
      </c>
      <c r="D1025" s="1" t="s">
        <v>201</v>
      </c>
      <c r="E1025" s="1">
        <v>4829.0</v>
      </c>
    </row>
    <row r="1026">
      <c r="A1026" s="1">
        <v>7.0</v>
      </c>
      <c r="B1026" s="1">
        <v>2.0</v>
      </c>
      <c r="C1026" s="1">
        <v>22.0</v>
      </c>
      <c r="D1026" s="1" t="s">
        <v>201</v>
      </c>
      <c r="E1026" s="1">
        <v>4825.0</v>
      </c>
    </row>
    <row r="1027">
      <c r="A1027" s="1">
        <v>12.0</v>
      </c>
      <c r="B1027" s="1">
        <v>2.0</v>
      </c>
      <c r="C1027" s="1">
        <v>14.0</v>
      </c>
      <c r="D1027" s="1" t="s">
        <v>141</v>
      </c>
      <c r="E1027" s="1">
        <v>4761.0</v>
      </c>
    </row>
    <row r="1028">
      <c r="A1028" s="1">
        <v>7.0</v>
      </c>
      <c r="B1028" s="1">
        <v>2.0</v>
      </c>
      <c r="C1028" s="1">
        <v>27.0</v>
      </c>
      <c r="D1028" s="1" t="s">
        <v>52</v>
      </c>
      <c r="E1028" s="1">
        <v>4740.0</v>
      </c>
    </row>
    <row r="1029">
      <c r="A1029" s="1">
        <v>29.0</v>
      </c>
      <c r="B1029" s="1">
        <v>13.0</v>
      </c>
      <c r="C1029" s="1">
        <v>29.0</v>
      </c>
      <c r="D1029" s="1" t="s">
        <v>270</v>
      </c>
      <c r="E1029" s="1">
        <v>4702.0</v>
      </c>
    </row>
    <row r="1030">
      <c r="A1030" s="1">
        <v>11.0</v>
      </c>
      <c r="B1030" s="1">
        <v>5.0</v>
      </c>
      <c r="C1030" s="1">
        <v>32.0</v>
      </c>
      <c r="D1030" s="1" t="s">
        <v>127</v>
      </c>
      <c r="E1030" s="1">
        <v>4688.0</v>
      </c>
    </row>
    <row r="1031">
      <c r="A1031" s="1">
        <v>26.0</v>
      </c>
      <c r="B1031" s="1">
        <v>4.0</v>
      </c>
      <c r="C1031" s="1">
        <v>25.0</v>
      </c>
      <c r="D1031" s="1" t="s">
        <v>223</v>
      </c>
      <c r="E1031" s="1">
        <v>4677.0</v>
      </c>
    </row>
    <row r="1032">
      <c r="A1032" s="1">
        <v>20.0</v>
      </c>
      <c r="B1032" s="1">
        <v>6.0</v>
      </c>
      <c r="C1032" s="1">
        <v>52.0</v>
      </c>
      <c r="D1032" s="1" t="s">
        <v>80</v>
      </c>
      <c r="E1032" s="1">
        <v>4632.0</v>
      </c>
    </row>
    <row r="1033">
      <c r="A1033" s="1">
        <v>26.0</v>
      </c>
      <c r="B1033" s="1">
        <v>5.0</v>
      </c>
      <c r="C1033" s="1">
        <v>38.0</v>
      </c>
      <c r="D1033" s="1" t="s">
        <v>204</v>
      </c>
      <c r="E1033" s="1">
        <v>4620.0</v>
      </c>
    </row>
    <row r="1034">
      <c r="A1034" s="1">
        <v>21.0</v>
      </c>
      <c r="B1034" s="1">
        <v>2.0</v>
      </c>
      <c r="C1034" s="1">
        <v>17.0</v>
      </c>
      <c r="D1034" s="1" t="s">
        <v>218</v>
      </c>
      <c r="E1034" s="1">
        <v>4616.0</v>
      </c>
    </row>
    <row r="1035">
      <c r="A1035" s="1">
        <v>17.0</v>
      </c>
      <c r="B1035" s="1">
        <v>17.0</v>
      </c>
      <c r="C1035" s="1">
        <v>79.0</v>
      </c>
      <c r="D1035" s="1" t="s">
        <v>179</v>
      </c>
      <c r="E1035" s="1">
        <v>4604.0</v>
      </c>
    </row>
    <row r="1036">
      <c r="A1036" s="1">
        <v>29.0</v>
      </c>
      <c r="B1036" s="1">
        <v>4.0</v>
      </c>
      <c r="C1036" s="1">
        <v>23.0</v>
      </c>
      <c r="D1036" s="1" t="s">
        <v>104</v>
      </c>
      <c r="E1036" s="1">
        <v>4585.0</v>
      </c>
    </row>
    <row r="1037">
      <c r="A1037" s="1">
        <v>8.0</v>
      </c>
      <c r="B1037" s="1">
        <v>8.0</v>
      </c>
      <c r="C1037" s="1">
        <v>55.0</v>
      </c>
      <c r="D1037" s="1" t="s">
        <v>91</v>
      </c>
      <c r="E1037" s="1">
        <v>4561.0</v>
      </c>
    </row>
    <row r="1038">
      <c r="A1038" s="1">
        <v>10.0</v>
      </c>
      <c r="B1038" s="1">
        <v>13.0</v>
      </c>
      <c r="C1038" s="1">
        <v>45.0</v>
      </c>
      <c r="D1038" s="1" t="s">
        <v>171</v>
      </c>
      <c r="E1038" s="1">
        <v>4496.0</v>
      </c>
    </row>
    <row r="1039">
      <c r="A1039" s="1">
        <v>26.0</v>
      </c>
      <c r="B1039" s="1">
        <v>3.0</v>
      </c>
      <c r="C1039" s="1">
        <v>17.0</v>
      </c>
      <c r="D1039" s="1" t="s">
        <v>218</v>
      </c>
      <c r="E1039" s="1">
        <v>4483.0</v>
      </c>
    </row>
    <row r="1040">
      <c r="A1040" s="1">
        <v>8.0</v>
      </c>
      <c r="B1040" s="1">
        <v>3.0</v>
      </c>
      <c r="C1040" s="1">
        <v>38.0</v>
      </c>
      <c r="D1040" s="1" t="s">
        <v>204</v>
      </c>
      <c r="E1040" s="1">
        <v>4389.0</v>
      </c>
    </row>
    <row r="1041">
      <c r="A1041" s="1">
        <v>10.0</v>
      </c>
      <c r="B1041" s="1">
        <v>13.0</v>
      </c>
      <c r="C1041" s="1">
        <v>35.0</v>
      </c>
      <c r="D1041" s="1" t="s">
        <v>136</v>
      </c>
      <c r="E1041" s="1">
        <v>4345.0</v>
      </c>
    </row>
    <row r="1042">
      <c r="A1042" s="1">
        <v>16.0</v>
      </c>
      <c r="B1042" s="1">
        <v>1.0</v>
      </c>
      <c r="C1042" s="1">
        <v>240.0</v>
      </c>
      <c r="D1042" s="1" t="s">
        <v>512</v>
      </c>
      <c r="E1042" s="1">
        <v>4329.0</v>
      </c>
    </row>
    <row r="1043">
      <c r="A1043" s="1">
        <v>8.0</v>
      </c>
      <c r="B1043" s="1">
        <v>8.0</v>
      </c>
      <c r="C1043" s="1">
        <v>42.0</v>
      </c>
      <c r="D1043" s="1" t="s">
        <v>186</v>
      </c>
      <c r="E1043" s="1">
        <v>4324.0</v>
      </c>
    </row>
    <row r="1044">
      <c r="A1044" s="1">
        <v>33.0</v>
      </c>
      <c r="B1044" s="1">
        <v>33.0</v>
      </c>
      <c r="C1044" s="1">
        <v>21.0</v>
      </c>
      <c r="D1044" s="1" t="s">
        <v>149</v>
      </c>
      <c r="E1044" s="1">
        <v>4306.0</v>
      </c>
    </row>
    <row r="1045">
      <c r="A1045" s="1">
        <v>17.0</v>
      </c>
      <c r="B1045" s="1">
        <v>9.0</v>
      </c>
      <c r="C1045" s="1">
        <v>57.0</v>
      </c>
      <c r="D1045" s="1" t="s">
        <v>89</v>
      </c>
      <c r="E1045" s="1">
        <v>4285.0</v>
      </c>
    </row>
    <row r="1046">
      <c r="A1046" s="1">
        <v>12.0</v>
      </c>
      <c r="B1046" s="1">
        <v>1.0</v>
      </c>
      <c r="C1046" s="1">
        <v>7.0</v>
      </c>
      <c r="D1046" s="1" t="s">
        <v>58</v>
      </c>
      <c r="E1046" s="1">
        <v>4222.0</v>
      </c>
    </row>
    <row r="1047">
      <c r="A1047" s="1">
        <v>27.0</v>
      </c>
      <c r="B1047" s="1">
        <v>70.0</v>
      </c>
      <c r="C1047" s="1">
        <v>29.0</v>
      </c>
      <c r="D1047" s="1" t="s">
        <v>270</v>
      </c>
      <c r="E1047" s="1">
        <v>4221.0</v>
      </c>
    </row>
    <row r="1048">
      <c r="A1048" s="1">
        <v>7.0</v>
      </c>
      <c r="B1048" s="1">
        <v>1.0</v>
      </c>
      <c r="C1048" s="1">
        <v>41.0</v>
      </c>
      <c r="D1048" s="1" t="s">
        <v>82</v>
      </c>
      <c r="E1048" s="1">
        <v>4200.0</v>
      </c>
    </row>
    <row r="1049">
      <c r="A1049" s="1">
        <v>14.0</v>
      </c>
      <c r="B1049" s="1">
        <v>22.0</v>
      </c>
      <c r="C1049" s="1">
        <v>71.0</v>
      </c>
      <c r="D1049" s="1" t="s">
        <v>211</v>
      </c>
      <c r="E1049" s="1">
        <v>4193.0</v>
      </c>
    </row>
    <row r="1050">
      <c r="A1050" s="1">
        <v>31.0</v>
      </c>
      <c r="B1050" s="1">
        <v>12.0</v>
      </c>
      <c r="C1050" s="1">
        <v>31.0</v>
      </c>
      <c r="D1050" s="1" t="s">
        <v>68</v>
      </c>
      <c r="E1050" s="1">
        <v>4133.0</v>
      </c>
    </row>
    <row r="1051">
      <c r="A1051" s="1">
        <v>34.0</v>
      </c>
      <c r="B1051" s="1">
        <v>1.0</v>
      </c>
      <c r="C1051" s="1">
        <v>24.0</v>
      </c>
      <c r="D1051" s="1" t="s">
        <v>148</v>
      </c>
      <c r="E1051" s="1">
        <v>4118.0</v>
      </c>
    </row>
    <row r="1052">
      <c r="A1052" s="1">
        <v>8.0</v>
      </c>
      <c r="B1052" s="1">
        <v>10.0</v>
      </c>
      <c r="C1052" s="1">
        <v>50.0</v>
      </c>
      <c r="D1052" s="1" t="s">
        <v>208</v>
      </c>
      <c r="E1052" s="1">
        <v>4115.0</v>
      </c>
    </row>
    <row r="1053">
      <c r="A1053" s="1">
        <v>21.0</v>
      </c>
      <c r="B1053" s="1">
        <v>2.0</v>
      </c>
      <c r="C1053" s="1">
        <v>58.0</v>
      </c>
      <c r="D1053" s="1" t="s">
        <v>154</v>
      </c>
      <c r="E1053" s="1">
        <v>4113.0</v>
      </c>
    </row>
    <row r="1054">
      <c r="A1054" s="1">
        <v>26.0</v>
      </c>
      <c r="B1054" s="1">
        <v>4.0</v>
      </c>
      <c r="C1054" s="1">
        <v>54.0</v>
      </c>
      <c r="D1054" s="1" t="s">
        <v>241</v>
      </c>
      <c r="E1054" s="1">
        <v>4109.0</v>
      </c>
    </row>
    <row r="1055">
      <c r="A1055" s="1">
        <v>27.0</v>
      </c>
      <c r="B1055" s="1">
        <v>1.0</v>
      </c>
      <c r="C1055" s="1">
        <v>47.0</v>
      </c>
      <c r="D1055" s="1" t="s">
        <v>61</v>
      </c>
      <c r="E1055" s="1">
        <v>4096.0</v>
      </c>
    </row>
    <row r="1056">
      <c r="A1056" s="1">
        <v>2.0</v>
      </c>
      <c r="B1056" s="1">
        <v>3.0</v>
      </c>
      <c r="C1056" s="1">
        <v>22.0</v>
      </c>
      <c r="D1056" s="1" t="s">
        <v>201</v>
      </c>
      <c r="E1056" s="1">
        <v>4090.0</v>
      </c>
    </row>
    <row r="1057">
      <c r="A1057" s="1">
        <v>22.0</v>
      </c>
      <c r="B1057" s="1">
        <v>8.0</v>
      </c>
      <c r="C1057" s="1">
        <v>31.0</v>
      </c>
      <c r="D1057" s="1" t="s">
        <v>404</v>
      </c>
      <c r="E1057" s="1">
        <v>4089.0</v>
      </c>
    </row>
    <row r="1058">
      <c r="A1058" s="1">
        <v>14.0</v>
      </c>
      <c r="B1058" s="1">
        <v>12.0</v>
      </c>
      <c r="C1058" s="1">
        <v>183.0</v>
      </c>
      <c r="D1058" s="1" t="s">
        <v>284</v>
      </c>
      <c r="E1058" s="1">
        <v>4080.0</v>
      </c>
    </row>
    <row r="1059">
      <c r="A1059" s="1">
        <v>17.0</v>
      </c>
      <c r="B1059" s="1">
        <v>3.0</v>
      </c>
      <c r="C1059" s="1">
        <v>65.0</v>
      </c>
      <c r="D1059" s="1" t="s">
        <v>182</v>
      </c>
      <c r="E1059" s="1">
        <v>4080.0</v>
      </c>
    </row>
    <row r="1060">
      <c r="A1060" s="1">
        <v>8.0</v>
      </c>
      <c r="B1060" s="1">
        <v>3.0</v>
      </c>
      <c r="C1060" s="1">
        <v>39.0</v>
      </c>
      <c r="D1060" s="1" t="s">
        <v>79</v>
      </c>
      <c r="E1060" s="1">
        <v>4055.0</v>
      </c>
    </row>
    <row r="1061">
      <c r="A1061" s="1">
        <v>14.0</v>
      </c>
      <c r="B1061" s="1">
        <v>40.0</v>
      </c>
      <c r="C1061" s="1">
        <v>98.0</v>
      </c>
      <c r="D1061" s="1" t="s">
        <v>519</v>
      </c>
      <c r="E1061" s="1">
        <v>4053.0</v>
      </c>
    </row>
    <row r="1062">
      <c r="A1062" s="1">
        <v>14.0</v>
      </c>
      <c r="B1062" s="1">
        <v>22.0</v>
      </c>
      <c r="C1062" s="1">
        <v>82.0</v>
      </c>
      <c r="D1062" s="1" t="s">
        <v>147</v>
      </c>
      <c r="E1062" s="1">
        <v>4051.0</v>
      </c>
    </row>
    <row r="1063">
      <c r="A1063" s="1">
        <v>27.0</v>
      </c>
      <c r="B1063" s="1">
        <v>70.0</v>
      </c>
      <c r="C1063" s="1">
        <v>28.0</v>
      </c>
      <c r="D1063" s="1" t="s">
        <v>75</v>
      </c>
      <c r="E1063" s="1">
        <v>4012.0</v>
      </c>
    </row>
    <row r="1064">
      <c r="A1064" s="1">
        <v>8.0</v>
      </c>
      <c r="B1064" s="1">
        <v>3.0</v>
      </c>
      <c r="C1064" s="1">
        <v>32.0</v>
      </c>
      <c r="D1064" s="1" t="s">
        <v>127</v>
      </c>
      <c r="E1064" s="1">
        <v>3998.0</v>
      </c>
    </row>
    <row r="1065">
      <c r="A1065" s="1">
        <v>14.0</v>
      </c>
      <c r="B1065" s="1">
        <v>40.0</v>
      </c>
      <c r="C1065" s="1">
        <v>29.0</v>
      </c>
      <c r="D1065" s="1" t="s">
        <v>270</v>
      </c>
      <c r="E1065" s="1">
        <v>3988.0</v>
      </c>
    </row>
    <row r="1066">
      <c r="A1066" s="1">
        <v>4.0</v>
      </c>
      <c r="B1066" s="1">
        <v>1.0</v>
      </c>
      <c r="C1066" s="1">
        <v>3.0</v>
      </c>
      <c r="D1066" s="1" t="s">
        <v>155</v>
      </c>
      <c r="E1066" s="1">
        <v>3984.0</v>
      </c>
    </row>
    <row r="1067">
      <c r="A1067" s="1">
        <v>32.0</v>
      </c>
      <c r="B1067" s="1">
        <v>2.0</v>
      </c>
      <c r="C1067" s="1">
        <v>11.0</v>
      </c>
      <c r="D1067" s="1" t="s">
        <v>93</v>
      </c>
      <c r="E1067" s="1">
        <v>3968.0</v>
      </c>
    </row>
    <row r="1068">
      <c r="A1068" s="1">
        <v>11.0</v>
      </c>
      <c r="B1068" s="1">
        <v>5.0</v>
      </c>
      <c r="C1068" s="1">
        <v>45.0</v>
      </c>
      <c r="D1068" s="1" t="s">
        <v>171</v>
      </c>
      <c r="E1068" s="1">
        <v>3957.0</v>
      </c>
    </row>
    <row r="1069">
      <c r="A1069" s="1">
        <v>30.0</v>
      </c>
      <c r="B1069" s="1">
        <v>1.0</v>
      </c>
      <c r="C1069" s="1">
        <v>17.0</v>
      </c>
      <c r="D1069" s="1" t="s">
        <v>218</v>
      </c>
      <c r="E1069" s="1">
        <v>3957.0</v>
      </c>
    </row>
    <row r="1070">
      <c r="A1070" s="1">
        <v>34.0</v>
      </c>
      <c r="B1070" s="1">
        <v>1.0</v>
      </c>
      <c r="C1070" s="1">
        <v>27.0</v>
      </c>
      <c r="D1070" s="1" t="s">
        <v>52</v>
      </c>
      <c r="E1070" s="1">
        <v>3910.0</v>
      </c>
    </row>
    <row r="1071">
      <c r="A1071" s="1">
        <v>25.0</v>
      </c>
      <c r="B1071" s="1">
        <v>5.0</v>
      </c>
      <c r="C1071" s="1">
        <v>11.0</v>
      </c>
      <c r="D1071" s="1" t="s">
        <v>365</v>
      </c>
      <c r="E1071" s="1">
        <v>3904.0</v>
      </c>
    </row>
    <row r="1072">
      <c r="A1072" s="1">
        <v>16.0</v>
      </c>
      <c r="B1072" s="1">
        <v>1.0</v>
      </c>
      <c r="C1072" s="1">
        <v>238.0</v>
      </c>
      <c r="D1072" s="1" t="s">
        <v>524</v>
      </c>
      <c r="E1072" s="1">
        <v>3880.0</v>
      </c>
    </row>
    <row r="1073">
      <c r="A1073" s="1">
        <v>10.0</v>
      </c>
      <c r="B1073" s="1">
        <v>1.0</v>
      </c>
      <c r="C1073" s="1">
        <v>52.0</v>
      </c>
      <c r="D1073" s="1" t="s">
        <v>80</v>
      </c>
      <c r="E1073" s="1">
        <v>3856.0</v>
      </c>
    </row>
    <row r="1074">
      <c r="A1074" s="1">
        <v>13.0</v>
      </c>
      <c r="B1074" s="1">
        <v>10.0</v>
      </c>
      <c r="C1074" s="1">
        <v>5.0</v>
      </c>
      <c r="D1074" s="1" t="s">
        <v>277</v>
      </c>
      <c r="E1074" s="1">
        <v>3856.0</v>
      </c>
    </row>
    <row r="1075">
      <c r="A1075" s="1">
        <v>14.0</v>
      </c>
      <c r="B1075" s="1">
        <v>12.0</v>
      </c>
      <c r="C1075" s="1">
        <v>94.0</v>
      </c>
      <c r="D1075" s="1" t="s">
        <v>146</v>
      </c>
      <c r="E1075" s="1">
        <v>3849.0</v>
      </c>
    </row>
    <row r="1076">
      <c r="A1076" s="1">
        <v>8.0</v>
      </c>
      <c r="B1076" s="1">
        <v>5.0</v>
      </c>
      <c r="C1076" s="1">
        <v>25.0</v>
      </c>
      <c r="D1076" s="1" t="s">
        <v>223</v>
      </c>
      <c r="E1076" s="1">
        <v>3847.0</v>
      </c>
    </row>
    <row r="1077">
      <c r="A1077" s="1">
        <v>20.0</v>
      </c>
      <c r="B1077" s="1">
        <v>8.0</v>
      </c>
      <c r="C1077" s="1">
        <v>50.0</v>
      </c>
      <c r="D1077" s="1" t="s">
        <v>208</v>
      </c>
      <c r="E1077" s="1">
        <v>3843.0</v>
      </c>
    </row>
    <row r="1078">
      <c r="A1078" s="1">
        <v>16.0</v>
      </c>
      <c r="B1078" s="1">
        <v>1.0</v>
      </c>
      <c r="C1078" s="1">
        <v>230.0</v>
      </c>
      <c r="D1078" s="1" t="s">
        <v>528</v>
      </c>
      <c r="E1078" s="1">
        <v>3833.0</v>
      </c>
    </row>
    <row r="1079">
      <c r="A1079" s="1">
        <v>5.0</v>
      </c>
      <c r="B1079" s="1">
        <v>12.0</v>
      </c>
      <c r="C1079" s="1">
        <v>15.0</v>
      </c>
      <c r="D1079" s="1" t="s">
        <v>116</v>
      </c>
      <c r="E1079" s="1">
        <v>3820.0</v>
      </c>
    </row>
    <row r="1080">
      <c r="A1080" s="1">
        <v>28.0</v>
      </c>
      <c r="B1080" s="1">
        <v>2.0</v>
      </c>
      <c r="C1080" s="1">
        <v>14.0</v>
      </c>
      <c r="D1080" s="1" t="s">
        <v>141</v>
      </c>
      <c r="E1080" s="1">
        <v>3793.0</v>
      </c>
    </row>
    <row r="1081">
      <c r="A1081" s="1">
        <v>31.0</v>
      </c>
      <c r="B1081" s="1">
        <v>25.0</v>
      </c>
      <c r="C1081" s="1">
        <v>20.0</v>
      </c>
      <c r="D1081" s="1" t="s">
        <v>176</v>
      </c>
      <c r="E1081" s="1">
        <v>3742.0</v>
      </c>
    </row>
    <row r="1082">
      <c r="A1082" s="1">
        <v>17.0</v>
      </c>
      <c r="B1082" s="1">
        <v>13.0</v>
      </c>
      <c r="C1082" s="1">
        <v>13.0</v>
      </c>
      <c r="D1082" s="1" t="s">
        <v>99</v>
      </c>
      <c r="E1082" s="1">
        <v>3717.0</v>
      </c>
    </row>
    <row r="1083">
      <c r="A1083" s="1">
        <v>19.0</v>
      </c>
      <c r="B1083" s="1">
        <v>1.0</v>
      </c>
      <c r="C1083" s="1">
        <v>20.0</v>
      </c>
      <c r="D1083" s="1" t="s">
        <v>176</v>
      </c>
      <c r="E1083" s="1">
        <v>3682.0</v>
      </c>
    </row>
    <row r="1084">
      <c r="A1084" s="1">
        <v>34.0</v>
      </c>
      <c r="B1084" s="1">
        <v>1.0</v>
      </c>
      <c r="C1084" s="1">
        <v>14.0</v>
      </c>
      <c r="D1084" s="1" t="s">
        <v>141</v>
      </c>
      <c r="E1084" s="1">
        <v>3663.0</v>
      </c>
    </row>
    <row r="1085">
      <c r="A1085" s="1">
        <v>8.0</v>
      </c>
      <c r="B1085" s="1">
        <v>8.0</v>
      </c>
      <c r="C1085" s="1">
        <v>40.0</v>
      </c>
      <c r="D1085" s="1" t="s">
        <v>175</v>
      </c>
      <c r="E1085" s="1">
        <v>3600.0</v>
      </c>
    </row>
    <row r="1086">
      <c r="A1086" s="1">
        <v>14.0</v>
      </c>
      <c r="B1086" s="1">
        <v>40.0</v>
      </c>
      <c r="C1086" s="1">
        <v>137.0</v>
      </c>
      <c r="D1086" s="1" t="s">
        <v>533</v>
      </c>
      <c r="E1086" s="1">
        <v>3588.0</v>
      </c>
    </row>
    <row r="1087">
      <c r="A1087" s="1">
        <v>17.0</v>
      </c>
      <c r="B1087" s="1">
        <v>17.0</v>
      </c>
      <c r="C1087" s="1">
        <v>37.0</v>
      </c>
      <c r="D1087" s="1" t="s">
        <v>73</v>
      </c>
      <c r="E1087" s="1">
        <v>3576.0</v>
      </c>
    </row>
    <row r="1088">
      <c r="A1088" s="1">
        <v>27.0</v>
      </c>
      <c r="B1088" s="1">
        <v>7.0</v>
      </c>
      <c r="C1088" s="1">
        <v>16.0</v>
      </c>
      <c r="D1088" s="1" t="s">
        <v>168</v>
      </c>
      <c r="E1088" s="1">
        <v>3567.0</v>
      </c>
    </row>
    <row r="1089">
      <c r="A1089" s="1">
        <v>32.0</v>
      </c>
      <c r="B1089" s="1">
        <v>38.0</v>
      </c>
      <c r="C1089" s="1">
        <v>47.0</v>
      </c>
      <c r="D1089" s="1" t="s">
        <v>61</v>
      </c>
      <c r="E1089" s="1">
        <v>3554.0</v>
      </c>
    </row>
    <row r="1090">
      <c r="A1090" s="1">
        <v>21.0</v>
      </c>
      <c r="B1090" s="1">
        <v>2.0</v>
      </c>
      <c r="C1090" s="1">
        <v>40.0</v>
      </c>
      <c r="D1090" s="1" t="s">
        <v>175</v>
      </c>
      <c r="E1090" s="1">
        <v>3522.0</v>
      </c>
    </row>
    <row r="1091">
      <c r="A1091" s="1">
        <v>32.0</v>
      </c>
      <c r="B1091" s="1">
        <v>2.0</v>
      </c>
      <c r="C1091" s="1">
        <v>15.0</v>
      </c>
      <c r="D1091" s="1" t="s">
        <v>116</v>
      </c>
      <c r="E1091" s="1">
        <v>3506.0</v>
      </c>
    </row>
    <row r="1092">
      <c r="A1092" s="1">
        <v>27.0</v>
      </c>
      <c r="B1092" s="1">
        <v>70.0</v>
      </c>
      <c r="C1092" s="1">
        <v>27.0</v>
      </c>
      <c r="D1092" s="1" t="s">
        <v>52</v>
      </c>
      <c r="E1092" s="1">
        <v>3482.0</v>
      </c>
    </row>
    <row r="1093">
      <c r="A1093" s="1">
        <v>17.0</v>
      </c>
      <c r="B1093" s="1">
        <v>3.0</v>
      </c>
      <c r="C1093" s="1">
        <v>3.0</v>
      </c>
      <c r="D1093" s="1" t="s">
        <v>155</v>
      </c>
      <c r="E1093" s="1">
        <v>3477.0</v>
      </c>
    </row>
    <row r="1094">
      <c r="A1094" s="1">
        <v>29.0</v>
      </c>
      <c r="B1094" s="1">
        <v>1.0</v>
      </c>
      <c r="C1094" s="1">
        <v>70.0</v>
      </c>
      <c r="D1094" s="1" t="s">
        <v>183</v>
      </c>
      <c r="E1094" s="1">
        <v>3450.0</v>
      </c>
    </row>
    <row r="1095">
      <c r="A1095" s="1">
        <v>27.0</v>
      </c>
      <c r="B1095" s="1">
        <v>70.0</v>
      </c>
      <c r="C1095" s="1">
        <v>30.0</v>
      </c>
      <c r="D1095" s="1" t="s">
        <v>181</v>
      </c>
      <c r="E1095" s="1">
        <v>3449.0</v>
      </c>
    </row>
    <row r="1096">
      <c r="A1096" s="1">
        <v>14.0</v>
      </c>
      <c r="B1096" s="1">
        <v>22.0</v>
      </c>
      <c r="C1096" s="1">
        <v>13.0</v>
      </c>
      <c r="D1096" s="1" t="s">
        <v>538</v>
      </c>
      <c r="E1096" s="1">
        <v>3438.0</v>
      </c>
    </row>
    <row r="1097">
      <c r="A1097" s="1">
        <v>29.0</v>
      </c>
      <c r="B1097" s="1">
        <v>4.0</v>
      </c>
      <c r="C1097" s="1">
        <v>20.0</v>
      </c>
      <c r="D1097" s="1" t="s">
        <v>176</v>
      </c>
      <c r="E1097" s="1">
        <v>3434.0</v>
      </c>
    </row>
    <row r="1098">
      <c r="A1098" s="1">
        <v>27.0</v>
      </c>
      <c r="B1098" s="1">
        <v>1.0</v>
      </c>
      <c r="C1098" s="1">
        <v>25.0</v>
      </c>
      <c r="D1098" s="1" t="s">
        <v>223</v>
      </c>
      <c r="E1098" s="1">
        <v>3418.0</v>
      </c>
    </row>
    <row r="1099">
      <c r="A1099" s="1">
        <v>14.0</v>
      </c>
      <c r="B1099" s="1">
        <v>40.0</v>
      </c>
      <c r="C1099" s="1">
        <v>38.0</v>
      </c>
      <c r="D1099" s="1" t="s">
        <v>204</v>
      </c>
      <c r="E1099" s="1">
        <v>3397.0</v>
      </c>
    </row>
    <row r="1100">
      <c r="A1100" s="1">
        <v>29.0</v>
      </c>
      <c r="B1100" s="1">
        <v>10.0</v>
      </c>
      <c r="C1100" s="1">
        <v>8.0</v>
      </c>
      <c r="D1100" s="1" t="s">
        <v>189</v>
      </c>
      <c r="E1100" s="1">
        <v>3396.0</v>
      </c>
    </row>
    <row r="1101">
      <c r="A1101" s="1">
        <v>31.0</v>
      </c>
      <c r="B1101" s="1">
        <v>7.0</v>
      </c>
      <c r="C1101" s="1">
        <v>60.0</v>
      </c>
      <c r="D1101" s="1" t="s">
        <v>539</v>
      </c>
      <c r="E1101" s="1">
        <v>3366.0</v>
      </c>
    </row>
    <row r="1102">
      <c r="A1102" s="1">
        <v>22.0</v>
      </c>
      <c r="B1102" s="1">
        <v>8.0</v>
      </c>
      <c r="C1102" s="1">
        <v>32.0</v>
      </c>
      <c r="D1102" s="1" t="s">
        <v>127</v>
      </c>
      <c r="E1102" s="1">
        <v>3365.0</v>
      </c>
    </row>
    <row r="1103">
      <c r="A1103" s="1">
        <v>8.0</v>
      </c>
      <c r="B1103" s="1">
        <v>22.0</v>
      </c>
      <c r="C1103" s="1">
        <v>9.0</v>
      </c>
      <c r="D1103" s="1" t="s">
        <v>124</v>
      </c>
      <c r="E1103" s="1">
        <v>3355.0</v>
      </c>
    </row>
    <row r="1104">
      <c r="A1104" s="1">
        <v>18.0</v>
      </c>
      <c r="B1104" s="1">
        <v>11.0</v>
      </c>
      <c r="C1104" s="1">
        <v>14.0</v>
      </c>
      <c r="D1104" s="1" t="s">
        <v>141</v>
      </c>
      <c r="E1104" s="1">
        <v>3340.0</v>
      </c>
    </row>
    <row r="1105">
      <c r="A1105" s="1">
        <v>27.0</v>
      </c>
      <c r="B1105" s="1">
        <v>57.0</v>
      </c>
      <c r="C1105" s="1">
        <v>49.0</v>
      </c>
      <c r="D1105" s="1" t="s">
        <v>134</v>
      </c>
      <c r="E1105" s="1">
        <v>3340.0</v>
      </c>
    </row>
    <row r="1106">
      <c r="A1106" s="1">
        <v>27.0</v>
      </c>
      <c r="B1106" s="1">
        <v>57.0</v>
      </c>
      <c r="C1106" s="1">
        <v>48.0</v>
      </c>
      <c r="D1106" s="1" t="s">
        <v>78</v>
      </c>
      <c r="E1106" s="1">
        <v>3332.0</v>
      </c>
    </row>
    <row r="1107">
      <c r="A1107" s="1">
        <v>14.0</v>
      </c>
      <c r="B1107" s="1">
        <v>40.0</v>
      </c>
      <c r="C1107" s="1">
        <v>96.0</v>
      </c>
      <c r="D1107" s="1" t="s">
        <v>279</v>
      </c>
      <c r="E1107" s="1">
        <v>3325.0</v>
      </c>
    </row>
    <row r="1108">
      <c r="A1108" s="1">
        <v>21.0</v>
      </c>
      <c r="B1108" s="1">
        <v>53.0</v>
      </c>
      <c r="C1108" s="1">
        <v>35.0</v>
      </c>
      <c r="D1108" s="1" t="s">
        <v>542</v>
      </c>
      <c r="E1108" s="1">
        <v>3254.0</v>
      </c>
    </row>
    <row r="1109">
      <c r="A1109" s="1">
        <v>27.0</v>
      </c>
      <c r="B1109" s="1">
        <v>10.0</v>
      </c>
      <c r="C1109" s="1">
        <v>10.0</v>
      </c>
      <c r="D1109" s="1" t="s">
        <v>140</v>
      </c>
      <c r="E1109" s="1">
        <v>3240.0</v>
      </c>
    </row>
    <row r="1110">
      <c r="A1110" s="1">
        <v>28.0</v>
      </c>
      <c r="B1110" s="1">
        <v>2.0</v>
      </c>
      <c r="C1110" s="1">
        <v>25.0</v>
      </c>
      <c r="D1110" s="1" t="s">
        <v>223</v>
      </c>
      <c r="E1110" s="1">
        <v>3212.0</v>
      </c>
    </row>
    <row r="1111">
      <c r="A1111" s="1">
        <v>28.0</v>
      </c>
      <c r="B1111" s="1">
        <v>2.0</v>
      </c>
      <c r="C1111" s="1">
        <v>41.0</v>
      </c>
      <c r="D1111" s="1" t="s">
        <v>82</v>
      </c>
      <c r="E1111" s="1">
        <v>3207.0</v>
      </c>
    </row>
    <row r="1112">
      <c r="A1112" s="1">
        <v>17.0</v>
      </c>
      <c r="B1112" s="1">
        <v>9.0</v>
      </c>
      <c r="C1112" s="1">
        <v>58.0</v>
      </c>
      <c r="D1112" s="1" t="s">
        <v>154</v>
      </c>
      <c r="E1112" s="1">
        <v>3152.0</v>
      </c>
    </row>
    <row r="1113">
      <c r="A1113" s="1">
        <v>12.0</v>
      </c>
      <c r="B1113" s="1">
        <v>1.0</v>
      </c>
      <c r="C1113" s="1">
        <v>31.0</v>
      </c>
      <c r="D1113" s="1" t="s">
        <v>68</v>
      </c>
      <c r="E1113" s="1">
        <v>3146.0</v>
      </c>
    </row>
    <row r="1114">
      <c r="A1114" s="1">
        <v>34.0</v>
      </c>
      <c r="B1114" s="1">
        <v>9.0</v>
      </c>
      <c r="C1114" s="1">
        <v>49.0</v>
      </c>
      <c r="D1114" s="1" t="s">
        <v>134</v>
      </c>
      <c r="E1114" s="1">
        <v>3120.0</v>
      </c>
    </row>
    <row r="1115">
      <c r="A1115" s="1">
        <v>14.0</v>
      </c>
      <c r="B1115" s="1">
        <v>22.0</v>
      </c>
      <c r="C1115" s="1">
        <v>83.0</v>
      </c>
      <c r="D1115" s="1" t="s">
        <v>203</v>
      </c>
      <c r="E1115" s="1">
        <v>3104.0</v>
      </c>
    </row>
    <row r="1116">
      <c r="A1116" s="1">
        <v>31.0</v>
      </c>
      <c r="B1116" s="1">
        <v>25.0</v>
      </c>
      <c r="C1116" s="1">
        <v>70.0</v>
      </c>
      <c r="D1116" s="1" t="s">
        <v>183</v>
      </c>
      <c r="E1116" s="1">
        <v>3097.0</v>
      </c>
    </row>
    <row r="1117">
      <c r="A1117" s="1">
        <v>14.0</v>
      </c>
      <c r="B1117" s="1">
        <v>40.0</v>
      </c>
      <c r="C1117" s="1">
        <v>74.0</v>
      </c>
      <c r="D1117" s="1" t="s">
        <v>334</v>
      </c>
      <c r="E1117" s="1">
        <v>3086.0</v>
      </c>
    </row>
    <row r="1118">
      <c r="A1118" s="1">
        <v>27.0</v>
      </c>
      <c r="B1118" s="1">
        <v>70.0</v>
      </c>
      <c r="C1118" s="1">
        <v>36.0</v>
      </c>
      <c r="D1118" s="1" t="s">
        <v>95</v>
      </c>
      <c r="E1118" s="1">
        <v>3080.0</v>
      </c>
    </row>
    <row r="1119">
      <c r="A1119" s="1">
        <v>25.0</v>
      </c>
      <c r="B1119" s="1">
        <v>60.0</v>
      </c>
      <c r="C1119" s="1">
        <v>42.0</v>
      </c>
      <c r="D1119" s="1" t="s">
        <v>186</v>
      </c>
      <c r="E1119" s="1">
        <v>3079.0</v>
      </c>
    </row>
    <row r="1120">
      <c r="A1120" s="1">
        <v>10.0</v>
      </c>
      <c r="B1120" s="1">
        <v>1.0</v>
      </c>
      <c r="C1120" s="1">
        <v>4.0</v>
      </c>
      <c r="D1120" s="1" t="s">
        <v>209</v>
      </c>
      <c r="E1120" s="1">
        <v>3078.0</v>
      </c>
    </row>
    <row r="1121">
      <c r="A1121" s="1">
        <v>31.0</v>
      </c>
      <c r="B1121" s="1">
        <v>2.0</v>
      </c>
      <c r="C1121" s="1">
        <v>54.0</v>
      </c>
      <c r="D1121" s="1" t="s">
        <v>241</v>
      </c>
      <c r="E1121" s="1">
        <v>3058.0</v>
      </c>
    </row>
    <row r="1122">
      <c r="A1122" s="1">
        <v>14.0</v>
      </c>
      <c r="B1122" s="1">
        <v>38.0</v>
      </c>
      <c r="C1122" s="1">
        <v>68.0</v>
      </c>
      <c r="D1122" s="1" t="s">
        <v>74</v>
      </c>
      <c r="E1122" s="1">
        <v>3044.0</v>
      </c>
    </row>
    <row r="1123">
      <c r="A1123" s="1">
        <v>19.0</v>
      </c>
      <c r="B1123" s="1">
        <v>1.0</v>
      </c>
      <c r="C1123" s="1">
        <v>3.0</v>
      </c>
      <c r="D1123" s="1" t="s">
        <v>155</v>
      </c>
      <c r="E1123" s="1">
        <v>3038.0</v>
      </c>
    </row>
    <row r="1124">
      <c r="A1124" s="1">
        <v>20.0</v>
      </c>
      <c r="B1124" s="1">
        <v>6.0</v>
      </c>
      <c r="C1124" s="1">
        <v>18.0</v>
      </c>
      <c r="D1124" s="1" t="s">
        <v>76</v>
      </c>
      <c r="E1124" s="1">
        <v>3020.0</v>
      </c>
    </row>
    <row r="1125">
      <c r="A1125" s="1">
        <v>27.0</v>
      </c>
      <c r="B1125" s="1">
        <v>70.0</v>
      </c>
      <c r="C1125" s="1">
        <v>43.0</v>
      </c>
      <c r="D1125" s="1" t="s">
        <v>164</v>
      </c>
      <c r="E1125" s="1">
        <v>2981.0</v>
      </c>
    </row>
    <row r="1126">
      <c r="A1126" s="1">
        <v>27.0</v>
      </c>
      <c r="B1126" s="1">
        <v>7.0</v>
      </c>
      <c r="C1126" s="1">
        <v>20.0</v>
      </c>
      <c r="D1126" s="1" t="s">
        <v>176</v>
      </c>
      <c r="E1126" s="1">
        <v>2970.0</v>
      </c>
    </row>
    <row r="1127">
      <c r="A1127" s="1">
        <v>14.0</v>
      </c>
      <c r="B1127" s="1">
        <v>50.0</v>
      </c>
      <c r="C1127" s="1">
        <v>70.0</v>
      </c>
      <c r="D1127" s="1" t="s">
        <v>183</v>
      </c>
      <c r="E1127" s="1">
        <v>2940.0</v>
      </c>
    </row>
    <row r="1128">
      <c r="A1128" s="1">
        <v>17.0</v>
      </c>
      <c r="B1128" s="1">
        <v>17.0</v>
      </c>
      <c r="C1128" s="1">
        <v>10.0</v>
      </c>
      <c r="D1128" s="1" t="s">
        <v>140</v>
      </c>
      <c r="E1128" s="1">
        <v>2899.0</v>
      </c>
    </row>
    <row r="1129">
      <c r="A1129" s="1">
        <v>27.0</v>
      </c>
      <c r="B1129" s="1">
        <v>13.0</v>
      </c>
      <c r="C1129" s="1">
        <v>52.0</v>
      </c>
      <c r="D1129" s="1" t="s">
        <v>80</v>
      </c>
      <c r="E1129" s="1">
        <v>2887.0</v>
      </c>
    </row>
    <row r="1130">
      <c r="A1130" s="1">
        <v>25.0</v>
      </c>
      <c r="B1130" s="1">
        <v>5.0</v>
      </c>
      <c r="C1130" s="1">
        <v>48.0</v>
      </c>
      <c r="D1130" s="1" t="s">
        <v>78</v>
      </c>
      <c r="E1130" s="1">
        <v>2881.0</v>
      </c>
    </row>
    <row r="1131">
      <c r="A1131" s="1">
        <v>7.0</v>
      </c>
      <c r="B1131" s="1">
        <v>1.0</v>
      </c>
      <c r="C1131" s="1">
        <v>42.0</v>
      </c>
      <c r="D1131" s="1" t="s">
        <v>186</v>
      </c>
      <c r="E1131" s="1">
        <v>2876.0</v>
      </c>
    </row>
    <row r="1132">
      <c r="A1132" s="1">
        <v>29.0</v>
      </c>
      <c r="B1132" s="1">
        <v>19.0</v>
      </c>
      <c r="C1132" s="1">
        <v>12.0</v>
      </c>
      <c r="D1132" s="1" t="s">
        <v>177</v>
      </c>
      <c r="E1132" s="1">
        <v>2875.0</v>
      </c>
    </row>
    <row r="1133">
      <c r="A1133" s="1">
        <v>32.0</v>
      </c>
      <c r="B1133" s="1">
        <v>2.0</v>
      </c>
      <c r="C1133" s="1">
        <v>23.0</v>
      </c>
      <c r="D1133" s="1" t="s">
        <v>104</v>
      </c>
      <c r="E1133" s="1">
        <v>2842.0</v>
      </c>
    </row>
    <row r="1134">
      <c r="A1134" s="1">
        <v>32.0</v>
      </c>
      <c r="B1134" s="1">
        <v>2.0</v>
      </c>
      <c r="C1134" s="1">
        <v>30.0</v>
      </c>
      <c r="D1134" s="1" t="s">
        <v>181</v>
      </c>
      <c r="E1134" s="1">
        <v>2832.0</v>
      </c>
    </row>
    <row r="1135">
      <c r="A1135" s="1">
        <v>29.0</v>
      </c>
      <c r="B1135" s="1">
        <v>1.0</v>
      </c>
      <c r="C1135" s="1">
        <v>28.0</v>
      </c>
      <c r="D1135" s="1" t="s">
        <v>75</v>
      </c>
      <c r="E1135" s="1">
        <v>2831.0</v>
      </c>
    </row>
    <row r="1136">
      <c r="A1136" s="1">
        <v>7.0</v>
      </c>
      <c r="B1136" s="1">
        <v>2.0</v>
      </c>
      <c r="C1136" s="1">
        <v>4.0</v>
      </c>
      <c r="D1136" s="1" t="s">
        <v>209</v>
      </c>
      <c r="E1136" s="1">
        <v>2826.0</v>
      </c>
    </row>
    <row r="1137">
      <c r="A1137" s="1">
        <v>10.0</v>
      </c>
      <c r="B1137" s="1">
        <v>1.0</v>
      </c>
      <c r="C1137" s="1">
        <v>5.0</v>
      </c>
      <c r="D1137" s="1" t="s">
        <v>160</v>
      </c>
      <c r="E1137" s="1">
        <v>2815.0</v>
      </c>
    </row>
    <row r="1138">
      <c r="A1138" s="1">
        <v>10.0</v>
      </c>
      <c r="B1138" s="1">
        <v>1.0</v>
      </c>
      <c r="C1138" s="1">
        <v>39.0</v>
      </c>
      <c r="D1138" s="1" t="s">
        <v>547</v>
      </c>
      <c r="E1138" s="1">
        <v>2799.0</v>
      </c>
    </row>
    <row r="1139">
      <c r="A1139" s="1">
        <v>3.0</v>
      </c>
      <c r="B1139" s="1">
        <v>1.0</v>
      </c>
      <c r="C1139" s="1">
        <v>4.0</v>
      </c>
      <c r="D1139" s="1" t="s">
        <v>209</v>
      </c>
      <c r="E1139" s="1">
        <v>2787.0</v>
      </c>
    </row>
    <row r="1140">
      <c r="A1140" s="1">
        <v>27.0</v>
      </c>
      <c r="B1140" s="1">
        <v>13.0</v>
      </c>
      <c r="C1140" s="1">
        <v>22.0</v>
      </c>
      <c r="D1140" s="1" t="s">
        <v>201</v>
      </c>
      <c r="E1140" s="1">
        <v>2769.0</v>
      </c>
    </row>
    <row r="1141">
      <c r="A1141" s="1">
        <v>29.0</v>
      </c>
      <c r="B1141" s="1">
        <v>10.0</v>
      </c>
      <c r="C1141" s="1">
        <v>74.0</v>
      </c>
      <c r="D1141" s="1" t="s">
        <v>334</v>
      </c>
      <c r="E1141" s="1">
        <v>2769.0</v>
      </c>
    </row>
    <row r="1142">
      <c r="A1142" s="1">
        <v>20.0</v>
      </c>
      <c r="B1142" s="1">
        <v>31.0</v>
      </c>
      <c r="C1142" s="1">
        <v>46.0</v>
      </c>
      <c r="D1142" s="1" t="s">
        <v>190</v>
      </c>
      <c r="E1142" s="1">
        <v>2731.0</v>
      </c>
    </row>
    <row r="1143">
      <c r="A1143" s="1">
        <v>11.0</v>
      </c>
      <c r="B1143" s="1">
        <v>17.0</v>
      </c>
      <c r="C1143" s="1">
        <v>26.0</v>
      </c>
      <c r="D1143" s="1" t="s">
        <v>150</v>
      </c>
      <c r="E1143" s="1">
        <v>2729.0</v>
      </c>
    </row>
    <row r="1144">
      <c r="A1144" s="1">
        <v>32.0</v>
      </c>
      <c r="B1144" s="1">
        <v>38.0</v>
      </c>
      <c r="C1144" s="1">
        <v>39.0</v>
      </c>
      <c r="D1144" s="1" t="s">
        <v>548</v>
      </c>
      <c r="E1144" s="1">
        <v>2729.0</v>
      </c>
    </row>
    <row r="1145">
      <c r="A1145" s="1">
        <v>17.0</v>
      </c>
      <c r="B1145" s="1">
        <v>9.0</v>
      </c>
      <c r="C1145" s="1">
        <v>73.0</v>
      </c>
      <c r="D1145" s="1" t="s">
        <v>137</v>
      </c>
      <c r="E1145" s="1">
        <v>2722.0</v>
      </c>
    </row>
    <row r="1146">
      <c r="A1146" s="1">
        <v>14.0</v>
      </c>
      <c r="B1146" s="1">
        <v>22.0</v>
      </c>
      <c r="C1146" s="1">
        <v>76.0</v>
      </c>
      <c r="D1146" s="1" t="s">
        <v>243</v>
      </c>
      <c r="E1146" s="1">
        <v>2721.0</v>
      </c>
    </row>
    <row r="1147">
      <c r="A1147" s="1">
        <v>25.0</v>
      </c>
      <c r="B1147" s="1">
        <v>5.0</v>
      </c>
      <c r="C1147" s="1">
        <v>30.0</v>
      </c>
      <c r="D1147" s="1" t="s">
        <v>181</v>
      </c>
      <c r="E1147" s="1">
        <v>2716.0</v>
      </c>
    </row>
    <row r="1148">
      <c r="A1148" s="1">
        <v>21.0</v>
      </c>
      <c r="B1148" s="1">
        <v>2.0</v>
      </c>
      <c r="C1148" s="1">
        <v>66.0</v>
      </c>
      <c r="D1148" s="1" t="s">
        <v>550</v>
      </c>
      <c r="E1148" s="1">
        <v>2707.0</v>
      </c>
    </row>
    <row r="1149">
      <c r="A1149" s="1">
        <v>14.0</v>
      </c>
      <c r="B1149" s="1">
        <v>22.0</v>
      </c>
      <c r="C1149" s="1">
        <v>65.0</v>
      </c>
      <c r="D1149" s="1" t="s">
        <v>182</v>
      </c>
      <c r="E1149" s="1">
        <v>2702.0</v>
      </c>
    </row>
    <row r="1150">
      <c r="A1150" s="1">
        <v>32.0</v>
      </c>
      <c r="B1150" s="1">
        <v>2.0</v>
      </c>
      <c r="C1150" s="1">
        <v>18.0</v>
      </c>
      <c r="D1150" s="1" t="s">
        <v>76</v>
      </c>
      <c r="E1150" s="1">
        <v>2697.0</v>
      </c>
    </row>
    <row r="1151">
      <c r="A1151" s="1">
        <v>14.0</v>
      </c>
      <c r="B1151" s="1">
        <v>22.0</v>
      </c>
      <c r="C1151" s="1">
        <v>35.0</v>
      </c>
      <c r="D1151" s="1" t="s">
        <v>136</v>
      </c>
      <c r="E1151" s="1">
        <v>2693.0</v>
      </c>
    </row>
    <row r="1152">
      <c r="A1152" s="1">
        <v>14.0</v>
      </c>
      <c r="B1152" s="1">
        <v>15.0</v>
      </c>
      <c r="C1152" s="1">
        <v>165.0</v>
      </c>
      <c r="D1152" s="1" t="s">
        <v>551</v>
      </c>
      <c r="E1152" s="1">
        <v>2679.0</v>
      </c>
    </row>
    <row r="1153">
      <c r="A1153" s="1">
        <v>19.0</v>
      </c>
      <c r="B1153" s="1">
        <v>1.0</v>
      </c>
      <c r="C1153" s="1">
        <v>12.0</v>
      </c>
      <c r="D1153" s="1" t="s">
        <v>177</v>
      </c>
      <c r="E1153" s="1">
        <v>2665.0</v>
      </c>
    </row>
    <row r="1154">
      <c r="A1154" s="1">
        <v>25.0</v>
      </c>
      <c r="B1154" s="1">
        <v>5.0</v>
      </c>
      <c r="C1154" s="1">
        <v>34.0</v>
      </c>
      <c r="D1154" s="1" t="s">
        <v>55</v>
      </c>
      <c r="E1154" s="1">
        <v>2642.0</v>
      </c>
    </row>
    <row r="1155">
      <c r="A1155" s="1">
        <v>10.0</v>
      </c>
      <c r="B1155" s="1">
        <v>13.0</v>
      </c>
      <c r="C1155" s="1">
        <v>48.0</v>
      </c>
      <c r="D1155" s="1" t="s">
        <v>78</v>
      </c>
      <c r="E1155" s="1">
        <v>2635.0</v>
      </c>
    </row>
    <row r="1156">
      <c r="A1156" s="1">
        <v>11.0</v>
      </c>
      <c r="B1156" s="1">
        <v>5.0</v>
      </c>
      <c r="C1156" s="1">
        <v>35.0</v>
      </c>
      <c r="D1156" s="1" t="s">
        <v>136</v>
      </c>
      <c r="E1156" s="1">
        <v>2624.0</v>
      </c>
    </row>
    <row r="1157">
      <c r="A1157" s="1">
        <v>31.0</v>
      </c>
      <c r="B1157" s="1">
        <v>7.0</v>
      </c>
      <c r="C1157" s="1">
        <v>48.0</v>
      </c>
      <c r="D1157" s="1" t="s">
        <v>78</v>
      </c>
      <c r="E1157" s="1">
        <v>2607.0</v>
      </c>
    </row>
    <row r="1158">
      <c r="A1158" s="1">
        <v>26.0</v>
      </c>
      <c r="B1158" s="1">
        <v>5.0</v>
      </c>
      <c r="C1158" s="1">
        <v>27.0</v>
      </c>
      <c r="D1158" s="1" t="s">
        <v>52</v>
      </c>
      <c r="E1158" s="1">
        <v>2573.0</v>
      </c>
    </row>
    <row r="1159">
      <c r="A1159" s="1">
        <v>25.0</v>
      </c>
      <c r="B1159" s="1">
        <v>1.0</v>
      </c>
      <c r="C1159" s="1">
        <v>22.0</v>
      </c>
      <c r="D1159" s="1" t="s">
        <v>201</v>
      </c>
      <c r="E1159" s="1">
        <v>2557.0</v>
      </c>
    </row>
    <row r="1160">
      <c r="A1160" s="1">
        <v>29.0</v>
      </c>
      <c r="B1160" s="1">
        <v>13.0</v>
      </c>
      <c r="C1160" s="1">
        <v>27.0</v>
      </c>
      <c r="D1160" s="1" t="s">
        <v>52</v>
      </c>
      <c r="E1160" s="1">
        <v>2554.0</v>
      </c>
    </row>
    <row r="1161">
      <c r="A1161" s="1">
        <v>26.0</v>
      </c>
      <c r="B1161" s="1">
        <v>5.0</v>
      </c>
      <c r="C1161" s="1">
        <v>50.0</v>
      </c>
      <c r="D1161" s="1" t="s">
        <v>208</v>
      </c>
      <c r="E1161" s="1">
        <v>2546.0</v>
      </c>
    </row>
    <row r="1162">
      <c r="A1162" s="1">
        <v>5.0</v>
      </c>
      <c r="B1162" s="1">
        <v>23.0</v>
      </c>
      <c r="C1162" s="1">
        <v>29.0</v>
      </c>
      <c r="D1162" s="1" t="s">
        <v>270</v>
      </c>
      <c r="E1162" s="1">
        <v>2516.0</v>
      </c>
    </row>
    <row r="1163">
      <c r="A1163" s="1">
        <v>7.0</v>
      </c>
      <c r="B1163" s="1">
        <v>1.0</v>
      </c>
      <c r="C1163" s="1">
        <v>44.0</v>
      </c>
      <c r="D1163" s="1" t="s">
        <v>173</v>
      </c>
      <c r="E1163" s="1">
        <v>2503.0</v>
      </c>
    </row>
    <row r="1164">
      <c r="A1164" s="1">
        <v>32.0</v>
      </c>
      <c r="B1164" s="1">
        <v>2.0</v>
      </c>
      <c r="C1164" s="1">
        <v>20.0</v>
      </c>
      <c r="D1164" s="1" t="s">
        <v>176</v>
      </c>
      <c r="E1164" s="1">
        <v>2472.0</v>
      </c>
    </row>
    <row r="1165">
      <c r="A1165" s="1">
        <v>25.0</v>
      </c>
      <c r="B1165" s="1">
        <v>5.0</v>
      </c>
      <c r="C1165" s="1">
        <v>31.0</v>
      </c>
      <c r="D1165" s="1" t="s">
        <v>68</v>
      </c>
      <c r="E1165" s="1">
        <v>2460.0</v>
      </c>
    </row>
    <row r="1166">
      <c r="A1166" s="1">
        <v>27.0</v>
      </c>
      <c r="B1166" s="1">
        <v>1.0</v>
      </c>
      <c r="C1166" s="1">
        <v>51.0</v>
      </c>
      <c r="D1166" s="1" t="s">
        <v>152</v>
      </c>
      <c r="E1166" s="1">
        <v>2452.0</v>
      </c>
    </row>
    <row r="1167">
      <c r="A1167" s="1">
        <v>34.0</v>
      </c>
      <c r="B1167" s="1">
        <v>9.0</v>
      </c>
      <c r="C1167" s="1">
        <v>23.0</v>
      </c>
      <c r="D1167" s="1" t="s">
        <v>104</v>
      </c>
      <c r="E1167" s="1">
        <v>2443.0</v>
      </c>
    </row>
    <row r="1168">
      <c r="A1168" s="1">
        <v>31.0</v>
      </c>
      <c r="B1168" s="1">
        <v>2.0</v>
      </c>
      <c r="C1168" s="1">
        <v>63.0</v>
      </c>
      <c r="D1168" s="1" t="s">
        <v>144</v>
      </c>
      <c r="E1168" s="1">
        <v>2435.0</v>
      </c>
    </row>
    <row r="1169">
      <c r="A1169" s="1">
        <v>27.0</v>
      </c>
      <c r="B1169" s="1">
        <v>70.0</v>
      </c>
      <c r="C1169" s="1">
        <v>34.0</v>
      </c>
      <c r="D1169" s="1" t="s">
        <v>55</v>
      </c>
      <c r="E1169" s="1">
        <v>2423.0</v>
      </c>
    </row>
    <row r="1170">
      <c r="A1170" s="1">
        <v>21.0</v>
      </c>
      <c r="B1170" s="1">
        <v>2.0</v>
      </c>
      <c r="C1170" s="1">
        <v>13.0</v>
      </c>
      <c r="D1170" s="1" t="s">
        <v>99</v>
      </c>
      <c r="E1170" s="1">
        <v>2413.0</v>
      </c>
    </row>
    <row r="1171">
      <c r="A1171" s="1">
        <v>32.0</v>
      </c>
      <c r="B1171" s="1">
        <v>38.0</v>
      </c>
      <c r="C1171" s="1">
        <v>29.0</v>
      </c>
      <c r="D1171" s="1" t="s">
        <v>270</v>
      </c>
      <c r="E1171" s="1">
        <v>2405.0</v>
      </c>
    </row>
    <row r="1172">
      <c r="A1172" s="1">
        <v>34.0</v>
      </c>
      <c r="B1172" s="1">
        <v>9.0</v>
      </c>
      <c r="C1172" s="1">
        <v>16.0</v>
      </c>
      <c r="D1172" s="1" t="s">
        <v>168</v>
      </c>
      <c r="E1172" s="1">
        <v>2390.0</v>
      </c>
    </row>
    <row r="1173">
      <c r="A1173" s="1">
        <v>3.0</v>
      </c>
      <c r="B1173" s="1">
        <v>1.0</v>
      </c>
      <c r="C1173" s="1">
        <v>14.0</v>
      </c>
      <c r="D1173" s="1" t="s">
        <v>141</v>
      </c>
      <c r="E1173" s="1">
        <v>2366.0</v>
      </c>
    </row>
    <row r="1174">
      <c r="A1174" s="1">
        <v>26.0</v>
      </c>
      <c r="B1174" s="1">
        <v>3.0</v>
      </c>
      <c r="C1174" s="1">
        <v>40.0</v>
      </c>
      <c r="D1174" s="1" t="s">
        <v>175</v>
      </c>
      <c r="E1174" s="1">
        <v>2324.0</v>
      </c>
    </row>
    <row r="1175">
      <c r="A1175" s="1">
        <v>8.0</v>
      </c>
      <c r="B1175" s="1">
        <v>3.0</v>
      </c>
      <c r="C1175" s="1">
        <v>7.0</v>
      </c>
      <c r="D1175" s="1" t="s">
        <v>416</v>
      </c>
      <c r="E1175" s="1">
        <v>2285.0</v>
      </c>
    </row>
    <row r="1176">
      <c r="A1176" s="1">
        <v>32.0</v>
      </c>
      <c r="B1176" s="1">
        <v>38.0</v>
      </c>
      <c r="C1176" s="1">
        <v>40.0</v>
      </c>
      <c r="D1176" s="1" t="s">
        <v>374</v>
      </c>
      <c r="E1176" s="1">
        <v>2278.0</v>
      </c>
    </row>
    <row r="1177">
      <c r="A1177" s="1">
        <v>27.0</v>
      </c>
      <c r="B1177" s="1">
        <v>7.0</v>
      </c>
      <c r="C1177" s="1">
        <v>40.0</v>
      </c>
      <c r="D1177" s="1" t="s">
        <v>175</v>
      </c>
      <c r="E1177" s="1">
        <v>2269.0</v>
      </c>
    </row>
    <row r="1178">
      <c r="A1178" s="1">
        <v>28.0</v>
      </c>
      <c r="B1178" s="1">
        <v>1.0</v>
      </c>
      <c r="C1178" s="1">
        <v>30.0</v>
      </c>
      <c r="D1178" s="1" t="s">
        <v>181</v>
      </c>
      <c r="E1178" s="1">
        <v>2256.0</v>
      </c>
    </row>
    <row r="1179">
      <c r="A1179" s="1">
        <v>22.0</v>
      </c>
      <c r="B1179" s="1">
        <v>1.0</v>
      </c>
      <c r="C1179" s="1">
        <v>49.0</v>
      </c>
      <c r="D1179" s="1" t="s">
        <v>134</v>
      </c>
      <c r="E1179" s="1">
        <v>2254.0</v>
      </c>
    </row>
    <row r="1180">
      <c r="A1180" s="1">
        <v>17.0</v>
      </c>
      <c r="B1180" s="1">
        <v>9.0</v>
      </c>
      <c r="C1180" s="1">
        <v>40.0</v>
      </c>
      <c r="D1180" s="1" t="s">
        <v>175</v>
      </c>
      <c r="E1180" s="1">
        <v>2240.0</v>
      </c>
    </row>
    <row r="1181">
      <c r="A1181" s="1">
        <v>20.0</v>
      </c>
      <c r="B1181" s="1">
        <v>31.0</v>
      </c>
      <c r="C1181" s="1">
        <v>47.0</v>
      </c>
      <c r="D1181" s="1" t="s">
        <v>61</v>
      </c>
      <c r="E1181" s="1">
        <v>2216.0</v>
      </c>
    </row>
    <row r="1182">
      <c r="A1182" s="1">
        <v>27.0</v>
      </c>
      <c r="B1182" s="1">
        <v>51.0</v>
      </c>
      <c r="C1182" s="1">
        <v>44.0</v>
      </c>
      <c r="D1182" s="1" t="s">
        <v>173</v>
      </c>
      <c r="E1182" s="1">
        <v>2170.0</v>
      </c>
    </row>
    <row r="1183">
      <c r="A1183" s="1">
        <v>32.0</v>
      </c>
      <c r="B1183" s="1">
        <v>45.0</v>
      </c>
      <c r="C1183" s="1">
        <v>55.0</v>
      </c>
      <c r="D1183" s="1" t="s">
        <v>91</v>
      </c>
      <c r="E1183" s="1">
        <v>2156.0</v>
      </c>
    </row>
    <row r="1184">
      <c r="A1184" s="1">
        <v>29.0</v>
      </c>
      <c r="B1184" s="1">
        <v>13.0</v>
      </c>
      <c r="C1184" s="1">
        <v>34.0</v>
      </c>
      <c r="D1184" s="1" t="s">
        <v>55</v>
      </c>
      <c r="E1184" s="1">
        <v>2152.0</v>
      </c>
    </row>
    <row r="1185">
      <c r="A1185" s="1">
        <v>5.0</v>
      </c>
      <c r="B1185" s="1">
        <v>17.0</v>
      </c>
      <c r="C1185" s="1">
        <v>52.0</v>
      </c>
      <c r="D1185" s="1" t="s">
        <v>80</v>
      </c>
      <c r="E1185" s="1">
        <v>2151.0</v>
      </c>
    </row>
    <row r="1186">
      <c r="A1186" s="1">
        <v>10.0</v>
      </c>
      <c r="B1186" s="1">
        <v>1.0</v>
      </c>
      <c r="C1186" s="1">
        <v>40.0</v>
      </c>
      <c r="D1186" s="1" t="s">
        <v>175</v>
      </c>
      <c r="E1186" s="1">
        <v>2143.0</v>
      </c>
    </row>
    <row r="1187">
      <c r="A1187" s="1">
        <v>14.0</v>
      </c>
      <c r="B1187" s="1">
        <v>22.0</v>
      </c>
      <c r="C1187" s="1">
        <v>37.0</v>
      </c>
      <c r="D1187" s="1" t="s">
        <v>73</v>
      </c>
      <c r="E1187" s="1">
        <v>2088.0</v>
      </c>
    </row>
    <row r="1188">
      <c r="A1188" s="1">
        <v>32.0</v>
      </c>
      <c r="B1188" s="1">
        <v>2.0</v>
      </c>
      <c r="C1188" s="1">
        <v>17.0</v>
      </c>
      <c r="D1188" s="1" t="s">
        <v>218</v>
      </c>
      <c r="E1188" s="1">
        <v>2084.0</v>
      </c>
    </row>
    <row r="1189">
      <c r="A1189" s="1">
        <v>32.0</v>
      </c>
      <c r="B1189" s="1">
        <v>2.0</v>
      </c>
      <c r="C1189" s="1">
        <v>26.0</v>
      </c>
      <c r="D1189" s="1" t="s">
        <v>150</v>
      </c>
      <c r="E1189" s="1">
        <v>2083.0</v>
      </c>
    </row>
    <row r="1190">
      <c r="A1190" s="1">
        <v>16.0</v>
      </c>
      <c r="B1190" s="1">
        <v>5.0</v>
      </c>
      <c r="C1190" s="1">
        <v>192.0</v>
      </c>
      <c r="D1190" s="1" t="s">
        <v>553</v>
      </c>
      <c r="E1190" s="1">
        <v>2075.0</v>
      </c>
    </row>
    <row r="1191">
      <c r="A1191" s="1">
        <v>31.0</v>
      </c>
      <c r="B1191" s="1">
        <v>2.0</v>
      </c>
      <c r="C1191" s="1">
        <v>56.0</v>
      </c>
      <c r="D1191" s="1" t="s">
        <v>261</v>
      </c>
      <c r="E1191" s="1">
        <v>2066.0</v>
      </c>
    </row>
    <row r="1192">
      <c r="A1192" s="1">
        <v>29.0</v>
      </c>
      <c r="B1192" s="1">
        <v>13.0</v>
      </c>
      <c r="C1192" s="1">
        <v>26.0</v>
      </c>
      <c r="D1192" s="1" t="s">
        <v>150</v>
      </c>
      <c r="E1192" s="1">
        <v>2065.0</v>
      </c>
    </row>
    <row r="1193">
      <c r="A1193" s="1">
        <v>19.0</v>
      </c>
      <c r="B1193" s="1">
        <v>1.0</v>
      </c>
      <c r="C1193" s="1">
        <v>11.0</v>
      </c>
      <c r="D1193" s="1" t="s">
        <v>93</v>
      </c>
      <c r="E1193" s="1">
        <v>2058.0</v>
      </c>
    </row>
    <row r="1194">
      <c r="A1194" s="1">
        <v>25.0</v>
      </c>
      <c r="B1194" s="1">
        <v>3.0</v>
      </c>
      <c r="C1194" s="1">
        <v>46.0</v>
      </c>
      <c r="D1194" s="1" t="s">
        <v>190</v>
      </c>
      <c r="E1194" s="1">
        <v>2057.0</v>
      </c>
    </row>
    <row r="1195">
      <c r="A1195" s="1">
        <v>11.0</v>
      </c>
      <c r="B1195" s="1">
        <v>1.0</v>
      </c>
      <c r="C1195" s="1">
        <v>29.0</v>
      </c>
      <c r="D1195" s="1" t="s">
        <v>554</v>
      </c>
      <c r="E1195" s="1">
        <v>2051.0</v>
      </c>
    </row>
    <row r="1196">
      <c r="A1196" s="1">
        <v>27.0</v>
      </c>
      <c r="B1196" s="1">
        <v>7.0</v>
      </c>
      <c r="C1196" s="1">
        <v>26.0</v>
      </c>
      <c r="D1196" s="1" t="s">
        <v>150</v>
      </c>
      <c r="E1196" s="1">
        <v>2026.0</v>
      </c>
    </row>
    <row r="1197">
      <c r="A1197" s="1">
        <v>22.0</v>
      </c>
      <c r="B1197" s="1">
        <v>5.0</v>
      </c>
      <c r="C1197" s="1">
        <v>25.0</v>
      </c>
      <c r="D1197" s="1" t="s">
        <v>223</v>
      </c>
      <c r="E1197" s="1">
        <v>1996.0</v>
      </c>
    </row>
    <row r="1198">
      <c r="A1198" s="1">
        <v>25.0</v>
      </c>
      <c r="B1198" s="1">
        <v>5.0</v>
      </c>
      <c r="C1198" s="1">
        <v>8.0</v>
      </c>
      <c r="D1198" s="1" t="s">
        <v>189</v>
      </c>
      <c r="E1198" s="1">
        <v>1987.0</v>
      </c>
    </row>
    <row r="1199">
      <c r="A1199" s="1">
        <v>10.0</v>
      </c>
      <c r="B1199" s="1">
        <v>1.0</v>
      </c>
      <c r="C1199" s="1">
        <v>3.0</v>
      </c>
      <c r="D1199" s="1" t="s">
        <v>155</v>
      </c>
      <c r="E1199" s="1">
        <v>1979.0</v>
      </c>
    </row>
    <row r="1200">
      <c r="A1200" s="1">
        <v>17.0</v>
      </c>
      <c r="B1200" s="1">
        <v>13.0</v>
      </c>
      <c r="C1200" s="1">
        <v>66.0</v>
      </c>
      <c r="D1200" s="1" t="s">
        <v>132</v>
      </c>
      <c r="E1200" s="1">
        <v>1960.0</v>
      </c>
    </row>
    <row r="1201">
      <c r="A1201" s="1">
        <v>26.0</v>
      </c>
      <c r="B1201" s="1">
        <v>4.0</v>
      </c>
      <c r="C1201" s="1">
        <v>26.0</v>
      </c>
      <c r="D1201" s="1" t="s">
        <v>150</v>
      </c>
      <c r="E1201" s="1">
        <v>1956.0</v>
      </c>
    </row>
    <row r="1202">
      <c r="A1202" s="1">
        <v>14.0</v>
      </c>
      <c r="B1202" s="1">
        <v>40.0</v>
      </c>
      <c r="C1202" s="1">
        <v>25.0</v>
      </c>
      <c r="D1202" s="1" t="s">
        <v>223</v>
      </c>
      <c r="E1202" s="1">
        <v>1943.0</v>
      </c>
    </row>
    <row r="1203">
      <c r="A1203" s="1">
        <v>34.0</v>
      </c>
      <c r="B1203" s="1">
        <v>1.0</v>
      </c>
      <c r="C1203" s="1">
        <v>15.0</v>
      </c>
      <c r="D1203" s="1" t="s">
        <v>116</v>
      </c>
      <c r="E1203" s="1">
        <v>1943.0</v>
      </c>
    </row>
    <row r="1204">
      <c r="A1204" s="1">
        <v>10.0</v>
      </c>
      <c r="B1204" s="1">
        <v>13.0</v>
      </c>
      <c r="C1204" s="1">
        <v>20.0</v>
      </c>
      <c r="D1204" s="1" t="s">
        <v>176</v>
      </c>
      <c r="E1204" s="1">
        <v>1940.0</v>
      </c>
    </row>
    <row r="1205">
      <c r="A1205" s="1">
        <v>11.0</v>
      </c>
      <c r="B1205" s="1">
        <v>1.0</v>
      </c>
      <c r="C1205" s="1">
        <v>46.0</v>
      </c>
      <c r="D1205" s="1" t="s">
        <v>190</v>
      </c>
      <c r="E1205" s="1">
        <v>1925.0</v>
      </c>
    </row>
    <row r="1206">
      <c r="A1206" s="1">
        <v>29.0</v>
      </c>
      <c r="B1206" s="1">
        <v>13.0</v>
      </c>
      <c r="C1206" s="1">
        <v>2.0</v>
      </c>
      <c r="D1206" s="1" t="s">
        <v>112</v>
      </c>
      <c r="E1206" s="1">
        <v>1910.0</v>
      </c>
    </row>
    <row r="1207">
      <c r="A1207" s="1">
        <v>20.0</v>
      </c>
      <c r="B1207" s="1">
        <v>8.0</v>
      </c>
      <c r="C1207" s="1">
        <v>41.0</v>
      </c>
      <c r="D1207" s="1" t="s">
        <v>82</v>
      </c>
      <c r="E1207" s="1">
        <v>1904.0</v>
      </c>
    </row>
    <row r="1208">
      <c r="A1208" s="1">
        <v>20.0</v>
      </c>
      <c r="B1208" s="1">
        <v>8.0</v>
      </c>
      <c r="C1208" s="1">
        <v>49.0</v>
      </c>
      <c r="D1208" s="1" t="s">
        <v>134</v>
      </c>
      <c r="E1208" s="1">
        <v>1901.0</v>
      </c>
    </row>
    <row r="1209">
      <c r="A1209" s="1">
        <v>3.0</v>
      </c>
      <c r="B1209" s="1">
        <v>1.0</v>
      </c>
      <c r="C1209" s="1">
        <v>16.0</v>
      </c>
      <c r="D1209" s="1" t="s">
        <v>168</v>
      </c>
      <c r="E1209" s="1">
        <v>1879.0</v>
      </c>
    </row>
    <row r="1210">
      <c r="A1210" s="1">
        <v>28.0</v>
      </c>
      <c r="B1210" s="1">
        <v>2.0</v>
      </c>
      <c r="C1210" s="1">
        <v>7.0</v>
      </c>
      <c r="D1210" s="1" t="s">
        <v>58</v>
      </c>
      <c r="E1210" s="1">
        <v>1878.0</v>
      </c>
    </row>
    <row r="1211">
      <c r="A1211" s="1">
        <v>4.0</v>
      </c>
      <c r="B1211" s="1">
        <v>4.0</v>
      </c>
      <c r="C1211" s="1">
        <v>9.0</v>
      </c>
      <c r="D1211" s="1" t="s">
        <v>124</v>
      </c>
      <c r="E1211" s="1">
        <v>1846.0</v>
      </c>
    </row>
    <row r="1212">
      <c r="A1212" s="1">
        <v>12.0</v>
      </c>
      <c r="B1212" s="1">
        <v>3.0</v>
      </c>
      <c r="C1212" s="1">
        <v>20.0</v>
      </c>
      <c r="D1212" s="1" t="s">
        <v>176</v>
      </c>
      <c r="E1212" s="1">
        <v>1839.0</v>
      </c>
    </row>
    <row r="1213">
      <c r="A1213" s="1">
        <v>20.0</v>
      </c>
      <c r="B1213" s="1">
        <v>6.0</v>
      </c>
      <c r="C1213" s="1">
        <v>56.0</v>
      </c>
      <c r="D1213" s="1" t="s">
        <v>261</v>
      </c>
      <c r="E1213" s="1">
        <v>1817.0</v>
      </c>
    </row>
    <row r="1214">
      <c r="A1214" s="1">
        <v>27.0</v>
      </c>
      <c r="B1214" s="1">
        <v>70.0</v>
      </c>
      <c r="C1214" s="1">
        <v>31.0</v>
      </c>
      <c r="D1214" s="1" t="s">
        <v>68</v>
      </c>
      <c r="E1214" s="1">
        <v>1812.0</v>
      </c>
    </row>
    <row r="1215">
      <c r="A1215" s="1">
        <v>27.0</v>
      </c>
      <c r="B1215" s="1">
        <v>1.0</v>
      </c>
      <c r="C1215" s="1">
        <v>46.0</v>
      </c>
      <c r="D1215" s="1" t="s">
        <v>190</v>
      </c>
      <c r="E1215" s="1">
        <v>1789.0</v>
      </c>
    </row>
    <row r="1216">
      <c r="A1216" s="1">
        <v>32.0</v>
      </c>
      <c r="B1216" s="1">
        <v>2.0</v>
      </c>
      <c r="C1216" s="1">
        <v>25.0</v>
      </c>
      <c r="D1216" s="1" t="s">
        <v>223</v>
      </c>
      <c r="E1216" s="1">
        <v>1779.0</v>
      </c>
    </row>
    <row r="1217">
      <c r="A1217" s="1">
        <v>21.0</v>
      </c>
      <c r="B1217" s="1">
        <v>2.0</v>
      </c>
      <c r="C1217" s="1">
        <v>43.0</v>
      </c>
      <c r="D1217" s="1" t="s">
        <v>556</v>
      </c>
      <c r="E1217" s="1">
        <v>1771.0</v>
      </c>
    </row>
    <row r="1218">
      <c r="A1218" s="1">
        <v>27.0</v>
      </c>
      <c r="B1218" s="1">
        <v>13.0</v>
      </c>
      <c r="C1218" s="1">
        <v>38.0</v>
      </c>
      <c r="D1218" s="1" t="s">
        <v>204</v>
      </c>
      <c r="E1218" s="1">
        <v>1746.0</v>
      </c>
    </row>
    <row r="1219">
      <c r="A1219" s="1">
        <v>16.0</v>
      </c>
      <c r="B1219" s="1">
        <v>1.0</v>
      </c>
      <c r="C1219" s="1">
        <v>225.0</v>
      </c>
      <c r="D1219" s="1" t="s">
        <v>559</v>
      </c>
      <c r="E1219" s="1">
        <v>1713.0</v>
      </c>
    </row>
    <row r="1220">
      <c r="A1220" s="1">
        <v>29.0</v>
      </c>
      <c r="B1220" s="1">
        <v>13.0</v>
      </c>
      <c r="C1220" s="1">
        <v>4.0</v>
      </c>
      <c r="D1220" s="1" t="s">
        <v>209</v>
      </c>
      <c r="E1220" s="1">
        <v>1704.0</v>
      </c>
    </row>
    <row r="1221">
      <c r="A1221" s="1">
        <v>34.0</v>
      </c>
      <c r="B1221" s="1">
        <v>1.0</v>
      </c>
      <c r="C1221" s="1">
        <v>18.0</v>
      </c>
      <c r="D1221" s="1" t="s">
        <v>76</v>
      </c>
      <c r="E1221" s="1">
        <v>1696.0</v>
      </c>
    </row>
    <row r="1222">
      <c r="A1222" s="1">
        <v>34.0</v>
      </c>
      <c r="B1222" s="1">
        <v>1.0</v>
      </c>
      <c r="C1222" s="1">
        <v>42.0</v>
      </c>
      <c r="D1222" s="1" t="s">
        <v>186</v>
      </c>
      <c r="E1222" s="1">
        <v>1670.0</v>
      </c>
    </row>
    <row r="1223">
      <c r="A1223" s="1">
        <v>17.0</v>
      </c>
      <c r="B1223" s="1">
        <v>3.0</v>
      </c>
      <c r="C1223" s="1">
        <v>46.0</v>
      </c>
      <c r="D1223" s="1" t="s">
        <v>190</v>
      </c>
      <c r="E1223" s="1">
        <v>1624.0</v>
      </c>
    </row>
    <row r="1224">
      <c r="A1224" s="1">
        <v>18.0</v>
      </c>
      <c r="B1224" s="1">
        <v>11.0</v>
      </c>
      <c r="C1224" s="1">
        <v>10.0</v>
      </c>
      <c r="D1224" s="1" t="s">
        <v>140</v>
      </c>
      <c r="E1224" s="1">
        <v>1615.0</v>
      </c>
    </row>
    <row r="1225">
      <c r="A1225" s="1">
        <v>32.0</v>
      </c>
      <c r="B1225" s="1">
        <v>2.0</v>
      </c>
      <c r="C1225" s="1">
        <v>24.0</v>
      </c>
      <c r="D1225" s="1" t="s">
        <v>148</v>
      </c>
      <c r="E1225" s="1">
        <v>1600.0</v>
      </c>
    </row>
    <row r="1226">
      <c r="A1226" s="1">
        <v>26.0</v>
      </c>
      <c r="B1226" s="1">
        <v>3.0</v>
      </c>
      <c r="C1226" s="1">
        <v>18.0</v>
      </c>
      <c r="D1226" s="1" t="s">
        <v>76</v>
      </c>
      <c r="E1226" s="1">
        <v>1594.0</v>
      </c>
    </row>
    <row r="1227">
      <c r="A1227" s="1">
        <v>20.0</v>
      </c>
      <c r="B1227" s="1">
        <v>6.0</v>
      </c>
      <c r="C1227" s="1">
        <v>54.0</v>
      </c>
      <c r="D1227" s="1" t="s">
        <v>241</v>
      </c>
      <c r="E1227" s="1">
        <v>1579.0</v>
      </c>
    </row>
    <row r="1228">
      <c r="A1228" s="1">
        <v>10.0</v>
      </c>
      <c r="B1228" s="1">
        <v>1.0</v>
      </c>
      <c r="C1228" s="1">
        <v>42.0</v>
      </c>
      <c r="D1228" s="1" t="s">
        <v>186</v>
      </c>
      <c r="E1228" s="1">
        <v>1547.0</v>
      </c>
    </row>
    <row r="1229">
      <c r="A1229" s="1">
        <v>14.0</v>
      </c>
      <c r="B1229" s="1">
        <v>22.0</v>
      </c>
      <c r="C1229" s="1">
        <v>33.0</v>
      </c>
      <c r="D1229" s="1" t="s">
        <v>71</v>
      </c>
      <c r="E1229" s="1">
        <v>1532.0</v>
      </c>
    </row>
    <row r="1230">
      <c r="A1230" s="1">
        <v>29.0</v>
      </c>
      <c r="B1230" s="1">
        <v>1.0</v>
      </c>
      <c r="C1230" s="1">
        <v>72.0</v>
      </c>
      <c r="D1230" s="1" t="s">
        <v>302</v>
      </c>
      <c r="E1230" s="1">
        <v>1522.0</v>
      </c>
    </row>
    <row r="1231">
      <c r="A1231" s="1">
        <v>3.0</v>
      </c>
      <c r="B1231" s="1">
        <v>1.0</v>
      </c>
      <c r="C1231" s="1">
        <v>10.0</v>
      </c>
      <c r="D1231" s="1" t="s">
        <v>140</v>
      </c>
      <c r="E1231" s="1">
        <v>1502.0</v>
      </c>
    </row>
    <row r="1232">
      <c r="A1232" s="1">
        <v>5.0</v>
      </c>
      <c r="B1232" s="1">
        <v>23.0</v>
      </c>
      <c r="C1232" s="1">
        <v>32.0</v>
      </c>
      <c r="D1232" s="1" t="s">
        <v>127</v>
      </c>
      <c r="E1232" s="1">
        <v>1496.0</v>
      </c>
    </row>
    <row r="1233">
      <c r="A1233" s="1">
        <v>3.0</v>
      </c>
      <c r="B1233" s="1">
        <v>1.0</v>
      </c>
      <c r="C1233" s="1">
        <v>15.0</v>
      </c>
      <c r="D1233" s="1" t="s">
        <v>116</v>
      </c>
      <c r="E1233" s="1">
        <v>1480.0</v>
      </c>
    </row>
    <row r="1234">
      <c r="A1234" s="1">
        <v>26.0</v>
      </c>
      <c r="B1234" s="1">
        <v>1.0</v>
      </c>
      <c r="C1234" s="1">
        <v>24.0</v>
      </c>
      <c r="D1234" s="1" t="s">
        <v>148</v>
      </c>
      <c r="E1234" s="1">
        <v>1457.0</v>
      </c>
    </row>
    <row r="1235">
      <c r="A1235" s="1">
        <v>17.0</v>
      </c>
      <c r="B1235" s="1">
        <v>27.0</v>
      </c>
      <c r="C1235" s="1">
        <v>23.0</v>
      </c>
      <c r="D1235" s="1" t="s">
        <v>104</v>
      </c>
      <c r="E1235" s="1">
        <v>1451.0</v>
      </c>
    </row>
    <row r="1236">
      <c r="A1236" s="1">
        <v>27.0</v>
      </c>
      <c r="B1236" s="1">
        <v>70.0</v>
      </c>
      <c r="C1236" s="1">
        <v>41.0</v>
      </c>
      <c r="D1236" s="1" t="s">
        <v>82</v>
      </c>
      <c r="E1236" s="1">
        <v>1412.0</v>
      </c>
    </row>
    <row r="1237">
      <c r="A1237" s="1">
        <v>32.0</v>
      </c>
      <c r="B1237" s="1">
        <v>38.0</v>
      </c>
      <c r="C1237" s="1">
        <v>49.0</v>
      </c>
      <c r="D1237" s="1" t="s">
        <v>134</v>
      </c>
      <c r="E1237" s="1">
        <v>1407.0</v>
      </c>
    </row>
    <row r="1238">
      <c r="A1238" s="1">
        <v>8.0</v>
      </c>
      <c r="B1238" s="1">
        <v>8.0</v>
      </c>
      <c r="C1238" s="1">
        <v>45.0</v>
      </c>
      <c r="D1238" s="1" t="s">
        <v>171</v>
      </c>
      <c r="E1238" s="1">
        <v>1403.0</v>
      </c>
    </row>
    <row r="1239">
      <c r="A1239" s="1">
        <v>2.0</v>
      </c>
      <c r="B1239" s="1">
        <v>3.0</v>
      </c>
      <c r="C1239" s="1">
        <v>29.0</v>
      </c>
      <c r="D1239" s="1" t="s">
        <v>270</v>
      </c>
      <c r="E1239" s="1">
        <v>1399.0</v>
      </c>
    </row>
    <row r="1240">
      <c r="A1240" s="1">
        <v>26.0</v>
      </c>
      <c r="B1240" s="1">
        <v>3.0</v>
      </c>
      <c r="C1240" s="1">
        <v>39.0</v>
      </c>
      <c r="D1240" s="1" t="s">
        <v>79</v>
      </c>
      <c r="E1240" s="1">
        <v>1384.0</v>
      </c>
    </row>
    <row r="1241">
      <c r="A1241" s="1">
        <v>28.0</v>
      </c>
      <c r="B1241" s="1">
        <v>2.0</v>
      </c>
      <c r="C1241" s="1">
        <v>9.0</v>
      </c>
      <c r="D1241" s="1" t="s">
        <v>124</v>
      </c>
      <c r="E1241" s="1">
        <v>1372.0</v>
      </c>
    </row>
    <row r="1242">
      <c r="A1242" s="1">
        <v>29.0</v>
      </c>
      <c r="B1242" s="1">
        <v>1.0</v>
      </c>
      <c r="C1242" s="1">
        <v>31.0</v>
      </c>
      <c r="D1242" s="1" t="s">
        <v>68</v>
      </c>
      <c r="E1242" s="1">
        <v>1369.0</v>
      </c>
    </row>
    <row r="1243">
      <c r="A1243" s="1">
        <v>22.0</v>
      </c>
      <c r="B1243" s="1">
        <v>5.0</v>
      </c>
      <c r="C1243" s="1">
        <v>56.0</v>
      </c>
      <c r="D1243" s="1" t="s">
        <v>261</v>
      </c>
      <c r="E1243" s="1">
        <v>1351.0</v>
      </c>
    </row>
    <row r="1244">
      <c r="A1244" s="1">
        <v>27.0</v>
      </c>
      <c r="B1244" s="1">
        <v>57.0</v>
      </c>
      <c r="C1244" s="1">
        <v>23.0</v>
      </c>
      <c r="D1244" s="1" t="s">
        <v>574</v>
      </c>
      <c r="E1244" s="1">
        <v>1303.0</v>
      </c>
    </row>
    <row r="1245">
      <c r="A1245" s="1">
        <v>26.0</v>
      </c>
      <c r="B1245" s="1">
        <v>4.0</v>
      </c>
      <c r="C1245" s="1">
        <v>19.0</v>
      </c>
      <c r="D1245" s="1" t="s">
        <v>72</v>
      </c>
      <c r="E1245" s="1">
        <v>1300.0</v>
      </c>
    </row>
    <row r="1246">
      <c r="A1246" s="1">
        <v>32.0</v>
      </c>
      <c r="B1246" s="1">
        <v>2.0</v>
      </c>
      <c r="C1246" s="1">
        <v>27.0</v>
      </c>
      <c r="D1246" s="1" t="s">
        <v>52</v>
      </c>
      <c r="E1246" s="1">
        <v>1284.0</v>
      </c>
    </row>
    <row r="1247">
      <c r="A1247" s="1">
        <v>10.0</v>
      </c>
      <c r="B1247" s="1">
        <v>1.0</v>
      </c>
      <c r="C1247" s="1">
        <v>19.0</v>
      </c>
      <c r="D1247" s="1" t="s">
        <v>72</v>
      </c>
      <c r="E1247" s="1">
        <v>1280.0</v>
      </c>
    </row>
    <row r="1248">
      <c r="A1248" s="1">
        <v>32.0</v>
      </c>
      <c r="B1248" s="1">
        <v>38.0</v>
      </c>
      <c r="C1248" s="1">
        <v>41.0</v>
      </c>
      <c r="D1248" s="1" t="s">
        <v>575</v>
      </c>
      <c r="E1248" s="1">
        <v>1266.0</v>
      </c>
    </row>
    <row r="1249">
      <c r="A1249" s="1">
        <v>23.0</v>
      </c>
      <c r="B1249" s="1">
        <v>3.0</v>
      </c>
      <c r="C1249" s="1">
        <v>63.0</v>
      </c>
      <c r="D1249" s="1" t="s">
        <v>144</v>
      </c>
      <c r="E1249" s="1">
        <v>1265.0</v>
      </c>
    </row>
    <row r="1250">
      <c r="A1250" s="1">
        <v>25.0</v>
      </c>
      <c r="B1250" s="1">
        <v>5.0</v>
      </c>
      <c r="C1250" s="1">
        <v>29.0</v>
      </c>
      <c r="D1250" s="1" t="s">
        <v>270</v>
      </c>
      <c r="E1250" s="1">
        <v>1259.0</v>
      </c>
    </row>
    <row r="1251">
      <c r="A1251" s="1">
        <v>32.0</v>
      </c>
      <c r="B1251" s="1">
        <v>38.0</v>
      </c>
      <c r="C1251" s="1">
        <v>44.0</v>
      </c>
      <c r="D1251" s="1" t="s">
        <v>578</v>
      </c>
      <c r="E1251" s="1">
        <v>1250.0</v>
      </c>
    </row>
    <row r="1252">
      <c r="A1252" s="1">
        <v>32.0</v>
      </c>
      <c r="B1252" s="1">
        <v>38.0</v>
      </c>
      <c r="C1252" s="1">
        <v>45.0</v>
      </c>
      <c r="D1252" s="1" t="s">
        <v>171</v>
      </c>
      <c r="E1252" s="1">
        <v>1236.0</v>
      </c>
    </row>
    <row r="1253">
      <c r="A1253" s="1">
        <v>12.0</v>
      </c>
      <c r="B1253" s="1">
        <v>13.0</v>
      </c>
      <c r="C1253" s="1">
        <v>27.0</v>
      </c>
      <c r="D1253" s="1" t="s">
        <v>52</v>
      </c>
      <c r="E1253" s="1">
        <v>1222.0</v>
      </c>
    </row>
    <row r="1254">
      <c r="A1254" s="1">
        <v>32.0</v>
      </c>
      <c r="B1254" s="1">
        <v>45.0</v>
      </c>
      <c r="C1254" s="1">
        <v>50.0</v>
      </c>
      <c r="D1254" s="1" t="s">
        <v>208</v>
      </c>
      <c r="E1254" s="1">
        <v>1221.0</v>
      </c>
    </row>
    <row r="1255">
      <c r="A1255" s="1">
        <v>7.0</v>
      </c>
      <c r="B1255" s="1">
        <v>2.0</v>
      </c>
      <c r="C1255" s="1">
        <v>6.0</v>
      </c>
      <c r="D1255" s="1" t="s">
        <v>185</v>
      </c>
      <c r="E1255" s="1">
        <v>1205.0</v>
      </c>
    </row>
    <row r="1256">
      <c r="A1256" s="1">
        <v>33.0</v>
      </c>
      <c r="B1256" s="1">
        <v>33.0</v>
      </c>
      <c r="C1256" s="1">
        <v>7.0</v>
      </c>
      <c r="D1256" s="1" t="s">
        <v>58</v>
      </c>
      <c r="E1256" s="1">
        <v>1203.0</v>
      </c>
    </row>
    <row r="1257">
      <c r="A1257" s="1">
        <v>29.0</v>
      </c>
      <c r="B1257" s="1">
        <v>1.0</v>
      </c>
      <c r="C1257" s="1">
        <v>68.0</v>
      </c>
      <c r="D1257" s="1" t="s">
        <v>74</v>
      </c>
      <c r="E1257" s="1">
        <v>1201.0</v>
      </c>
    </row>
    <row r="1258">
      <c r="A1258" s="1">
        <v>32.0</v>
      </c>
      <c r="B1258" s="1">
        <v>38.0</v>
      </c>
      <c r="C1258" s="1">
        <v>42.0</v>
      </c>
      <c r="D1258" s="1" t="s">
        <v>186</v>
      </c>
      <c r="E1258" s="1">
        <v>1195.0</v>
      </c>
    </row>
    <row r="1259">
      <c r="A1259" s="1">
        <v>32.0</v>
      </c>
      <c r="B1259" s="1">
        <v>38.0</v>
      </c>
      <c r="C1259" s="1">
        <v>46.0</v>
      </c>
      <c r="D1259" s="1" t="s">
        <v>580</v>
      </c>
      <c r="E1259" s="1">
        <v>1170.0</v>
      </c>
    </row>
    <row r="1260">
      <c r="A1260" s="1">
        <v>22.0</v>
      </c>
      <c r="B1260" s="1">
        <v>6.0</v>
      </c>
      <c r="C1260" s="1">
        <v>29.0</v>
      </c>
      <c r="D1260" s="1" t="s">
        <v>405</v>
      </c>
      <c r="E1260" s="1">
        <v>1074.0</v>
      </c>
    </row>
    <row r="1261">
      <c r="A1261" s="1">
        <v>29.0</v>
      </c>
      <c r="B1261" s="1">
        <v>1.0</v>
      </c>
      <c r="C1261" s="1">
        <v>69.0</v>
      </c>
      <c r="D1261" s="1" t="s">
        <v>245</v>
      </c>
      <c r="E1261" s="1">
        <v>1063.0</v>
      </c>
    </row>
    <row r="1262">
      <c r="A1262" s="1">
        <v>27.0</v>
      </c>
      <c r="B1262" s="1">
        <v>70.0</v>
      </c>
      <c r="C1262" s="1">
        <v>45.0</v>
      </c>
      <c r="D1262" s="1" t="s">
        <v>171</v>
      </c>
      <c r="E1262" s="1">
        <v>1055.0</v>
      </c>
    </row>
    <row r="1263">
      <c r="A1263" s="1">
        <v>12.0</v>
      </c>
      <c r="B1263" s="1">
        <v>13.0</v>
      </c>
      <c r="C1263" s="1">
        <v>17.0</v>
      </c>
      <c r="D1263" s="1" t="s">
        <v>218</v>
      </c>
      <c r="E1263" s="1">
        <v>1029.0</v>
      </c>
    </row>
    <row r="1264">
      <c r="A1264" s="1">
        <v>29.0</v>
      </c>
      <c r="B1264" s="1">
        <v>13.0</v>
      </c>
      <c r="C1264" s="1">
        <v>14.0</v>
      </c>
      <c r="D1264" s="1" t="s">
        <v>141</v>
      </c>
      <c r="E1264" s="1">
        <v>991.0</v>
      </c>
    </row>
    <row r="1265">
      <c r="A1265" s="1">
        <v>23.0</v>
      </c>
      <c r="B1265" s="1">
        <v>3.0</v>
      </c>
      <c r="C1265" s="1">
        <v>66.0</v>
      </c>
      <c r="D1265" s="1" t="s">
        <v>585</v>
      </c>
      <c r="E1265" s="1">
        <v>970.0</v>
      </c>
    </row>
    <row r="1266">
      <c r="A1266" s="1">
        <v>14.0</v>
      </c>
      <c r="B1266" s="1">
        <v>22.0</v>
      </c>
      <c r="C1266" s="1">
        <v>36.0</v>
      </c>
      <c r="D1266" s="1" t="s">
        <v>95</v>
      </c>
      <c r="E1266" s="1">
        <v>937.0</v>
      </c>
    </row>
    <row r="1267">
      <c r="A1267" s="1">
        <v>33.0</v>
      </c>
      <c r="B1267" s="1">
        <v>33.0</v>
      </c>
      <c r="C1267" s="1">
        <v>6.0</v>
      </c>
      <c r="D1267" s="1" t="s">
        <v>185</v>
      </c>
      <c r="E1267" s="1">
        <v>900.0</v>
      </c>
    </row>
    <row r="1268">
      <c r="A1268" s="1">
        <v>3.0</v>
      </c>
      <c r="B1268" s="1">
        <v>1.0</v>
      </c>
      <c r="C1268" s="1">
        <v>13.0</v>
      </c>
      <c r="D1268" s="1" t="s">
        <v>587</v>
      </c>
      <c r="E1268" s="1">
        <v>897.0</v>
      </c>
    </row>
    <row r="1269">
      <c r="A1269" s="1">
        <v>17.0</v>
      </c>
      <c r="B1269" s="1">
        <v>9.0</v>
      </c>
      <c r="C1269" s="1">
        <v>52.0</v>
      </c>
      <c r="D1269" s="1" t="s">
        <v>80</v>
      </c>
      <c r="E1269" s="1">
        <v>853.0</v>
      </c>
    </row>
    <row r="1270">
      <c r="A1270" s="1">
        <v>29.0</v>
      </c>
      <c r="B1270" s="1">
        <v>4.0</v>
      </c>
      <c r="C1270" s="1">
        <v>22.0</v>
      </c>
      <c r="D1270" s="1" t="s">
        <v>201</v>
      </c>
      <c r="E1270" s="1">
        <v>801.0</v>
      </c>
    </row>
    <row r="1271">
      <c r="A1271" s="1">
        <v>32.0</v>
      </c>
      <c r="B1271" s="1">
        <v>38.0</v>
      </c>
      <c r="C1271" s="1">
        <v>54.0</v>
      </c>
      <c r="D1271" s="1" t="s">
        <v>241</v>
      </c>
      <c r="E1271" s="1">
        <v>787.0</v>
      </c>
    </row>
    <row r="1272">
      <c r="A1272" s="1">
        <v>3.0</v>
      </c>
      <c r="B1272" s="1">
        <v>1.0</v>
      </c>
      <c r="C1272" s="1">
        <v>12.0</v>
      </c>
      <c r="D1272" s="1" t="s">
        <v>177</v>
      </c>
      <c r="E1272" s="1">
        <v>761.0</v>
      </c>
    </row>
    <row r="1273">
      <c r="A1273" s="1">
        <v>14.0</v>
      </c>
      <c r="B1273" s="1">
        <v>38.0</v>
      </c>
      <c r="C1273" s="1">
        <v>106.0</v>
      </c>
      <c r="D1273" s="1" t="s">
        <v>590</v>
      </c>
      <c r="E1273" s="1">
        <v>754.0</v>
      </c>
    </row>
    <row r="1274">
      <c r="A1274" s="1">
        <v>34.0</v>
      </c>
      <c r="B1274" s="1">
        <v>1.0</v>
      </c>
      <c r="C1274" s="1">
        <v>31.0</v>
      </c>
      <c r="D1274" s="1" t="s">
        <v>68</v>
      </c>
      <c r="E1274" s="1">
        <v>740.0</v>
      </c>
    </row>
    <row r="1275">
      <c r="A1275" s="1">
        <v>27.0</v>
      </c>
      <c r="B1275" s="1">
        <v>70.0</v>
      </c>
      <c r="C1275" s="1">
        <v>39.0</v>
      </c>
      <c r="D1275" s="1" t="s">
        <v>79</v>
      </c>
      <c r="E1275" s="1">
        <v>712.0</v>
      </c>
    </row>
    <row r="1276">
      <c r="A1276" s="1">
        <v>5.0</v>
      </c>
      <c r="B1276" s="1">
        <v>23.0</v>
      </c>
      <c r="C1276" s="1">
        <v>28.0</v>
      </c>
      <c r="D1276" s="1" t="s">
        <v>75</v>
      </c>
      <c r="E1276" s="1">
        <v>697.0</v>
      </c>
    </row>
    <row r="1277">
      <c r="A1277" s="1">
        <v>19.0</v>
      </c>
      <c r="B1277" s="1">
        <v>1.0</v>
      </c>
      <c r="C1277" s="1">
        <v>21.0</v>
      </c>
      <c r="D1277" s="1" t="s">
        <v>149</v>
      </c>
      <c r="E1277" s="1">
        <v>667.0</v>
      </c>
    </row>
    <row r="1278">
      <c r="A1278" s="1">
        <v>34.0</v>
      </c>
      <c r="B1278" s="1">
        <v>1.0</v>
      </c>
      <c r="C1278" s="1">
        <v>25.0</v>
      </c>
      <c r="D1278" s="1" t="s">
        <v>223</v>
      </c>
      <c r="E1278" s="1">
        <v>663.0</v>
      </c>
    </row>
    <row r="1279">
      <c r="A1279" s="1">
        <v>12.0</v>
      </c>
      <c r="B1279" s="1">
        <v>3.0</v>
      </c>
      <c r="C1279" s="1">
        <v>21.0</v>
      </c>
      <c r="D1279" s="1" t="s">
        <v>149</v>
      </c>
      <c r="E1279" s="1">
        <v>596.0</v>
      </c>
    </row>
    <row r="1280">
      <c r="A1280" s="1">
        <v>34.0</v>
      </c>
      <c r="B1280" s="1">
        <v>1.0</v>
      </c>
      <c r="C1280" s="1">
        <v>22.0</v>
      </c>
      <c r="D1280" s="1" t="s">
        <v>201</v>
      </c>
      <c r="E1280" s="1">
        <v>596.0</v>
      </c>
    </row>
    <row r="1281">
      <c r="A1281" s="1">
        <v>26.0</v>
      </c>
      <c r="B1281" s="1">
        <v>5.0</v>
      </c>
      <c r="C1281" s="1">
        <v>34.0</v>
      </c>
      <c r="D1281" s="1" t="s">
        <v>55</v>
      </c>
      <c r="E1281" s="1">
        <v>592.0</v>
      </c>
    </row>
    <row r="1282">
      <c r="A1282" s="1">
        <v>29.0</v>
      </c>
      <c r="B1282" s="1">
        <v>4.0</v>
      </c>
      <c r="C1282" s="1">
        <v>21.0</v>
      </c>
      <c r="D1282" s="1" t="s">
        <v>149</v>
      </c>
      <c r="E1282" s="1">
        <v>581.0</v>
      </c>
    </row>
    <row r="1283">
      <c r="A1283" s="1">
        <v>29.0</v>
      </c>
      <c r="B1283" s="1">
        <v>1.0</v>
      </c>
      <c r="C1283" s="1">
        <v>73.0</v>
      </c>
      <c r="D1283" s="1" t="s">
        <v>137</v>
      </c>
      <c r="E1283" s="1">
        <v>527.0</v>
      </c>
    </row>
    <row r="1284">
      <c r="A1284" s="1">
        <v>27.0</v>
      </c>
      <c r="B1284" s="1">
        <v>3.0</v>
      </c>
      <c r="C1284" s="1">
        <v>56.0</v>
      </c>
      <c r="D1284" s="1" t="s">
        <v>261</v>
      </c>
      <c r="E1284" s="1">
        <v>492.0</v>
      </c>
    </row>
    <row r="1285">
      <c r="A1285" s="1">
        <v>14.0</v>
      </c>
      <c r="B1285" s="1">
        <v>22.0</v>
      </c>
      <c r="C1285" s="1">
        <v>17.0</v>
      </c>
      <c r="D1285" s="1" t="s">
        <v>595</v>
      </c>
      <c r="E1285" s="1">
        <v>452.0</v>
      </c>
    </row>
    <row r="1286">
      <c r="A1286" s="1">
        <v>17.0</v>
      </c>
      <c r="B1286" s="1">
        <v>17.0</v>
      </c>
      <c r="C1286" s="1">
        <v>61.0</v>
      </c>
      <c r="D1286" s="1" t="s">
        <v>145</v>
      </c>
      <c r="E1286" s="1">
        <v>430.0</v>
      </c>
    </row>
    <row r="1287">
      <c r="A1287" s="1">
        <v>29.0</v>
      </c>
      <c r="B1287" s="1">
        <v>13.0</v>
      </c>
      <c r="C1287" s="1">
        <v>35.0</v>
      </c>
      <c r="D1287" s="1" t="s">
        <v>136</v>
      </c>
      <c r="E1287" s="1">
        <v>421.0</v>
      </c>
    </row>
    <row r="1288">
      <c r="A1288" s="1">
        <v>39.0</v>
      </c>
      <c r="B1288" s="1">
        <v>57.0</v>
      </c>
      <c r="C1288" s="1">
        <v>37.0</v>
      </c>
      <c r="D1288" s="1" t="s">
        <v>73</v>
      </c>
      <c r="E1288" s="1">
        <v>388.0</v>
      </c>
    </row>
    <row r="1289">
      <c r="A1289" s="1">
        <v>5.0</v>
      </c>
      <c r="B1289" s="1">
        <v>3.0</v>
      </c>
      <c r="C1289" s="1">
        <v>67.0</v>
      </c>
      <c r="D1289" s="1" t="s">
        <v>213</v>
      </c>
      <c r="E1289" s="1">
        <v>377.0</v>
      </c>
    </row>
    <row r="1290">
      <c r="A1290" s="1">
        <v>34.0</v>
      </c>
      <c r="B1290" s="1">
        <v>1.0</v>
      </c>
      <c r="C1290" s="1">
        <v>13.0</v>
      </c>
      <c r="D1290" s="1" t="s">
        <v>99</v>
      </c>
      <c r="E1290" s="1">
        <v>347.0</v>
      </c>
    </row>
    <row r="1291">
      <c r="A1291" s="1">
        <v>32.0</v>
      </c>
      <c r="B1291" s="1">
        <v>45.0</v>
      </c>
      <c r="C1291" s="1">
        <v>62.0</v>
      </c>
      <c r="D1291" s="1" t="s">
        <v>67</v>
      </c>
      <c r="E1291" s="1">
        <v>282.0</v>
      </c>
    </row>
    <row r="1292">
      <c r="A1292" s="27">
        <v>34.0</v>
      </c>
      <c r="B1292" s="27">
        <v>1.0</v>
      </c>
      <c r="C1292" s="27">
        <v>17.0</v>
      </c>
      <c r="D1292" s="27" t="s">
        <v>218</v>
      </c>
      <c r="E1292" s="27">
        <v>268.0</v>
      </c>
      <c r="F1292" s="1" t="s">
        <v>598</v>
      </c>
      <c r="G1292" s="1" t="s">
        <v>599</v>
      </c>
    </row>
    <row r="1293">
      <c r="A1293" s="27">
        <v>17.0</v>
      </c>
      <c r="B1293" s="27">
        <v>3.0</v>
      </c>
      <c r="C1293" s="27">
        <v>43.0</v>
      </c>
      <c r="D1293" s="27" t="s">
        <v>164</v>
      </c>
      <c r="E1293" s="27">
        <v>231.0</v>
      </c>
      <c r="F1293" s="1" t="s">
        <v>601</v>
      </c>
      <c r="G1293" s="1" t="s">
        <v>602</v>
      </c>
    </row>
    <row r="1294">
      <c r="A1294" s="27">
        <v>31.0</v>
      </c>
      <c r="B1294" s="27">
        <v>9.0</v>
      </c>
      <c r="C1294" s="27">
        <v>75.0</v>
      </c>
      <c r="D1294" s="27" t="s">
        <v>114</v>
      </c>
      <c r="E1294" s="27">
        <v>163.0</v>
      </c>
      <c r="F1294" s="1" t="s">
        <v>603</v>
      </c>
      <c r="G1294" s="1" t="s">
        <v>604</v>
      </c>
    </row>
    <row r="1295">
      <c r="A1295" s="27">
        <v>32.0</v>
      </c>
      <c r="B1295" s="27">
        <v>2.0</v>
      </c>
      <c r="C1295" s="27">
        <v>28.0</v>
      </c>
      <c r="D1295" s="27" t="s">
        <v>75</v>
      </c>
      <c r="E1295" s="27">
        <v>53.0</v>
      </c>
      <c r="F1295" s="1" t="s">
        <v>605</v>
      </c>
      <c r="G1295" s="1" t="s">
        <v>606</v>
      </c>
    </row>
    <row r="1296">
      <c r="A1296" s="27">
        <v>32.0</v>
      </c>
      <c r="B1296" s="27">
        <v>38.0</v>
      </c>
      <c r="C1296" s="27">
        <v>38.0</v>
      </c>
      <c r="D1296" s="27" t="s">
        <v>204</v>
      </c>
      <c r="E1296" s="27">
        <v>44.0</v>
      </c>
      <c r="F1296" s="1" t="s">
        <v>607</v>
      </c>
      <c r="G1296" s="1" t="s">
        <v>606</v>
      </c>
    </row>
    <row r="1297">
      <c r="A1297" s="36" t="s">
        <v>41</v>
      </c>
      <c r="B1297" s="36" t="s">
        <v>44</v>
      </c>
      <c r="C1297" s="36" t="s">
        <v>46</v>
      </c>
      <c r="D1297" s="36" t="s">
        <v>47</v>
      </c>
      <c r="E1297" s="36" t="s">
        <v>48</v>
      </c>
    </row>
  </sheetData>
  <autoFilter ref="$A$1:$Z$1297">
    <sortState ref="A1:Z1297">
      <sortCondition descending="1" ref="E1:E1297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159</v>
      </c>
      <c r="B1" s="1" t="s">
        <v>161</v>
      </c>
      <c r="C1" s="1" t="s">
        <v>162</v>
      </c>
      <c r="D1" s="1" t="s">
        <v>163</v>
      </c>
    </row>
    <row r="2">
      <c r="A2" s="1">
        <v>2015.0</v>
      </c>
      <c r="B2" s="1">
        <v>38.8</v>
      </c>
      <c r="C2" s="1" t="s">
        <v>165</v>
      </c>
      <c r="D2" s="1" t="s">
        <v>166</v>
      </c>
    </row>
    <row r="3">
      <c r="A3" s="1">
        <v>2017.0</v>
      </c>
      <c r="B3" s="1">
        <v>44.4</v>
      </c>
      <c r="C3" s="1" t="s">
        <v>165</v>
      </c>
      <c r="D3" s="1" t="s">
        <v>166</v>
      </c>
    </row>
    <row r="4">
      <c r="A4" s="1">
        <v>2019.0</v>
      </c>
      <c r="B4" s="1">
        <v>43.8</v>
      </c>
      <c r="C4" s="1" t="s">
        <v>165</v>
      </c>
      <c r="D4" s="1" t="s">
        <v>166</v>
      </c>
    </row>
    <row r="5">
      <c r="A5" s="1">
        <v>2021.0</v>
      </c>
      <c r="B5" s="1">
        <v>52.0</v>
      </c>
      <c r="C5" s="1" t="s">
        <v>165</v>
      </c>
      <c r="D5" s="1" t="s">
        <v>166</v>
      </c>
    </row>
    <row r="6">
      <c r="A6" s="1">
        <v>2023.0</v>
      </c>
      <c r="B6" s="1">
        <v>48.7</v>
      </c>
      <c r="C6" s="1" t="s">
        <v>165</v>
      </c>
      <c r="D6" s="1" t="s">
        <v>166</v>
      </c>
    </row>
    <row r="7">
      <c r="A7" s="1">
        <v>2025.0</v>
      </c>
      <c r="B7" s="1">
        <v>43.3</v>
      </c>
      <c r="C7" s="1" t="s">
        <v>165</v>
      </c>
      <c r="D7" s="1" t="s">
        <v>166</v>
      </c>
    </row>
    <row r="8">
      <c r="A8" s="1" t="s">
        <v>170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7.25"/>
  </cols>
  <sheetData>
    <row r="1">
      <c r="A1" s="1" t="s">
        <v>162</v>
      </c>
      <c r="B1" s="1">
        <v>2015.0</v>
      </c>
      <c r="C1" s="1">
        <v>2017.0</v>
      </c>
      <c r="D1" s="1">
        <v>2019.0</v>
      </c>
      <c r="E1" s="1">
        <v>2021.0</v>
      </c>
      <c r="F1" s="1">
        <v>2023.0</v>
      </c>
      <c r="G1" s="1">
        <v>2025.0</v>
      </c>
    </row>
    <row r="2">
      <c r="A2" s="1" t="s">
        <v>43</v>
      </c>
      <c r="B2" s="1">
        <v>44.3</v>
      </c>
      <c r="C2" s="1">
        <v>49.2</v>
      </c>
      <c r="D2" s="1">
        <v>49.4</v>
      </c>
      <c r="E2" s="1">
        <v>54.3</v>
      </c>
      <c r="F2" s="1">
        <v>47.8</v>
      </c>
      <c r="G2" s="1">
        <v>43.2</v>
      </c>
      <c r="H2" s="1" t="s">
        <v>170</v>
      </c>
    </row>
    <row r="3">
      <c r="A3" s="1" t="s">
        <v>49</v>
      </c>
      <c r="B3" s="1">
        <v>42.4</v>
      </c>
      <c r="C3" s="1">
        <v>53.4</v>
      </c>
      <c r="D3" s="1">
        <v>44.0</v>
      </c>
      <c r="E3" s="1">
        <v>47.1</v>
      </c>
      <c r="F3" s="1">
        <v>55.1</v>
      </c>
      <c r="G3" s="1">
        <v>45.9</v>
      </c>
    </row>
    <row r="4">
      <c r="A4" s="1" t="s">
        <v>51</v>
      </c>
      <c r="B4" s="1">
        <v>44.2</v>
      </c>
      <c r="C4" s="1">
        <v>56.0</v>
      </c>
      <c r="D4" s="1">
        <v>63.7</v>
      </c>
      <c r="E4" s="1">
        <v>52.5</v>
      </c>
      <c r="F4" s="1">
        <v>61.3</v>
      </c>
      <c r="G4" s="1">
        <v>53.3</v>
      </c>
    </row>
    <row r="5">
      <c r="A5" s="1" t="s">
        <v>54</v>
      </c>
      <c r="B5" s="1">
        <v>43.0</v>
      </c>
      <c r="C5" s="1">
        <v>40.9</v>
      </c>
      <c r="D5" s="1">
        <v>43.0</v>
      </c>
      <c r="E5" s="1">
        <v>38.9</v>
      </c>
      <c r="F5" s="1">
        <v>45.5</v>
      </c>
      <c r="G5" s="1">
        <v>31.6</v>
      </c>
    </row>
    <row r="6">
      <c r="A6" s="1" t="s">
        <v>381</v>
      </c>
      <c r="B6" s="1">
        <v>50.8</v>
      </c>
      <c r="C6" s="1">
        <v>47.9</v>
      </c>
      <c r="D6" s="1">
        <v>54.3</v>
      </c>
      <c r="E6" s="1">
        <v>42.9</v>
      </c>
      <c r="F6" s="1">
        <v>44.3</v>
      </c>
      <c r="G6" s="1">
        <v>38.4</v>
      </c>
    </row>
    <row r="7">
      <c r="A7" s="1" t="s">
        <v>60</v>
      </c>
      <c r="B7" s="1">
        <v>50.0</v>
      </c>
      <c r="C7" s="1">
        <v>57.4</v>
      </c>
      <c r="D7" s="1">
        <v>61.4</v>
      </c>
      <c r="E7" s="1">
        <v>51.1</v>
      </c>
      <c r="F7" s="1">
        <v>57.7</v>
      </c>
      <c r="G7" s="1">
        <v>46.9</v>
      </c>
    </row>
    <row r="8">
      <c r="A8" s="1" t="s">
        <v>81</v>
      </c>
      <c r="B8" s="1">
        <v>51.8</v>
      </c>
      <c r="C8" s="1">
        <v>52.7</v>
      </c>
      <c r="D8" s="1">
        <v>54.4</v>
      </c>
      <c r="E8" s="1">
        <v>40.2</v>
      </c>
      <c r="F8" s="1">
        <v>41.9</v>
      </c>
      <c r="G8" s="1">
        <v>26.9</v>
      </c>
    </row>
    <row r="9">
      <c r="A9" s="1" t="s">
        <v>84</v>
      </c>
      <c r="B9" s="1">
        <v>33.9</v>
      </c>
      <c r="C9" s="1">
        <v>44.8</v>
      </c>
      <c r="D9" s="1">
        <v>45.6</v>
      </c>
      <c r="E9" s="1">
        <v>44.9</v>
      </c>
      <c r="F9" s="1">
        <v>43.3</v>
      </c>
      <c r="G9" s="1">
        <v>37.3</v>
      </c>
    </row>
    <row r="10">
      <c r="A10" s="1" t="s">
        <v>383</v>
      </c>
      <c r="B10" s="1">
        <v>41.6</v>
      </c>
      <c r="C10" s="1">
        <v>49.0</v>
      </c>
      <c r="D10" s="1">
        <v>47.7</v>
      </c>
      <c r="E10" s="1">
        <v>41.3</v>
      </c>
      <c r="F10" s="1">
        <v>41.8</v>
      </c>
      <c r="G10" s="1">
        <v>42.1</v>
      </c>
    </row>
    <row r="11">
      <c r="A11" s="1" t="s">
        <v>90</v>
      </c>
      <c r="B11" s="1">
        <v>50.5</v>
      </c>
      <c r="C11" s="1">
        <v>51.5</v>
      </c>
      <c r="D11" s="1">
        <v>59.0</v>
      </c>
      <c r="E11" s="1">
        <v>53.1</v>
      </c>
      <c r="F11" s="1">
        <v>49.5</v>
      </c>
      <c r="G11" s="1">
        <v>48.3</v>
      </c>
    </row>
    <row r="12">
      <c r="A12" s="1" t="s">
        <v>92</v>
      </c>
      <c r="B12" s="1">
        <v>45.6</v>
      </c>
      <c r="C12" s="1">
        <v>53.0</v>
      </c>
      <c r="D12" s="1">
        <v>56.2</v>
      </c>
      <c r="E12" s="1">
        <v>38.4</v>
      </c>
      <c r="F12" s="1">
        <v>43.5</v>
      </c>
      <c r="G12" s="1">
        <v>33.4</v>
      </c>
    </row>
    <row r="13">
      <c r="A13" s="1" t="s">
        <v>94</v>
      </c>
      <c r="B13" s="1">
        <v>54.3</v>
      </c>
      <c r="C13" s="1">
        <v>55.1</v>
      </c>
      <c r="D13" s="1">
        <v>64.6</v>
      </c>
      <c r="E13" s="1">
        <v>57.2</v>
      </c>
      <c r="F13" s="1">
        <v>61.4</v>
      </c>
      <c r="G13" s="1">
        <v>46.4</v>
      </c>
    </row>
    <row r="14">
      <c r="A14" s="1" t="s">
        <v>96</v>
      </c>
      <c r="B14" s="1">
        <v>44.8</v>
      </c>
      <c r="C14" s="1">
        <v>49.7</v>
      </c>
      <c r="D14" s="1">
        <v>50.8</v>
      </c>
      <c r="E14" s="1">
        <v>48.3</v>
      </c>
      <c r="F14" s="1">
        <v>49.4</v>
      </c>
      <c r="G14" s="1">
        <v>41.4</v>
      </c>
    </row>
    <row r="15">
      <c r="A15" s="1" t="s">
        <v>98</v>
      </c>
      <c r="B15" s="1">
        <v>46.0</v>
      </c>
      <c r="C15" s="1">
        <v>47.5</v>
      </c>
      <c r="D15" s="1">
        <v>52.6</v>
      </c>
      <c r="E15" s="1">
        <v>43.6</v>
      </c>
      <c r="F15" s="1">
        <v>49.8</v>
      </c>
      <c r="G15" s="1">
        <v>40.6</v>
      </c>
    </row>
    <row r="16">
      <c r="A16" s="1" t="s">
        <v>388</v>
      </c>
      <c r="B16" s="1">
        <v>37.4</v>
      </c>
      <c r="C16" s="1">
        <v>47.0</v>
      </c>
      <c r="D16" s="1">
        <v>50.6</v>
      </c>
      <c r="E16" s="1">
        <v>39.7</v>
      </c>
      <c r="F16" s="1">
        <v>35.2</v>
      </c>
      <c r="G16" s="1">
        <v>39.0</v>
      </c>
    </row>
    <row r="17">
      <c r="A17" s="1" t="s">
        <v>390</v>
      </c>
      <c r="B17" s="1">
        <v>48.1</v>
      </c>
      <c r="C17" s="1">
        <v>47.4</v>
      </c>
      <c r="D17" s="1">
        <v>51.6</v>
      </c>
      <c r="E17" s="1">
        <v>47.3</v>
      </c>
      <c r="F17" s="1">
        <v>49.7</v>
      </c>
      <c r="G17" s="1">
        <v>32.8</v>
      </c>
    </row>
    <row r="18">
      <c r="A18" s="1" t="s">
        <v>105</v>
      </c>
      <c r="B18" s="1">
        <v>48.4</v>
      </c>
      <c r="C18" s="1">
        <v>53.6</v>
      </c>
      <c r="D18" s="1">
        <v>52.6</v>
      </c>
      <c r="E18" s="1">
        <v>46.0</v>
      </c>
      <c r="F18" s="1">
        <v>41.0</v>
      </c>
      <c r="G18" s="1">
        <v>35.5</v>
      </c>
    </row>
    <row r="19">
      <c r="A19" s="1" t="s">
        <v>106</v>
      </c>
      <c r="B19" s="1">
        <v>51.1</v>
      </c>
      <c r="C19" s="1">
        <v>67.9</v>
      </c>
      <c r="D19" s="1">
        <v>67.2</v>
      </c>
      <c r="E19" s="1">
        <v>59.5</v>
      </c>
      <c r="F19" s="1">
        <v>59.9</v>
      </c>
      <c r="G19" s="1">
        <v>46.3</v>
      </c>
    </row>
    <row r="20">
      <c r="A20" s="1" t="s">
        <v>392</v>
      </c>
      <c r="B20" s="1">
        <v>47.2</v>
      </c>
      <c r="C20" s="1">
        <v>53.5</v>
      </c>
      <c r="D20" s="1">
        <v>58.3</v>
      </c>
      <c r="E20" s="1">
        <v>46.9</v>
      </c>
      <c r="F20" s="1">
        <v>47.3</v>
      </c>
      <c r="G20" s="1">
        <v>32.8</v>
      </c>
    </row>
    <row r="21">
      <c r="A21" s="1" t="s">
        <v>109</v>
      </c>
      <c r="B21" s="1">
        <v>47.8</v>
      </c>
      <c r="C21" s="1">
        <v>51.9</v>
      </c>
      <c r="D21" s="1">
        <v>56.6</v>
      </c>
      <c r="E21" s="1">
        <v>38.3</v>
      </c>
      <c r="F21" s="1">
        <v>47.3</v>
      </c>
      <c r="G21" s="1">
        <v>36.8</v>
      </c>
    </row>
    <row r="22">
      <c r="A22" s="1" t="s">
        <v>113</v>
      </c>
      <c r="B22" s="1">
        <v>33.0</v>
      </c>
      <c r="C22" s="1">
        <v>39.0</v>
      </c>
      <c r="D22" s="1">
        <v>42.9</v>
      </c>
      <c r="E22" s="1">
        <v>30.8</v>
      </c>
      <c r="F22" s="1">
        <v>37.9</v>
      </c>
      <c r="G22" s="1">
        <v>30.2</v>
      </c>
    </row>
    <row r="23">
      <c r="A23" s="1" t="s">
        <v>394</v>
      </c>
      <c r="B23" s="1">
        <v>46.0</v>
      </c>
      <c r="C23" s="1">
        <v>40.8</v>
      </c>
      <c r="D23" s="1">
        <v>43.5</v>
      </c>
      <c r="E23" s="1">
        <v>40.3</v>
      </c>
      <c r="F23" s="1">
        <v>40.2</v>
      </c>
      <c r="G23" s="1">
        <v>30.3</v>
      </c>
    </row>
    <row r="24">
      <c r="A24" s="1" t="s">
        <v>117</v>
      </c>
      <c r="B24" s="1">
        <v>35.3</v>
      </c>
      <c r="C24" s="1">
        <v>39.5</v>
      </c>
      <c r="D24" s="1">
        <v>35.8</v>
      </c>
      <c r="E24" s="1">
        <v>38.6</v>
      </c>
      <c r="F24" s="1">
        <v>37.2</v>
      </c>
      <c r="G24" s="1">
        <v>36.5</v>
      </c>
    </row>
    <row r="25">
      <c r="A25" s="1" t="s">
        <v>395</v>
      </c>
      <c r="B25" s="1">
        <v>45.2</v>
      </c>
      <c r="C25" s="1">
        <v>46.5</v>
      </c>
      <c r="D25" s="1">
        <v>53.7</v>
      </c>
      <c r="E25" s="1">
        <v>42.1</v>
      </c>
      <c r="F25" s="1">
        <v>50.8</v>
      </c>
      <c r="G25" s="1">
        <v>38.9</v>
      </c>
    </row>
    <row r="26">
      <c r="A26" s="1" t="s">
        <v>120</v>
      </c>
      <c r="B26" s="1">
        <v>48.8</v>
      </c>
      <c r="C26" s="1">
        <v>55.6</v>
      </c>
      <c r="D26" s="1">
        <v>60.1</v>
      </c>
      <c r="E26" s="1">
        <v>54.0</v>
      </c>
      <c r="F26" s="1">
        <v>54.3</v>
      </c>
      <c r="G26" s="1">
        <v>42.4</v>
      </c>
    </row>
    <row r="27">
      <c r="A27" s="1" t="s">
        <v>121</v>
      </c>
      <c r="B27" s="1">
        <v>57.7</v>
      </c>
      <c r="C27" s="1">
        <v>52.5</v>
      </c>
      <c r="D27" s="1">
        <v>63.2</v>
      </c>
      <c r="E27" s="1">
        <v>54.0</v>
      </c>
      <c r="F27" s="1">
        <v>50.5</v>
      </c>
      <c r="G27" s="1">
        <v>43.3</v>
      </c>
    </row>
    <row r="28">
      <c r="A28" s="1" t="s">
        <v>123</v>
      </c>
      <c r="B28" s="1">
        <v>60.3</v>
      </c>
      <c r="C28" s="1">
        <v>49.3</v>
      </c>
      <c r="D28" s="1">
        <v>49.7</v>
      </c>
      <c r="E28" s="1">
        <v>42.0</v>
      </c>
      <c r="F28" s="1">
        <v>44.1</v>
      </c>
      <c r="G28" s="1">
        <v>36.6</v>
      </c>
    </row>
    <row r="29">
      <c r="A29" s="1" t="s">
        <v>125</v>
      </c>
      <c r="B29" s="1">
        <v>32.7</v>
      </c>
      <c r="C29" s="1">
        <v>47.8</v>
      </c>
      <c r="D29" s="1">
        <v>48.7</v>
      </c>
      <c r="E29" s="1">
        <v>40.6</v>
      </c>
      <c r="F29" s="1">
        <v>44.0</v>
      </c>
      <c r="G29" s="1">
        <v>38.3</v>
      </c>
    </row>
    <row r="30">
      <c r="A30" s="1" t="s">
        <v>126</v>
      </c>
      <c r="B30" s="1">
        <v>46.4</v>
      </c>
      <c r="C30" s="1">
        <v>46.5</v>
      </c>
      <c r="D30" s="1">
        <v>55.7</v>
      </c>
      <c r="E30" s="1">
        <v>42.1</v>
      </c>
      <c r="F30" s="1">
        <v>40.8</v>
      </c>
      <c r="G30" s="1">
        <v>49.8</v>
      </c>
    </row>
    <row r="31">
      <c r="A31" s="1" t="s">
        <v>396</v>
      </c>
      <c r="B31" s="1">
        <v>48.1</v>
      </c>
      <c r="C31" s="1">
        <v>57.1</v>
      </c>
      <c r="D31" s="1">
        <v>60.8</v>
      </c>
      <c r="E31" s="1">
        <v>55.9</v>
      </c>
      <c r="F31" s="1">
        <v>51.0</v>
      </c>
      <c r="G31" s="1">
        <v>39.0</v>
      </c>
    </row>
    <row r="32">
      <c r="A32" s="1" t="s">
        <v>397</v>
      </c>
      <c r="B32" s="1">
        <v>44.0</v>
      </c>
      <c r="C32" s="1">
        <v>39.3</v>
      </c>
      <c r="D32" s="1">
        <v>56.5</v>
      </c>
      <c r="E32" s="1">
        <v>44.5</v>
      </c>
      <c r="F32" s="1">
        <v>54.3</v>
      </c>
      <c r="G32" s="1">
        <v>38.5</v>
      </c>
    </row>
    <row r="33">
      <c r="A33" s="1" t="s">
        <v>133</v>
      </c>
      <c r="B33" s="1">
        <v>35.6</v>
      </c>
      <c r="C33" s="1">
        <v>41.7</v>
      </c>
      <c r="D33" s="1">
        <v>54.4</v>
      </c>
      <c r="E33" s="1">
        <v>32.4</v>
      </c>
      <c r="F33" s="1">
        <v>45.4</v>
      </c>
      <c r="G33" s="1">
        <v>37.2</v>
      </c>
    </row>
    <row r="38">
      <c r="A38" s="1">
        <v>2025.0</v>
      </c>
      <c r="B38" s="1" t="s">
        <v>162</v>
      </c>
    </row>
    <row r="39">
      <c r="A39" s="1">
        <v>26.9</v>
      </c>
      <c r="B39" s="1" t="s">
        <v>81</v>
      </c>
    </row>
    <row r="40">
      <c r="A40" s="1">
        <v>30.2</v>
      </c>
      <c r="B40" s="1" t="s">
        <v>113</v>
      </c>
    </row>
    <row r="41">
      <c r="A41" s="1">
        <v>30.3</v>
      </c>
      <c r="B41" s="1" t="s">
        <v>394</v>
      </c>
    </row>
    <row r="42">
      <c r="A42" s="1">
        <v>31.6</v>
      </c>
      <c r="B42" s="1" t="s">
        <v>54</v>
      </c>
    </row>
    <row r="43">
      <c r="A43" s="1">
        <v>32.8</v>
      </c>
      <c r="B43" s="1" t="s">
        <v>390</v>
      </c>
    </row>
    <row r="44">
      <c r="A44" s="1">
        <v>32.8</v>
      </c>
      <c r="B44" s="1" t="s">
        <v>392</v>
      </c>
    </row>
    <row r="45">
      <c r="A45" s="1">
        <v>33.4</v>
      </c>
      <c r="B45" s="1" t="s">
        <v>92</v>
      </c>
    </row>
    <row r="46">
      <c r="A46" s="1">
        <v>35.5</v>
      </c>
      <c r="B46" s="1" t="s">
        <v>105</v>
      </c>
    </row>
    <row r="47">
      <c r="A47" s="1">
        <v>36.5</v>
      </c>
      <c r="B47" s="1" t="s">
        <v>117</v>
      </c>
    </row>
    <row r="48">
      <c r="A48" s="1">
        <v>36.6</v>
      </c>
      <c r="B48" s="1" t="s">
        <v>123</v>
      </c>
    </row>
    <row r="49">
      <c r="A49" s="1">
        <v>36.8</v>
      </c>
      <c r="B49" s="1" t="s">
        <v>109</v>
      </c>
    </row>
    <row r="50">
      <c r="A50" s="1">
        <v>37.2</v>
      </c>
      <c r="B50" s="1" t="s">
        <v>133</v>
      </c>
    </row>
    <row r="51">
      <c r="A51" s="1">
        <v>37.3</v>
      </c>
      <c r="B51" s="1" t="s">
        <v>84</v>
      </c>
    </row>
    <row r="52">
      <c r="A52" s="1">
        <v>38.3</v>
      </c>
      <c r="B52" s="1" t="s">
        <v>125</v>
      </c>
    </row>
    <row r="53">
      <c r="A53" s="1">
        <v>38.4</v>
      </c>
      <c r="B53" s="1" t="s">
        <v>381</v>
      </c>
    </row>
    <row r="54">
      <c r="A54" s="1">
        <v>38.5</v>
      </c>
      <c r="B54" s="1" t="s">
        <v>397</v>
      </c>
    </row>
    <row r="55">
      <c r="A55" s="1">
        <v>38.9</v>
      </c>
      <c r="B55" s="1" t="s">
        <v>395</v>
      </c>
    </row>
    <row r="56">
      <c r="A56" s="1">
        <v>39.0</v>
      </c>
      <c r="B56" s="1" t="s">
        <v>388</v>
      </c>
    </row>
    <row r="57">
      <c r="A57" s="1">
        <v>39.0</v>
      </c>
      <c r="B57" s="1" t="s">
        <v>396</v>
      </c>
    </row>
    <row r="58">
      <c r="A58" s="1">
        <v>40.6</v>
      </c>
      <c r="B58" s="1" t="s">
        <v>98</v>
      </c>
    </row>
    <row r="59">
      <c r="A59" s="1">
        <v>41.4</v>
      </c>
      <c r="B59" s="1" t="s">
        <v>96</v>
      </c>
    </row>
    <row r="60">
      <c r="A60" s="1">
        <v>42.1</v>
      </c>
      <c r="B60" s="1" t="s">
        <v>383</v>
      </c>
    </row>
    <row r="61">
      <c r="A61" s="1">
        <v>42.4</v>
      </c>
      <c r="B61" s="1" t="s">
        <v>120</v>
      </c>
    </row>
    <row r="62">
      <c r="A62" s="1">
        <v>43.2</v>
      </c>
      <c r="B62" s="1" t="s">
        <v>43</v>
      </c>
    </row>
    <row r="63">
      <c r="A63" s="1">
        <v>43.3</v>
      </c>
      <c r="B63" s="1" t="s">
        <v>121</v>
      </c>
    </row>
    <row r="64">
      <c r="A64" s="1">
        <v>45.9</v>
      </c>
      <c r="B64" s="1" t="s">
        <v>49</v>
      </c>
    </row>
    <row r="65">
      <c r="A65" s="1">
        <v>46.3</v>
      </c>
      <c r="B65" s="1" t="s">
        <v>106</v>
      </c>
    </row>
    <row r="66">
      <c r="A66" s="1">
        <v>46.4</v>
      </c>
      <c r="B66" s="1" t="s">
        <v>94</v>
      </c>
    </row>
    <row r="67">
      <c r="A67" s="1">
        <v>46.9</v>
      </c>
      <c r="B67" s="1" t="s">
        <v>60</v>
      </c>
    </row>
    <row r="68">
      <c r="A68" s="1">
        <v>48.3</v>
      </c>
      <c r="B68" s="1" t="s">
        <v>90</v>
      </c>
    </row>
    <row r="69">
      <c r="A69" s="1">
        <v>49.8</v>
      </c>
      <c r="B69" s="1" t="s">
        <v>126</v>
      </c>
    </row>
    <row r="70">
      <c r="A70" s="1">
        <v>53.3</v>
      </c>
      <c r="B70" s="1" t="s">
        <v>51</v>
      </c>
    </row>
  </sheetData>
  <autoFilter ref="$A$38:$B$70">
    <sortState ref="A38:B70">
      <sortCondition ref="A38:A70"/>
    </sortState>
  </autoFil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" t="s">
        <v>321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>
      <c r="A2" s="30" t="s">
        <v>323</v>
      </c>
      <c r="B2" s="31" t="s">
        <v>324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>
      <c r="A3" s="30" t="s">
        <v>323</v>
      </c>
      <c r="B3" s="31" t="s">
        <v>326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>
      <c r="A4" s="30" t="s">
        <v>323</v>
      </c>
      <c r="B4" s="31" t="s">
        <v>327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>
      <c r="A5" s="30" t="s">
        <v>323</v>
      </c>
      <c r="B5" s="31" t="s">
        <v>329</v>
      </c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>
      <c r="A6" s="30" t="s">
        <v>323</v>
      </c>
      <c r="B6" s="31" t="s">
        <v>332</v>
      </c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>
      <c r="A7" s="30" t="s">
        <v>323</v>
      </c>
      <c r="B7" s="31" t="s">
        <v>335</v>
      </c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>
      <c r="A8" s="30" t="s">
        <v>323</v>
      </c>
      <c r="B8" s="31" t="s">
        <v>336</v>
      </c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30" t="s">
        <v>323</v>
      </c>
      <c r="B9" s="31" t="s">
        <v>337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>
      <c r="A10" s="30" t="s">
        <v>323</v>
      </c>
      <c r="B10" s="31" t="s">
        <v>339</v>
      </c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>
      <c r="A11" s="30" t="s">
        <v>323</v>
      </c>
      <c r="B11" s="31" t="s">
        <v>341</v>
      </c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>
      <c r="A12" s="30" t="s">
        <v>323</v>
      </c>
      <c r="B12" s="31" t="s">
        <v>342</v>
      </c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>
      <c r="A13" s="30" t="s">
        <v>323</v>
      </c>
      <c r="B13" s="31" t="s">
        <v>344</v>
      </c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>
      <c r="A14" s="30" t="s">
        <v>323</v>
      </c>
      <c r="B14" s="31" t="s">
        <v>346</v>
      </c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>
      <c r="A15" s="30" t="s">
        <v>323</v>
      </c>
      <c r="B15" s="31" t="s">
        <v>347</v>
      </c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>
      <c r="A16" s="30" t="s">
        <v>323</v>
      </c>
      <c r="B16" s="31" t="s">
        <v>349</v>
      </c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30" t="s">
        <v>323</v>
      </c>
      <c r="B17" s="31" t="s">
        <v>350</v>
      </c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>
      <c r="A18" s="30" t="s">
        <v>323</v>
      </c>
      <c r="B18" s="31" t="s">
        <v>351</v>
      </c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>
      <c r="A19" s="30" t="s">
        <v>323</v>
      </c>
      <c r="B19" s="31" t="s">
        <v>352</v>
      </c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>
      <c r="A20" s="28" t="s">
        <v>354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>
      <c r="A21" s="28" t="s">
        <v>356</v>
      </c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>
      <c r="A22" s="28" t="s">
        <v>357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>
      <c r="A23" s="28" t="s">
        <v>358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>
      <c r="A24" s="28" t="s">
        <v>359</v>
      </c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>
      <c r="A25" s="28" t="s">
        <v>360</v>
      </c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>
      <c r="A26" s="28" t="s">
        <v>363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>
      <c r="A27" s="28" t="s">
        <v>364</v>
      </c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>
      <c r="A28" s="28" t="s">
        <v>367</v>
      </c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>
      <c r="A29" s="28" t="s">
        <v>370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>
      <c r="A30" s="28" t="s">
        <v>371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>
      <c r="A31" s="28" t="s">
        <v>372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446</v>
      </c>
      <c r="B1" s="34" t="s">
        <v>447</v>
      </c>
      <c r="C1" s="34" t="s">
        <v>448</v>
      </c>
      <c r="D1" s="1" t="s">
        <v>449</v>
      </c>
      <c r="E1" s="1" t="s">
        <v>450</v>
      </c>
      <c r="F1" s="1" t="s">
        <v>451</v>
      </c>
      <c r="G1" s="1" t="s">
        <v>452</v>
      </c>
      <c r="H1" s="1" t="s">
        <v>453</v>
      </c>
      <c r="I1" s="1" t="s">
        <v>454</v>
      </c>
      <c r="J1" s="1" t="s">
        <v>455</v>
      </c>
      <c r="K1" s="1" t="s">
        <v>456</v>
      </c>
      <c r="L1" s="1" t="s">
        <v>457</v>
      </c>
    </row>
    <row r="2" hidden="1">
      <c r="A2" s="34">
        <v>1.0</v>
      </c>
      <c r="B2" s="34">
        <v>1.0</v>
      </c>
      <c r="C2" s="34">
        <v>2.0</v>
      </c>
      <c r="D2" s="1" t="s">
        <v>43</v>
      </c>
      <c r="E2" s="1" t="s">
        <v>458</v>
      </c>
      <c r="F2" s="1" t="s">
        <v>459</v>
      </c>
      <c r="G2" s="1">
        <v>1.0</v>
      </c>
      <c r="H2" s="1">
        <v>7.0</v>
      </c>
      <c r="I2" s="1" t="s">
        <v>43</v>
      </c>
      <c r="J2" s="1" t="s">
        <v>461</v>
      </c>
      <c r="K2" s="1">
        <v>1.0</v>
      </c>
      <c r="L2" s="1" t="s">
        <v>461</v>
      </c>
    </row>
    <row r="3" hidden="1">
      <c r="A3" s="34">
        <v>1.0</v>
      </c>
      <c r="B3" s="34">
        <v>1.0</v>
      </c>
      <c r="C3" s="34">
        <v>3.0</v>
      </c>
      <c r="D3" s="1" t="s">
        <v>43</v>
      </c>
      <c r="E3" s="1" t="s">
        <v>458</v>
      </c>
      <c r="F3" s="1" t="s">
        <v>462</v>
      </c>
      <c r="G3" s="1">
        <v>1.0</v>
      </c>
      <c r="H3" s="1">
        <v>6.0</v>
      </c>
      <c r="I3" s="1" t="s">
        <v>43</v>
      </c>
      <c r="J3" s="1" t="s">
        <v>463</v>
      </c>
      <c r="K3" s="1">
        <v>1.0</v>
      </c>
      <c r="L3" s="1" t="s">
        <v>463</v>
      </c>
    </row>
    <row r="4" hidden="1">
      <c r="A4" s="34">
        <v>1.0</v>
      </c>
      <c r="B4" s="34">
        <v>1.0</v>
      </c>
      <c r="C4" s="34">
        <v>5.0</v>
      </c>
      <c r="D4" s="1" t="s">
        <v>43</v>
      </c>
      <c r="E4" s="1" t="s">
        <v>458</v>
      </c>
      <c r="F4" s="1" t="s">
        <v>464</v>
      </c>
      <c r="G4" s="1">
        <v>1.0</v>
      </c>
      <c r="H4" s="1">
        <v>2.0</v>
      </c>
      <c r="I4" s="1" t="s">
        <v>43</v>
      </c>
      <c r="J4" s="1" t="s">
        <v>465</v>
      </c>
      <c r="K4" s="1">
        <v>1.0</v>
      </c>
      <c r="L4" s="1" t="s">
        <v>465</v>
      </c>
    </row>
    <row r="5" hidden="1">
      <c r="A5" s="34">
        <v>1.0</v>
      </c>
      <c r="B5" s="34">
        <v>1.0</v>
      </c>
      <c r="C5" s="34">
        <v>6.0</v>
      </c>
      <c r="D5" s="1" t="s">
        <v>43</v>
      </c>
      <c r="E5" s="1" t="s">
        <v>458</v>
      </c>
      <c r="F5" s="1" t="s">
        <v>466</v>
      </c>
      <c r="G5" s="1">
        <v>1.0</v>
      </c>
      <c r="H5" s="1">
        <v>5.0</v>
      </c>
      <c r="I5" s="1" t="s">
        <v>43</v>
      </c>
      <c r="J5" s="1" t="s">
        <v>467</v>
      </c>
      <c r="K5" s="1">
        <v>1.0</v>
      </c>
      <c r="L5" s="1" t="s">
        <v>467</v>
      </c>
    </row>
    <row r="6" hidden="1">
      <c r="A6" s="34">
        <v>1.0</v>
      </c>
      <c r="B6" s="34">
        <v>1.0</v>
      </c>
      <c r="C6" s="34">
        <v>7.0</v>
      </c>
      <c r="D6" s="1" t="s">
        <v>43</v>
      </c>
      <c r="E6" s="1" t="s">
        <v>458</v>
      </c>
      <c r="F6" s="1" t="s">
        <v>469</v>
      </c>
      <c r="G6" s="1">
        <v>1.0</v>
      </c>
      <c r="H6" s="1">
        <v>1.0</v>
      </c>
      <c r="I6" s="1" t="s">
        <v>43</v>
      </c>
      <c r="J6" s="1" t="s">
        <v>43</v>
      </c>
      <c r="K6" s="1">
        <v>1.0</v>
      </c>
      <c r="L6" s="1" t="s">
        <v>43</v>
      </c>
    </row>
    <row r="7" hidden="1">
      <c r="A7" s="34">
        <v>1.0</v>
      </c>
      <c r="B7" s="34">
        <v>1.0</v>
      </c>
      <c r="C7" s="34">
        <v>8.0</v>
      </c>
      <c r="D7" s="1" t="s">
        <v>43</v>
      </c>
      <c r="E7" s="1" t="s">
        <v>458</v>
      </c>
      <c r="F7" s="1" t="s">
        <v>471</v>
      </c>
      <c r="G7" s="1">
        <v>1.0</v>
      </c>
      <c r="H7" s="1">
        <v>1.0</v>
      </c>
      <c r="I7" s="1" t="s">
        <v>43</v>
      </c>
      <c r="J7" s="1" t="s">
        <v>43</v>
      </c>
      <c r="K7" s="1">
        <v>1.0</v>
      </c>
      <c r="L7" s="1" t="s">
        <v>43</v>
      </c>
    </row>
    <row r="8" hidden="1">
      <c r="A8" s="34">
        <v>1.0</v>
      </c>
      <c r="B8" s="34">
        <v>1.0</v>
      </c>
      <c r="C8" s="34">
        <v>9.0</v>
      </c>
      <c r="D8" s="1" t="s">
        <v>43</v>
      </c>
      <c r="E8" s="1" t="s">
        <v>458</v>
      </c>
      <c r="F8" s="1" t="s">
        <v>473</v>
      </c>
      <c r="G8" s="1">
        <v>1.0</v>
      </c>
      <c r="H8" s="1">
        <v>1.0</v>
      </c>
      <c r="I8" s="1" t="s">
        <v>43</v>
      </c>
      <c r="J8" s="1" t="s">
        <v>43</v>
      </c>
      <c r="K8" s="1">
        <v>1.0</v>
      </c>
      <c r="L8" s="1" t="s">
        <v>43</v>
      </c>
    </row>
    <row r="9" hidden="1">
      <c r="A9" s="34">
        <v>1.0</v>
      </c>
      <c r="B9" s="34">
        <v>1.0</v>
      </c>
      <c r="C9" s="34">
        <v>10.0</v>
      </c>
      <c r="D9" s="1" t="s">
        <v>43</v>
      </c>
      <c r="E9" s="1" t="s">
        <v>458</v>
      </c>
      <c r="F9" s="1" t="s">
        <v>474</v>
      </c>
      <c r="G9" s="1">
        <v>1.0</v>
      </c>
      <c r="H9" s="1">
        <v>1.0</v>
      </c>
      <c r="I9" s="1" t="s">
        <v>43</v>
      </c>
      <c r="J9" s="1" t="s">
        <v>43</v>
      </c>
      <c r="K9" s="1">
        <v>1.0</v>
      </c>
      <c r="L9" s="1" t="s">
        <v>43</v>
      </c>
    </row>
    <row r="10" hidden="1">
      <c r="A10" s="34">
        <v>1.0</v>
      </c>
      <c r="B10" s="34">
        <v>1.0</v>
      </c>
      <c r="C10" s="34">
        <v>11.0</v>
      </c>
      <c r="D10" s="1" t="s">
        <v>43</v>
      </c>
      <c r="E10" s="1" t="s">
        <v>458</v>
      </c>
      <c r="F10" s="1" t="s">
        <v>476</v>
      </c>
      <c r="G10" s="1">
        <v>1.0</v>
      </c>
      <c r="H10" s="1">
        <v>1.0</v>
      </c>
      <c r="I10" s="1" t="s">
        <v>43</v>
      </c>
      <c r="J10" s="1" t="s">
        <v>43</v>
      </c>
      <c r="K10" s="1">
        <v>1.0</v>
      </c>
      <c r="L10" s="1" t="s">
        <v>43</v>
      </c>
    </row>
    <row r="11" hidden="1">
      <c r="A11" s="34">
        <v>1.0</v>
      </c>
      <c r="B11" s="34">
        <v>1.0</v>
      </c>
      <c r="C11" s="34">
        <v>12.0</v>
      </c>
      <c r="D11" s="1" t="s">
        <v>43</v>
      </c>
      <c r="E11" s="1" t="s">
        <v>458</v>
      </c>
      <c r="F11" s="1" t="s">
        <v>478</v>
      </c>
      <c r="G11" s="1">
        <v>1.0</v>
      </c>
      <c r="H11" s="1">
        <v>1.0</v>
      </c>
      <c r="I11" s="1" t="s">
        <v>43</v>
      </c>
      <c r="J11" s="1" t="s">
        <v>43</v>
      </c>
      <c r="K11" s="1">
        <v>1.0</v>
      </c>
      <c r="L11" s="1" t="s">
        <v>43</v>
      </c>
    </row>
    <row r="12" hidden="1">
      <c r="A12" s="34">
        <v>1.0</v>
      </c>
      <c r="B12" s="34">
        <v>19.0</v>
      </c>
      <c r="C12" s="34">
        <v>1.0</v>
      </c>
      <c r="D12" s="1" t="s">
        <v>43</v>
      </c>
      <c r="E12" s="1" t="s">
        <v>479</v>
      </c>
      <c r="F12" s="1" t="s">
        <v>480</v>
      </c>
      <c r="G12" s="1">
        <v>1.0</v>
      </c>
      <c r="H12" s="1">
        <v>1.0</v>
      </c>
      <c r="I12" s="1" t="s">
        <v>43</v>
      </c>
      <c r="J12" s="1" t="s">
        <v>43</v>
      </c>
      <c r="K12" s="1">
        <v>1.0</v>
      </c>
      <c r="L12" s="1" t="s">
        <v>43</v>
      </c>
    </row>
    <row r="13" hidden="1">
      <c r="A13" s="34">
        <v>1.0</v>
      </c>
      <c r="B13" s="34">
        <v>19.0</v>
      </c>
      <c r="C13" s="34">
        <v>4.0</v>
      </c>
      <c r="D13" s="1" t="s">
        <v>43</v>
      </c>
      <c r="E13" s="1" t="s">
        <v>479</v>
      </c>
      <c r="F13" s="1" t="s">
        <v>481</v>
      </c>
      <c r="G13" s="1">
        <v>1.0</v>
      </c>
      <c r="H13" s="1">
        <v>3.0</v>
      </c>
      <c r="I13" s="1" t="s">
        <v>43</v>
      </c>
      <c r="J13" s="1" t="s">
        <v>482</v>
      </c>
      <c r="K13" s="1">
        <v>1.0</v>
      </c>
      <c r="L13" s="1" t="s">
        <v>482</v>
      </c>
    </row>
    <row r="14" hidden="1">
      <c r="A14" s="34">
        <v>1.0</v>
      </c>
      <c r="B14" s="34">
        <v>19.0</v>
      </c>
      <c r="C14" s="34">
        <v>11.0</v>
      </c>
      <c r="D14" s="1" t="s">
        <v>43</v>
      </c>
      <c r="E14" s="1" t="s">
        <v>479</v>
      </c>
      <c r="F14" s="1" t="s">
        <v>476</v>
      </c>
      <c r="G14" s="1">
        <v>1.0</v>
      </c>
      <c r="H14" s="1">
        <v>1.0</v>
      </c>
      <c r="I14" s="1" t="s">
        <v>43</v>
      </c>
      <c r="J14" s="1" t="s">
        <v>43</v>
      </c>
      <c r="K14" s="1">
        <v>1.0</v>
      </c>
      <c r="L14" s="1" t="s">
        <v>43</v>
      </c>
    </row>
    <row r="15" hidden="1">
      <c r="A15" s="34">
        <v>2.0</v>
      </c>
      <c r="B15" s="34">
        <v>1.0</v>
      </c>
      <c r="C15" s="34">
        <v>2.0</v>
      </c>
      <c r="D15" s="1" t="s">
        <v>49</v>
      </c>
      <c r="E15" s="1" t="s">
        <v>484</v>
      </c>
      <c r="F15" s="1" t="s">
        <v>485</v>
      </c>
      <c r="G15" s="1">
        <v>2.0</v>
      </c>
      <c r="H15" s="1">
        <v>2.0</v>
      </c>
      <c r="I15" s="1" t="s">
        <v>49</v>
      </c>
      <c r="J15" s="1" t="s">
        <v>484</v>
      </c>
      <c r="K15" s="1">
        <v>1.0</v>
      </c>
      <c r="L15" s="1" t="s">
        <v>484</v>
      </c>
    </row>
    <row r="16" hidden="1">
      <c r="A16" s="34">
        <v>2.0</v>
      </c>
      <c r="B16" s="34">
        <v>1.0</v>
      </c>
      <c r="C16" s="34">
        <v>3.0</v>
      </c>
      <c r="D16" s="1" t="s">
        <v>49</v>
      </c>
      <c r="E16" s="1" t="s">
        <v>484</v>
      </c>
      <c r="F16" s="1" t="s">
        <v>486</v>
      </c>
      <c r="G16" s="1">
        <v>2.0</v>
      </c>
      <c r="H16" s="1">
        <v>2.0</v>
      </c>
      <c r="I16" s="1" t="s">
        <v>49</v>
      </c>
      <c r="J16" s="1" t="s">
        <v>484</v>
      </c>
      <c r="K16" s="1">
        <v>1.0</v>
      </c>
      <c r="L16" s="1" t="s">
        <v>484</v>
      </c>
    </row>
    <row r="17" hidden="1">
      <c r="A17" s="34">
        <v>2.0</v>
      </c>
      <c r="B17" s="34">
        <v>1.0</v>
      </c>
      <c r="C17" s="34">
        <v>4.0</v>
      </c>
      <c r="D17" s="1" t="s">
        <v>49</v>
      </c>
      <c r="E17" s="1" t="s">
        <v>484</v>
      </c>
      <c r="F17" s="1" t="s">
        <v>488</v>
      </c>
      <c r="G17" s="1">
        <v>2.0</v>
      </c>
      <c r="H17" s="1">
        <v>2.0</v>
      </c>
      <c r="I17" s="1" t="s">
        <v>49</v>
      </c>
      <c r="J17" s="1" t="s">
        <v>484</v>
      </c>
      <c r="K17" s="1">
        <v>1.0</v>
      </c>
      <c r="L17" s="1" t="s">
        <v>484</v>
      </c>
    </row>
    <row r="18" hidden="1">
      <c r="A18" s="34">
        <v>2.0</v>
      </c>
      <c r="B18" s="34">
        <v>1.0</v>
      </c>
      <c r="C18" s="34">
        <v>5.0</v>
      </c>
      <c r="D18" s="1" t="s">
        <v>49</v>
      </c>
      <c r="E18" s="1" t="s">
        <v>484</v>
      </c>
      <c r="F18" s="1" t="s">
        <v>489</v>
      </c>
      <c r="G18" s="1">
        <v>2.0</v>
      </c>
      <c r="H18" s="1">
        <v>2.0</v>
      </c>
      <c r="I18" s="1" t="s">
        <v>49</v>
      </c>
      <c r="J18" s="1" t="s">
        <v>484</v>
      </c>
      <c r="K18" s="1">
        <v>1.0</v>
      </c>
      <c r="L18" s="1" t="s">
        <v>484</v>
      </c>
    </row>
    <row r="19" hidden="1">
      <c r="A19" s="34">
        <v>2.0</v>
      </c>
      <c r="B19" s="34">
        <v>1.0</v>
      </c>
      <c r="C19" s="34">
        <v>10.0</v>
      </c>
      <c r="D19" s="1" t="s">
        <v>49</v>
      </c>
      <c r="E19" s="1" t="s">
        <v>484</v>
      </c>
      <c r="F19" s="1" t="s">
        <v>490</v>
      </c>
      <c r="G19" s="1">
        <v>2.0</v>
      </c>
      <c r="H19" s="1">
        <v>2.0</v>
      </c>
      <c r="I19" s="1" t="s">
        <v>49</v>
      </c>
      <c r="J19" s="1" t="s">
        <v>484</v>
      </c>
      <c r="K19" s="1">
        <v>185.0</v>
      </c>
      <c r="L19" s="1" t="s">
        <v>491</v>
      </c>
    </row>
    <row r="20" hidden="1">
      <c r="A20" s="34">
        <v>2.0</v>
      </c>
      <c r="B20" s="34">
        <v>1.0</v>
      </c>
      <c r="C20" s="34">
        <v>15.0</v>
      </c>
      <c r="D20" s="1" t="s">
        <v>49</v>
      </c>
      <c r="E20" s="1" t="s">
        <v>484</v>
      </c>
      <c r="F20" s="1" t="s">
        <v>493</v>
      </c>
      <c r="G20" s="1">
        <v>2.0</v>
      </c>
      <c r="H20" s="1">
        <v>2.0</v>
      </c>
      <c r="I20" s="1" t="s">
        <v>49</v>
      </c>
      <c r="J20" s="1" t="s">
        <v>484</v>
      </c>
      <c r="K20" s="1">
        <v>1.0</v>
      </c>
      <c r="L20" s="1" t="s">
        <v>484</v>
      </c>
    </row>
    <row r="21" hidden="1">
      <c r="A21" s="34">
        <v>2.0</v>
      </c>
      <c r="B21" s="34">
        <v>1.0</v>
      </c>
      <c r="C21" s="34">
        <v>16.0</v>
      </c>
      <c r="D21" s="1" t="s">
        <v>49</v>
      </c>
      <c r="E21" s="1" t="s">
        <v>484</v>
      </c>
      <c r="F21" s="1" t="s">
        <v>494</v>
      </c>
      <c r="G21" s="1">
        <v>2.0</v>
      </c>
      <c r="H21" s="1">
        <v>2.0</v>
      </c>
      <c r="I21" s="1" t="s">
        <v>49</v>
      </c>
      <c r="J21" s="1" t="s">
        <v>484</v>
      </c>
      <c r="K21" s="1">
        <v>1.0</v>
      </c>
      <c r="L21" s="1" t="s">
        <v>484</v>
      </c>
    </row>
    <row r="22" hidden="1">
      <c r="A22" s="34">
        <v>2.0</v>
      </c>
      <c r="B22" s="34">
        <v>1.0</v>
      </c>
      <c r="C22" s="34">
        <v>24.0</v>
      </c>
      <c r="D22" s="1" t="s">
        <v>49</v>
      </c>
      <c r="E22" s="1" t="s">
        <v>484</v>
      </c>
      <c r="F22" s="1" t="s">
        <v>495</v>
      </c>
      <c r="G22" s="1">
        <v>2.0</v>
      </c>
      <c r="H22" s="1">
        <v>2.0</v>
      </c>
      <c r="I22" s="1" t="s">
        <v>49</v>
      </c>
      <c r="J22" s="1" t="s">
        <v>484</v>
      </c>
      <c r="K22" s="1">
        <v>284.0</v>
      </c>
      <c r="L22" s="1" t="s">
        <v>496</v>
      </c>
    </row>
    <row r="23" hidden="1">
      <c r="A23" s="34">
        <v>2.0</v>
      </c>
      <c r="B23" s="34">
        <v>1.0</v>
      </c>
      <c r="C23" s="34">
        <v>26.0</v>
      </c>
      <c r="D23" s="1" t="s">
        <v>49</v>
      </c>
      <c r="E23" s="1" t="s">
        <v>484</v>
      </c>
      <c r="F23" s="1" t="s">
        <v>497</v>
      </c>
      <c r="G23" s="1">
        <v>2.0</v>
      </c>
      <c r="H23" s="1">
        <v>2.0</v>
      </c>
      <c r="I23" s="1" t="s">
        <v>49</v>
      </c>
      <c r="J23" s="1" t="s">
        <v>484</v>
      </c>
      <c r="K23" s="1">
        <v>1.0</v>
      </c>
      <c r="L23" s="1" t="s">
        <v>484</v>
      </c>
    </row>
    <row r="24" hidden="1">
      <c r="A24" s="34">
        <v>2.0</v>
      </c>
      <c r="B24" s="34">
        <v>1.0</v>
      </c>
      <c r="C24" s="34">
        <v>28.0</v>
      </c>
      <c r="D24" s="1" t="s">
        <v>49</v>
      </c>
      <c r="E24" s="1" t="s">
        <v>484</v>
      </c>
      <c r="F24" s="1" t="s">
        <v>498</v>
      </c>
      <c r="G24" s="1">
        <v>2.0</v>
      </c>
      <c r="H24" s="1">
        <v>2.0</v>
      </c>
      <c r="I24" s="1" t="s">
        <v>49</v>
      </c>
      <c r="J24" s="1" t="s">
        <v>484</v>
      </c>
      <c r="K24" s="1">
        <v>1.0</v>
      </c>
      <c r="L24" s="1" t="s">
        <v>484</v>
      </c>
    </row>
    <row r="25" hidden="1">
      <c r="A25" s="34">
        <v>2.0</v>
      </c>
      <c r="B25" s="34">
        <v>1.0</v>
      </c>
      <c r="C25" s="34">
        <v>31.0</v>
      </c>
      <c r="D25" s="1" t="s">
        <v>49</v>
      </c>
      <c r="E25" s="1" t="s">
        <v>484</v>
      </c>
      <c r="F25" s="1" t="s">
        <v>499</v>
      </c>
      <c r="G25" s="1">
        <v>2.0</v>
      </c>
      <c r="H25" s="1">
        <v>2.0</v>
      </c>
      <c r="I25" s="1" t="s">
        <v>49</v>
      </c>
      <c r="J25" s="1" t="s">
        <v>484</v>
      </c>
      <c r="K25" s="1">
        <v>1.0</v>
      </c>
      <c r="L25" s="1" t="s">
        <v>484</v>
      </c>
    </row>
    <row r="26" hidden="1">
      <c r="A26" s="34">
        <v>2.0</v>
      </c>
      <c r="B26" s="34">
        <v>1.0</v>
      </c>
      <c r="C26" s="34">
        <v>37.0</v>
      </c>
      <c r="D26" s="1" t="s">
        <v>49</v>
      </c>
      <c r="E26" s="1" t="s">
        <v>484</v>
      </c>
      <c r="F26" s="1" t="s">
        <v>500</v>
      </c>
      <c r="G26" s="1">
        <v>2.0</v>
      </c>
      <c r="H26" s="1">
        <v>2.0</v>
      </c>
      <c r="I26" s="1" t="s">
        <v>49</v>
      </c>
      <c r="J26" s="1" t="s">
        <v>484</v>
      </c>
      <c r="K26" s="1">
        <v>1.0</v>
      </c>
      <c r="L26" s="1" t="s">
        <v>484</v>
      </c>
    </row>
    <row r="27" hidden="1">
      <c r="A27" s="34">
        <v>2.0</v>
      </c>
      <c r="B27" s="34">
        <v>1.0</v>
      </c>
      <c r="C27" s="34">
        <v>40.0</v>
      </c>
      <c r="D27" s="1" t="s">
        <v>49</v>
      </c>
      <c r="E27" s="1" t="s">
        <v>484</v>
      </c>
      <c r="F27" s="1" t="s">
        <v>502</v>
      </c>
      <c r="G27" s="1">
        <v>2.0</v>
      </c>
      <c r="H27" s="1">
        <v>2.0</v>
      </c>
      <c r="I27" s="1" t="s">
        <v>49</v>
      </c>
      <c r="J27" s="1" t="s">
        <v>484</v>
      </c>
      <c r="K27" s="1">
        <v>1.0</v>
      </c>
      <c r="L27" s="1" t="s">
        <v>484</v>
      </c>
    </row>
    <row r="28" hidden="1">
      <c r="A28" s="34">
        <v>2.0</v>
      </c>
      <c r="B28" s="34">
        <v>2.0</v>
      </c>
      <c r="C28" s="34">
        <v>39.0</v>
      </c>
      <c r="D28" s="1" t="s">
        <v>49</v>
      </c>
      <c r="E28" s="1" t="s">
        <v>503</v>
      </c>
      <c r="F28" s="1" t="s">
        <v>504</v>
      </c>
      <c r="G28" s="1">
        <v>2.0</v>
      </c>
      <c r="H28" s="1">
        <v>3.0</v>
      </c>
      <c r="I28" s="1" t="s">
        <v>49</v>
      </c>
      <c r="J28" s="1" t="s">
        <v>503</v>
      </c>
      <c r="K28" s="1">
        <v>1.0</v>
      </c>
      <c r="L28" s="1" t="s">
        <v>503</v>
      </c>
    </row>
    <row r="29" hidden="1">
      <c r="A29" s="34">
        <v>2.0</v>
      </c>
      <c r="B29" s="34">
        <v>3.0</v>
      </c>
      <c r="C29" s="34">
        <v>8.0</v>
      </c>
      <c r="D29" s="1" t="s">
        <v>49</v>
      </c>
      <c r="E29" s="1" t="s">
        <v>506</v>
      </c>
      <c r="F29" s="1" t="s">
        <v>507</v>
      </c>
      <c r="G29" s="1">
        <v>2.0</v>
      </c>
      <c r="H29" s="1">
        <v>1.0</v>
      </c>
      <c r="I29" s="1" t="s">
        <v>49</v>
      </c>
      <c r="J29" s="1" t="s">
        <v>506</v>
      </c>
      <c r="K29" s="1">
        <v>1.0</v>
      </c>
      <c r="L29" s="1" t="s">
        <v>506</v>
      </c>
    </row>
    <row r="30" hidden="1">
      <c r="A30" s="34">
        <v>2.0</v>
      </c>
      <c r="B30" s="34">
        <v>3.0</v>
      </c>
      <c r="C30" s="34">
        <v>11.0</v>
      </c>
      <c r="D30" s="1" t="s">
        <v>49</v>
      </c>
      <c r="E30" s="1" t="s">
        <v>506</v>
      </c>
      <c r="F30" s="1" t="s">
        <v>508</v>
      </c>
      <c r="G30" s="1">
        <v>2.0</v>
      </c>
      <c r="H30" s="1">
        <v>1.0</v>
      </c>
      <c r="I30" s="1" t="s">
        <v>49</v>
      </c>
      <c r="J30" s="1" t="s">
        <v>506</v>
      </c>
      <c r="K30" s="1">
        <v>247.0</v>
      </c>
      <c r="L30" s="1" t="s">
        <v>509</v>
      </c>
    </row>
    <row r="31" hidden="1">
      <c r="A31" s="34">
        <v>2.0</v>
      </c>
      <c r="B31" s="34">
        <v>3.0</v>
      </c>
      <c r="C31" s="34">
        <v>13.0</v>
      </c>
      <c r="D31" s="1" t="s">
        <v>49</v>
      </c>
      <c r="E31" s="1" t="s">
        <v>506</v>
      </c>
      <c r="F31" s="1" t="s">
        <v>510</v>
      </c>
      <c r="G31" s="1">
        <v>2.0</v>
      </c>
      <c r="H31" s="1">
        <v>1.0</v>
      </c>
      <c r="I31" s="1" t="s">
        <v>49</v>
      </c>
      <c r="J31" s="1" t="s">
        <v>506</v>
      </c>
      <c r="K31" s="1">
        <v>857.0</v>
      </c>
      <c r="L31" s="1" t="s">
        <v>511</v>
      </c>
    </row>
    <row r="32" hidden="1">
      <c r="A32" s="34">
        <v>2.0</v>
      </c>
      <c r="B32" s="34">
        <v>3.0</v>
      </c>
      <c r="C32" s="34">
        <v>14.0</v>
      </c>
      <c r="D32" s="1" t="s">
        <v>49</v>
      </c>
      <c r="E32" s="1" t="s">
        <v>506</v>
      </c>
      <c r="F32" s="1" t="s">
        <v>514</v>
      </c>
      <c r="G32" s="1">
        <v>2.0</v>
      </c>
      <c r="H32" s="1">
        <v>1.0</v>
      </c>
      <c r="I32" s="1" t="s">
        <v>49</v>
      </c>
      <c r="J32" s="1" t="s">
        <v>506</v>
      </c>
      <c r="K32" s="1">
        <v>617.0</v>
      </c>
      <c r="L32" s="1" t="s">
        <v>515</v>
      </c>
    </row>
    <row r="33" hidden="1">
      <c r="A33" s="34">
        <v>2.0</v>
      </c>
      <c r="B33" s="34">
        <v>3.0</v>
      </c>
      <c r="C33" s="34">
        <v>22.0</v>
      </c>
      <c r="D33" s="1" t="s">
        <v>49</v>
      </c>
      <c r="E33" s="1" t="s">
        <v>506</v>
      </c>
      <c r="F33" s="1" t="s">
        <v>516</v>
      </c>
      <c r="G33" s="1">
        <v>2.0</v>
      </c>
      <c r="H33" s="1">
        <v>1.0</v>
      </c>
      <c r="I33" s="1" t="s">
        <v>49</v>
      </c>
      <c r="J33" s="1" t="s">
        <v>506</v>
      </c>
      <c r="K33" s="1">
        <v>243.0</v>
      </c>
      <c r="L33" s="1" t="s">
        <v>517</v>
      </c>
    </row>
    <row r="34" hidden="1">
      <c r="A34" s="34">
        <v>2.0</v>
      </c>
      <c r="B34" s="34">
        <v>3.0</v>
      </c>
      <c r="C34" s="34">
        <v>25.0</v>
      </c>
      <c r="D34" s="1" t="s">
        <v>49</v>
      </c>
      <c r="E34" s="1" t="s">
        <v>506</v>
      </c>
      <c r="F34" s="1" t="s">
        <v>518</v>
      </c>
      <c r="G34" s="1">
        <v>2.0</v>
      </c>
      <c r="H34" s="1">
        <v>1.0</v>
      </c>
      <c r="I34" s="1" t="s">
        <v>49</v>
      </c>
      <c r="J34" s="1" t="s">
        <v>506</v>
      </c>
      <c r="K34" s="1">
        <v>1.0</v>
      </c>
      <c r="L34" s="1" t="s">
        <v>506</v>
      </c>
    </row>
    <row r="35" hidden="1">
      <c r="A35" s="34">
        <v>2.0</v>
      </c>
      <c r="B35" s="34">
        <v>3.0</v>
      </c>
      <c r="C35" s="34">
        <v>29.0</v>
      </c>
      <c r="D35" s="1" t="s">
        <v>49</v>
      </c>
      <c r="E35" s="1" t="s">
        <v>506</v>
      </c>
      <c r="F35" s="1" t="s">
        <v>521</v>
      </c>
      <c r="G35" s="1">
        <v>2.0</v>
      </c>
      <c r="H35" s="1">
        <v>1.0</v>
      </c>
      <c r="I35" s="1" t="s">
        <v>49</v>
      </c>
      <c r="J35" s="1" t="s">
        <v>506</v>
      </c>
      <c r="K35" s="1">
        <v>198.0</v>
      </c>
      <c r="L35" s="1" t="s">
        <v>522</v>
      </c>
    </row>
    <row r="36" hidden="1">
      <c r="A36" s="34">
        <v>2.0</v>
      </c>
      <c r="B36" s="34">
        <v>3.0</v>
      </c>
      <c r="C36" s="34">
        <v>32.0</v>
      </c>
      <c r="D36" s="1" t="s">
        <v>49</v>
      </c>
      <c r="E36" s="1" t="s">
        <v>506</v>
      </c>
      <c r="F36" s="1" t="s">
        <v>523</v>
      </c>
      <c r="G36" s="1">
        <v>2.0</v>
      </c>
      <c r="H36" s="1">
        <v>1.0</v>
      </c>
      <c r="I36" s="1" t="s">
        <v>49</v>
      </c>
      <c r="J36" s="1" t="s">
        <v>506</v>
      </c>
      <c r="K36" s="1">
        <v>1.0</v>
      </c>
      <c r="L36" s="1" t="s">
        <v>506</v>
      </c>
    </row>
    <row r="37" hidden="1">
      <c r="A37" s="34">
        <v>2.0</v>
      </c>
      <c r="B37" s="34">
        <v>4.0</v>
      </c>
      <c r="C37" s="34">
        <v>9.0</v>
      </c>
      <c r="D37" s="1" t="s">
        <v>49</v>
      </c>
      <c r="E37" s="1" t="s">
        <v>525</v>
      </c>
      <c r="F37" s="1" t="s">
        <v>526</v>
      </c>
      <c r="G37" s="1">
        <v>26.0</v>
      </c>
      <c r="H37" s="1">
        <v>55.0</v>
      </c>
      <c r="I37" s="1" t="s">
        <v>121</v>
      </c>
      <c r="J37" s="1" t="s">
        <v>525</v>
      </c>
      <c r="K37" s="1">
        <v>17.0</v>
      </c>
      <c r="L37" s="1" t="s">
        <v>527</v>
      </c>
    </row>
    <row r="38" hidden="1">
      <c r="A38" s="34">
        <v>2.0</v>
      </c>
      <c r="B38" s="34">
        <v>4.0</v>
      </c>
      <c r="C38" s="34">
        <v>38.0</v>
      </c>
      <c r="D38" s="1" t="s">
        <v>49</v>
      </c>
      <c r="E38" s="1" t="s">
        <v>525</v>
      </c>
      <c r="F38" s="1" t="s">
        <v>529</v>
      </c>
      <c r="G38" s="1">
        <v>26.0</v>
      </c>
      <c r="H38" s="1">
        <v>55.0</v>
      </c>
      <c r="I38" s="1" t="s">
        <v>121</v>
      </c>
      <c r="J38" s="1" t="s">
        <v>525</v>
      </c>
      <c r="K38" s="1">
        <v>1.0</v>
      </c>
      <c r="L38" s="1" t="s">
        <v>525</v>
      </c>
    </row>
    <row r="39" hidden="1">
      <c r="A39" s="34">
        <v>2.0</v>
      </c>
      <c r="B39" s="34">
        <v>5.0</v>
      </c>
      <c r="C39" s="34">
        <v>7.0</v>
      </c>
      <c r="D39" s="1" t="s">
        <v>49</v>
      </c>
      <c r="E39" s="1" t="s">
        <v>531</v>
      </c>
      <c r="F39" s="1" t="s">
        <v>532</v>
      </c>
      <c r="G39" s="1">
        <v>2.0</v>
      </c>
      <c r="H39" s="1">
        <v>4.0</v>
      </c>
      <c r="I39" s="1" t="s">
        <v>49</v>
      </c>
      <c r="J39" s="1" t="s">
        <v>531</v>
      </c>
      <c r="K39" s="1">
        <v>1.0</v>
      </c>
      <c r="L39" s="1" t="s">
        <v>531</v>
      </c>
    </row>
    <row r="40" hidden="1">
      <c r="A40" s="34">
        <v>2.0</v>
      </c>
      <c r="B40" s="34">
        <v>5.0</v>
      </c>
      <c r="C40" s="34">
        <v>17.0</v>
      </c>
      <c r="D40" s="1" t="s">
        <v>49</v>
      </c>
      <c r="E40" s="1" t="s">
        <v>531</v>
      </c>
      <c r="F40" s="1" t="s">
        <v>534</v>
      </c>
      <c r="G40" s="1">
        <v>2.0</v>
      </c>
      <c r="H40" s="1">
        <v>5.0</v>
      </c>
      <c r="I40" s="1" t="s">
        <v>49</v>
      </c>
      <c r="J40" s="1" t="s">
        <v>535</v>
      </c>
      <c r="K40" s="1">
        <v>1.0</v>
      </c>
      <c r="L40" s="1" t="s">
        <v>535</v>
      </c>
    </row>
    <row r="41" hidden="1">
      <c r="A41" s="34">
        <v>2.0</v>
      </c>
      <c r="B41" s="34">
        <v>5.0</v>
      </c>
      <c r="C41" s="34">
        <v>18.0</v>
      </c>
      <c r="D41" s="1" t="s">
        <v>49</v>
      </c>
      <c r="E41" s="1" t="s">
        <v>531</v>
      </c>
      <c r="F41" s="1" t="s">
        <v>536</v>
      </c>
      <c r="G41" s="1">
        <v>2.0</v>
      </c>
      <c r="H41" s="1">
        <v>4.0</v>
      </c>
      <c r="I41" s="1" t="s">
        <v>49</v>
      </c>
      <c r="J41" s="1" t="s">
        <v>531</v>
      </c>
      <c r="K41" s="1">
        <v>1.0</v>
      </c>
      <c r="L41" s="1" t="s">
        <v>531</v>
      </c>
    </row>
    <row r="42" hidden="1">
      <c r="A42" s="34">
        <v>2.0</v>
      </c>
      <c r="B42" s="34">
        <v>5.0</v>
      </c>
      <c r="C42" s="34">
        <v>19.0</v>
      </c>
      <c r="D42" s="1" t="s">
        <v>49</v>
      </c>
      <c r="E42" s="1" t="s">
        <v>531</v>
      </c>
      <c r="F42" s="1" t="s">
        <v>540</v>
      </c>
      <c r="G42" s="1">
        <v>2.0</v>
      </c>
      <c r="H42" s="1">
        <v>4.0</v>
      </c>
      <c r="I42" s="1" t="s">
        <v>49</v>
      </c>
      <c r="J42" s="1" t="s">
        <v>531</v>
      </c>
      <c r="K42" s="1">
        <v>1.0</v>
      </c>
      <c r="L42" s="1" t="s">
        <v>531</v>
      </c>
    </row>
    <row r="43" hidden="1">
      <c r="A43" s="34">
        <v>2.0</v>
      </c>
      <c r="B43" s="34">
        <v>5.0</v>
      </c>
      <c r="C43" s="34">
        <v>21.0</v>
      </c>
      <c r="D43" s="1" t="s">
        <v>49</v>
      </c>
      <c r="E43" s="1" t="s">
        <v>531</v>
      </c>
      <c r="F43" s="1" t="s">
        <v>541</v>
      </c>
      <c r="G43" s="1">
        <v>2.0</v>
      </c>
      <c r="H43" s="1">
        <v>5.0</v>
      </c>
      <c r="I43" s="1" t="s">
        <v>49</v>
      </c>
      <c r="J43" s="1" t="s">
        <v>535</v>
      </c>
      <c r="K43" s="1">
        <v>1.0</v>
      </c>
      <c r="L43" s="1" t="s">
        <v>535</v>
      </c>
    </row>
    <row r="44" hidden="1">
      <c r="A44" s="34">
        <v>2.0</v>
      </c>
      <c r="B44" s="34">
        <v>5.0</v>
      </c>
      <c r="C44" s="34">
        <v>27.0</v>
      </c>
      <c r="D44" s="1" t="s">
        <v>49</v>
      </c>
      <c r="E44" s="1" t="s">
        <v>531</v>
      </c>
      <c r="F44" s="1" t="s">
        <v>53</v>
      </c>
      <c r="G44" s="1">
        <v>2.0</v>
      </c>
      <c r="H44" s="1">
        <v>4.0</v>
      </c>
      <c r="I44" s="1" t="s">
        <v>49</v>
      </c>
      <c r="J44" s="1" t="s">
        <v>531</v>
      </c>
      <c r="K44" s="1">
        <v>1.0</v>
      </c>
      <c r="L44" s="1" t="s">
        <v>531</v>
      </c>
    </row>
    <row r="45" hidden="1">
      <c r="A45" s="34">
        <v>2.0</v>
      </c>
      <c r="B45" s="34">
        <v>5.0</v>
      </c>
      <c r="C45" s="34">
        <v>33.0</v>
      </c>
      <c r="D45" s="1" t="s">
        <v>49</v>
      </c>
      <c r="E45" s="1" t="s">
        <v>531</v>
      </c>
      <c r="F45" s="1" t="s">
        <v>544</v>
      </c>
      <c r="G45" s="1">
        <v>2.0</v>
      </c>
      <c r="H45" s="1">
        <v>4.0</v>
      </c>
      <c r="I45" s="1" t="s">
        <v>49</v>
      </c>
      <c r="J45" s="1" t="s">
        <v>531</v>
      </c>
      <c r="K45" s="1">
        <v>1.0</v>
      </c>
      <c r="L45" s="1" t="s">
        <v>531</v>
      </c>
    </row>
    <row r="46" hidden="1">
      <c r="A46" s="34">
        <v>2.0</v>
      </c>
      <c r="B46" s="34">
        <v>5.0</v>
      </c>
      <c r="C46" s="34">
        <v>34.0</v>
      </c>
      <c r="D46" s="1" t="s">
        <v>49</v>
      </c>
      <c r="E46" s="1" t="s">
        <v>531</v>
      </c>
      <c r="F46" s="1" t="s">
        <v>546</v>
      </c>
      <c r="G46" s="1">
        <v>2.0</v>
      </c>
      <c r="H46" s="1">
        <v>4.0</v>
      </c>
      <c r="I46" s="1" t="s">
        <v>49</v>
      </c>
      <c r="J46" s="1" t="s">
        <v>531</v>
      </c>
      <c r="K46" s="1">
        <v>1.0</v>
      </c>
      <c r="L46" s="1" t="s">
        <v>531</v>
      </c>
    </row>
    <row r="47" hidden="1">
      <c r="A47" s="34">
        <v>2.0</v>
      </c>
      <c r="B47" s="34">
        <v>5.0</v>
      </c>
      <c r="C47" s="34">
        <v>35.0</v>
      </c>
      <c r="D47" s="1" t="s">
        <v>49</v>
      </c>
      <c r="E47" s="1" t="s">
        <v>531</v>
      </c>
      <c r="F47" s="1" t="s">
        <v>549</v>
      </c>
      <c r="G47" s="1">
        <v>2.0</v>
      </c>
      <c r="H47" s="1">
        <v>4.0</v>
      </c>
      <c r="I47" s="1" t="s">
        <v>49</v>
      </c>
      <c r="J47" s="1" t="s">
        <v>531</v>
      </c>
      <c r="K47" s="1">
        <v>1.0</v>
      </c>
      <c r="L47" s="1" t="s">
        <v>531</v>
      </c>
    </row>
    <row r="48" hidden="1">
      <c r="A48" s="34">
        <v>2.0</v>
      </c>
      <c r="B48" s="34">
        <v>5.0</v>
      </c>
      <c r="C48" s="34">
        <v>36.0</v>
      </c>
      <c r="D48" s="1" t="s">
        <v>49</v>
      </c>
      <c r="E48" s="1" t="s">
        <v>531</v>
      </c>
      <c r="F48" s="1" t="s">
        <v>555</v>
      </c>
      <c r="G48" s="1">
        <v>2.0</v>
      </c>
      <c r="H48" s="1">
        <v>4.0</v>
      </c>
      <c r="I48" s="1" t="s">
        <v>49</v>
      </c>
      <c r="J48" s="1" t="s">
        <v>531</v>
      </c>
      <c r="K48" s="1">
        <v>1.0</v>
      </c>
      <c r="L48" s="1" t="s">
        <v>531</v>
      </c>
    </row>
    <row r="49" hidden="1">
      <c r="A49" s="34">
        <v>3.0</v>
      </c>
      <c r="B49" s="34">
        <v>1.0</v>
      </c>
      <c r="C49" s="34">
        <v>1.0</v>
      </c>
      <c r="D49" s="1" t="s">
        <v>51</v>
      </c>
      <c r="E49" s="1" t="s">
        <v>557</v>
      </c>
      <c r="F49" s="1" t="s">
        <v>558</v>
      </c>
      <c r="G49" s="1">
        <v>3.0</v>
      </c>
      <c r="H49" s="1">
        <v>3.0</v>
      </c>
      <c r="I49" s="1" t="s">
        <v>51</v>
      </c>
      <c r="J49" s="1" t="s">
        <v>557</v>
      </c>
      <c r="K49" s="1">
        <v>1.0</v>
      </c>
      <c r="L49" s="1" t="s">
        <v>557</v>
      </c>
    </row>
    <row r="50" hidden="1">
      <c r="A50" s="34">
        <v>3.0</v>
      </c>
      <c r="B50" s="34">
        <v>1.0</v>
      </c>
      <c r="C50" s="34">
        <v>2.0</v>
      </c>
      <c r="D50" s="1" t="s">
        <v>51</v>
      </c>
      <c r="E50" s="1" t="s">
        <v>557</v>
      </c>
      <c r="F50" s="1" t="s">
        <v>560</v>
      </c>
      <c r="G50" s="1">
        <v>3.0</v>
      </c>
      <c r="H50" s="1">
        <v>1.0</v>
      </c>
      <c r="I50" s="1" t="s">
        <v>51</v>
      </c>
      <c r="J50" s="1" t="s">
        <v>561</v>
      </c>
      <c r="K50" s="1">
        <v>1.0</v>
      </c>
      <c r="L50" s="1" t="s">
        <v>562</v>
      </c>
    </row>
    <row r="51" hidden="1">
      <c r="A51" s="34">
        <v>3.0</v>
      </c>
      <c r="B51" s="34">
        <v>1.0</v>
      </c>
      <c r="C51" s="34">
        <v>3.0</v>
      </c>
      <c r="D51" s="1" t="s">
        <v>51</v>
      </c>
      <c r="E51" s="1" t="s">
        <v>557</v>
      </c>
      <c r="F51" s="1" t="s">
        <v>563</v>
      </c>
      <c r="G51" s="1">
        <v>3.0</v>
      </c>
      <c r="H51" s="1">
        <v>1.0</v>
      </c>
      <c r="I51" s="1" t="s">
        <v>51</v>
      </c>
      <c r="J51" s="1" t="s">
        <v>561</v>
      </c>
      <c r="K51" s="1">
        <v>133.0</v>
      </c>
      <c r="L51" s="1" t="s">
        <v>564</v>
      </c>
    </row>
    <row r="52" hidden="1">
      <c r="A52" s="34">
        <v>3.0</v>
      </c>
      <c r="B52" s="34">
        <v>1.0</v>
      </c>
      <c r="C52" s="34">
        <v>4.0</v>
      </c>
      <c r="D52" s="1" t="s">
        <v>51</v>
      </c>
      <c r="E52" s="1" t="s">
        <v>557</v>
      </c>
      <c r="F52" s="1" t="s">
        <v>565</v>
      </c>
      <c r="G52" s="1">
        <v>3.0</v>
      </c>
      <c r="H52" s="1">
        <v>1.0</v>
      </c>
      <c r="I52" s="1" t="s">
        <v>51</v>
      </c>
      <c r="J52" s="1" t="s">
        <v>561</v>
      </c>
      <c r="K52" s="1">
        <v>280.0</v>
      </c>
      <c r="L52" s="1" t="s">
        <v>566</v>
      </c>
    </row>
    <row r="53" hidden="1">
      <c r="A53" s="34">
        <v>3.0</v>
      </c>
      <c r="B53" s="34">
        <v>1.0</v>
      </c>
      <c r="C53" s="34">
        <v>8.0</v>
      </c>
      <c r="D53" s="1" t="s">
        <v>51</v>
      </c>
      <c r="E53" s="1" t="s">
        <v>557</v>
      </c>
      <c r="F53" s="1" t="s">
        <v>567</v>
      </c>
      <c r="G53" s="1">
        <v>3.0</v>
      </c>
      <c r="H53" s="1">
        <v>2.0</v>
      </c>
      <c r="I53" s="1" t="s">
        <v>51</v>
      </c>
      <c r="J53" s="1" t="s">
        <v>568</v>
      </c>
      <c r="K53" s="1">
        <v>1.0</v>
      </c>
      <c r="L53" s="1" t="s">
        <v>569</v>
      </c>
    </row>
    <row r="54" hidden="1">
      <c r="A54" s="34">
        <v>3.0</v>
      </c>
      <c r="B54" s="34">
        <v>1.0</v>
      </c>
      <c r="C54" s="34">
        <v>10.0</v>
      </c>
      <c r="D54" s="1" t="s">
        <v>51</v>
      </c>
      <c r="E54" s="1" t="s">
        <v>557</v>
      </c>
      <c r="F54" s="1" t="s">
        <v>570</v>
      </c>
      <c r="G54" s="1">
        <v>3.0</v>
      </c>
      <c r="H54" s="1">
        <v>1.0</v>
      </c>
      <c r="I54" s="1" t="s">
        <v>51</v>
      </c>
      <c r="J54" s="1" t="s">
        <v>561</v>
      </c>
      <c r="K54" s="1">
        <v>3.0</v>
      </c>
      <c r="L54" s="1" t="s">
        <v>571</v>
      </c>
    </row>
    <row r="55" hidden="1">
      <c r="A55" s="34">
        <v>3.0</v>
      </c>
      <c r="B55" s="34">
        <v>1.0</v>
      </c>
      <c r="C55" s="34">
        <v>11.0</v>
      </c>
      <c r="D55" s="1" t="s">
        <v>51</v>
      </c>
      <c r="E55" s="1" t="s">
        <v>557</v>
      </c>
      <c r="F55" s="1" t="s">
        <v>572</v>
      </c>
      <c r="G55" s="1">
        <v>3.0</v>
      </c>
      <c r="H55" s="1">
        <v>9.0</v>
      </c>
      <c r="I55" s="1" t="s">
        <v>51</v>
      </c>
      <c r="J55" s="1" t="s">
        <v>573</v>
      </c>
      <c r="K55" s="1">
        <v>1.0</v>
      </c>
      <c r="L55" s="1" t="s">
        <v>573</v>
      </c>
    </row>
    <row r="56" hidden="1">
      <c r="A56" s="34">
        <v>3.0</v>
      </c>
      <c r="B56" s="34">
        <v>1.0</v>
      </c>
      <c r="C56" s="34">
        <v>12.0</v>
      </c>
      <c r="D56" s="1" t="s">
        <v>51</v>
      </c>
      <c r="E56" s="1" t="s">
        <v>557</v>
      </c>
      <c r="F56" s="1" t="s">
        <v>576</v>
      </c>
      <c r="G56" s="1">
        <v>2.0</v>
      </c>
      <c r="H56" s="1">
        <v>1.0</v>
      </c>
      <c r="I56" s="1" t="s">
        <v>49</v>
      </c>
      <c r="J56" s="1" t="s">
        <v>506</v>
      </c>
      <c r="K56" s="1">
        <v>124.0</v>
      </c>
      <c r="L56" s="1" t="s">
        <v>577</v>
      </c>
    </row>
    <row r="57" hidden="1">
      <c r="A57" s="34">
        <v>3.0</v>
      </c>
      <c r="B57" s="34">
        <v>1.0</v>
      </c>
      <c r="C57" s="34">
        <v>13.0</v>
      </c>
      <c r="D57" s="1" t="s">
        <v>51</v>
      </c>
      <c r="E57" s="1" t="s">
        <v>557</v>
      </c>
      <c r="F57" s="1" t="s">
        <v>579</v>
      </c>
      <c r="G57" s="1">
        <v>2.0</v>
      </c>
      <c r="H57" s="1">
        <v>1.0</v>
      </c>
      <c r="I57" s="1" t="s">
        <v>49</v>
      </c>
      <c r="J57" s="1" t="s">
        <v>506</v>
      </c>
      <c r="K57" s="1">
        <v>124.0</v>
      </c>
      <c r="L57" s="1" t="s">
        <v>577</v>
      </c>
    </row>
    <row r="58" hidden="1">
      <c r="A58" s="34">
        <v>3.0</v>
      </c>
      <c r="B58" s="34">
        <v>1.0</v>
      </c>
      <c r="C58" s="34">
        <v>14.0</v>
      </c>
      <c r="D58" s="1" t="s">
        <v>51</v>
      </c>
      <c r="E58" s="1" t="s">
        <v>557</v>
      </c>
      <c r="F58" s="1" t="s">
        <v>582</v>
      </c>
      <c r="G58" s="1">
        <v>3.0</v>
      </c>
      <c r="H58" s="1">
        <v>2.0</v>
      </c>
      <c r="I58" s="1" t="s">
        <v>51</v>
      </c>
      <c r="J58" s="1" t="s">
        <v>568</v>
      </c>
      <c r="K58" s="1">
        <v>15.0</v>
      </c>
      <c r="L58" s="1" t="s">
        <v>583</v>
      </c>
    </row>
    <row r="59" hidden="1">
      <c r="A59" s="34">
        <v>3.0</v>
      </c>
      <c r="B59" s="34">
        <v>1.0</v>
      </c>
      <c r="C59" s="34">
        <v>15.0</v>
      </c>
      <c r="D59" s="1" t="s">
        <v>51</v>
      </c>
      <c r="E59" s="1" t="s">
        <v>557</v>
      </c>
      <c r="F59" s="1" t="s">
        <v>584</v>
      </c>
      <c r="G59" s="1">
        <v>3.0</v>
      </c>
      <c r="H59" s="1">
        <v>2.0</v>
      </c>
      <c r="I59" s="1" t="s">
        <v>51</v>
      </c>
      <c r="J59" s="1" t="s">
        <v>568</v>
      </c>
      <c r="K59" s="1">
        <v>14.0</v>
      </c>
      <c r="L59" s="1" t="s">
        <v>586</v>
      </c>
    </row>
    <row r="60" hidden="1">
      <c r="A60" s="34">
        <v>3.0</v>
      </c>
      <c r="B60" s="34">
        <v>1.0</v>
      </c>
      <c r="C60" s="34">
        <v>16.0</v>
      </c>
      <c r="D60" s="1" t="s">
        <v>51</v>
      </c>
      <c r="E60" s="1" t="s">
        <v>557</v>
      </c>
      <c r="F60" s="1" t="s">
        <v>588</v>
      </c>
      <c r="G60" s="1">
        <v>3.0</v>
      </c>
      <c r="H60" s="1">
        <v>2.0</v>
      </c>
      <c r="I60" s="1" t="s">
        <v>51</v>
      </c>
      <c r="J60" s="1" t="s">
        <v>568</v>
      </c>
      <c r="K60" s="1">
        <v>22.0</v>
      </c>
      <c r="L60" s="1" t="s">
        <v>589</v>
      </c>
    </row>
    <row r="61" hidden="1">
      <c r="A61" s="34">
        <v>3.0</v>
      </c>
      <c r="B61" s="34">
        <v>1.0</v>
      </c>
      <c r="C61" s="34">
        <v>19.0</v>
      </c>
      <c r="D61" s="1" t="s">
        <v>51</v>
      </c>
      <c r="E61" s="1" t="s">
        <v>557</v>
      </c>
      <c r="F61" s="1" t="s">
        <v>591</v>
      </c>
      <c r="G61" s="1">
        <v>3.0</v>
      </c>
      <c r="H61" s="1">
        <v>2.0</v>
      </c>
      <c r="I61" s="1" t="s">
        <v>51</v>
      </c>
      <c r="J61" s="1" t="s">
        <v>568</v>
      </c>
      <c r="K61" s="1">
        <v>67.0</v>
      </c>
      <c r="L61" s="1" t="s">
        <v>592</v>
      </c>
    </row>
    <row r="62" hidden="1">
      <c r="A62" s="34">
        <v>3.0</v>
      </c>
      <c r="B62" s="34">
        <v>1.0</v>
      </c>
      <c r="C62" s="34">
        <v>34.0</v>
      </c>
      <c r="D62" s="1" t="s">
        <v>51</v>
      </c>
      <c r="E62" s="1" t="s">
        <v>557</v>
      </c>
      <c r="F62" s="1" t="s">
        <v>594</v>
      </c>
      <c r="G62" s="1">
        <v>3.0</v>
      </c>
      <c r="H62" s="1">
        <v>3.0</v>
      </c>
      <c r="I62" s="1" t="s">
        <v>51</v>
      </c>
      <c r="J62" s="1" t="s">
        <v>557</v>
      </c>
      <c r="K62" s="1">
        <v>1.0</v>
      </c>
      <c r="L62" s="1" t="s">
        <v>557</v>
      </c>
    </row>
    <row r="63" hidden="1">
      <c r="A63" s="34">
        <v>3.0</v>
      </c>
      <c r="B63" s="34">
        <v>1.0</v>
      </c>
      <c r="C63" s="34">
        <v>35.0</v>
      </c>
      <c r="D63" s="1" t="s">
        <v>51</v>
      </c>
      <c r="E63" s="1" t="s">
        <v>557</v>
      </c>
      <c r="F63" s="1" t="s">
        <v>596</v>
      </c>
      <c r="G63" s="1">
        <v>3.0</v>
      </c>
      <c r="H63" s="1">
        <v>2.0</v>
      </c>
      <c r="I63" s="1" t="s">
        <v>51</v>
      </c>
      <c r="J63" s="1" t="s">
        <v>568</v>
      </c>
      <c r="K63" s="1">
        <v>66.0</v>
      </c>
      <c r="L63" s="1" t="s">
        <v>597</v>
      </c>
    </row>
    <row r="64" hidden="1">
      <c r="A64" s="34">
        <v>3.0</v>
      </c>
      <c r="B64" s="34">
        <v>1.0</v>
      </c>
      <c r="C64" s="34">
        <v>40.0</v>
      </c>
      <c r="D64" s="1" t="s">
        <v>51</v>
      </c>
      <c r="E64" s="1" t="s">
        <v>557</v>
      </c>
      <c r="F64" s="1" t="s">
        <v>600</v>
      </c>
      <c r="G64" s="1">
        <v>3.0</v>
      </c>
      <c r="H64" s="1">
        <v>3.0</v>
      </c>
      <c r="I64" s="1" t="s">
        <v>51</v>
      </c>
      <c r="J64" s="1" t="s">
        <v>557</v>
      </c>
      <c r="K64" s="1">
        <v>1.0</v>
      </c>
      <c r="L64" s="1" t="s">
        <v>557</v>
      </c>
    </row>
    <row r="65" hidden="1">
      <c r="A65" s="34">
        <v>3.0</v>
      </c>
      <c r="B65" s="34">
        <v>8.0</v>
      </c>
      <c r="C65" s="34">
        <v>6.0</v>
      </c>
      <c r="D65" s="1" t="s">
        <v>51</v>
      </c>
      <c r="E65" s="1" t="s">
        <v>608</v>
      </c>
      <c r="F65" s="1" t="s">
        <v>609</v>
      </c>
      <c r="G65" s="1">
        <v>3.0</v>
      </c>
      <c r="H65" s="1">
        <v>8.0</v>
      </c>
      <c r="I65" s="1" t="s">
        <v>51</v>
      </c>
      <c r="J65" s="1" t="s">
        <v>610</v>
      </c>
      <c r="K65" s="1">
        <v>1.0</v>
      </c>
      <c r="L65" s="1" t="s">
        <v>611</v>
      </c>
    </row>
    <row r="66" hidden="1">
      <c r="A66" s="34">
        <v>3.0</v>
      </c>
      <c r="B66" s="34">
        <v>8.0</v>
      </c>
      <c r="C66" s="34">
        <v>7.0</v>
      </c>
      <c r="D66" s="1" t="s">
        <v>51</v>
      </c>
      <c r="E66" s="1" t="s">
        <v>608</v>
      </c>
      <c r="F66" s="1" t="s">
        <v>613</v>
      </c>
      <c r="G66" s="1">
        <v>3.0</v>
      </c>
      <c r="H66" s="1">
        <v>8.0</v>
      </c>
      <c r="I66" s="1" t="s">
        <v>51</v>
      </c>
      <c r="J66" s="1" t="s">
        <v>610</v>
      </c>
      <c r="K66" s="1">
        <v>54.0</v>
      </c>
      <c r="L66" s="1" t="s">
        <v>608</v>
      </c>
    </row>
    <row r="67" hidden="1">
      <c r="A67" s="34">
        <v>3.0</v>
      </c>
      <c r="B67" s="34">
        <v>8.0</v>
      </c>
      <c r="C67" s="34">
        <v>26.0</v>
      </c>
      <c r="D67" s="1" t="s">
        <v>51</v>
      </c>
      <c r="E67" s="1" t="s">
        <v>608</v>
      </c>
      <c r="F67" s="1" t="s">
        <v>614</v>
      </c>
      <c r="G67" s="1">
        <v>3.0</v>
      </c>
      <c r="H67" s="1">
        <v>8.0</v>
      </c>
      <c r="I67" s="1" t="s">
        <v>51</v>
      </c>
      <c r="J67" s="1" t="s">
        <v>610</v>
      </c>
      <c r="K67" s="1">
        <v>54.0</v>
      </c>
      <c r="L67" s="1" t="s">
        <v>608</v>
      </c>
    </row>
    <row r="68" hidden="1">
      <c r="A68" s="34">
        <v>3.0</v>
      </c>
      <c r="B68" s="34">
        <v>8.0</v>
      </c>
      <c r="C68" s="34">
        <v>39.0</v>
      </c>
      <c r="D68" s="1" t="s">
        <v>51</v>
      </c>
      <c r="E68" s="1" t="s">
        <v>608</v>
      </c>
      <c r="F68" s="1" t="s">
        <v>616</v>
      </c>
      <c r="G68" s="1">
        <v>3.0</v>
      </c>
      <c r="H68" s="1">
        <v>8.0</v>
      </c>
      <c r="I68" s="1" t="s">
        <v>51</v>
      </c>
      <c r="J68" s="1" t="s">
        <v>610</v>
      </c>
      <c r="K68" s="1">
        <v>54.0</v>
      </c>
      <c r="L68" s="1" t="s">
        <v>608</v>
      </c>
    </row>
    <row r="69" hidden="1">
      <c r="A69" s="34">
        <v>4.0</v>
      </c>
      <c r="B69" s="34">
        <v>1.0</v>
      </c>
      <c r="C69" s="34">
        <v>1.0</v>
      </c>
      <c r="D69" s="1" t="s">
        <v>54</v>
      </c>
      <c r="E69" s="1" t="s">
        <v>617</v>
      </c>
      <c r="F69" s="1" t="s">
        <v>618</v>
      </c>
      <c r="G69" s="1">
        <v>4.0</v>
      </c>
      <c r="H69" s="1">
        <v>2.0</v>
      </c>
      <c r="I69" s="1" t="s">
        <v>54</v>
      </c>
      <c r="J69" s="1" t="s">
        <v>54</v>
      </c>
      <c r="K69" s="1">
        <v>1.0</v>
      </c>
      <c r="L69" s="1" t="s">
        <v>619</v>
      </c>
    </row>
    <row r="70" hidden="1">
      <c r="A70" s="34">
        <v>4.0</v>
      </c>
      <c r="B70" s="34">
        <v>1.0</v>
      </c>
      <c r="C70" s="34">
        <v>2.0</v>
      </c>
      <c r="D70" s="1" t="s">
        <v>54</v>
      </c>
      <c r="E70" s="1" t="s">
        <v>617</v>
      </c>
      <c r="F70" s="1" t="s">
        <v>620</v>
      </c>
      <c r="G70" s="1">
        <v>4.0</v>
      </c>
      <c r="H70" s="1">
        <v>4.0</v>
      </c>
      <c r="I70" s="1" t="s">
        <v>54</v>
      </c>
      <c r="J70" s="1" t="s">
        <v>621</v>
      </c>
      <c r="K70" s="1">
        <v>1.0</v>
      </c>
      <c r="L70" s="1" t="s">
        <v>621</v>
      </c>
    </row>
    <row r="71" hidden="1">
      <c r="A71" s="34">
        <v>4.0</v>
      </c>
      <c r="B71" s="34">
        <v>1.0</v>
      </c>
      <c r="C71" s="34">
        <v>3.0</v>
      </c>
      <c r="D71" s="1" t="s">
        <v>54</v>
      </c>
      <c r="E71" s="1" t="s">
        <v>617</v>
      </c>
      <c r="F71" s="1" t="s">
        <v>622</v>
      </c>
      <c r="G71" s="1">
        <v>4.0</v>
      </c>
      <c r="H71" s="1">
        <v>4.0</v>
      </c>
      <c r="I71" s="1" t="s">
        <v>54</v>
      </c>
      <c r="J71" s="1" t="s">
        <v>621</v>
      </c>
      <c r="K71" s="1">
        <v>16.0</v>
      </c>
      <c r="L71" s="1" t="s">
        <v>624</v>
      </c>
    </row>
    <row r="72" hidden="1">
      <c r="A72" s="34">
        <v>4.0</v>
      </c>
      <c r="B72" s="34">
        <v>1.0</v>
      </c>
      <c r="C72" s="34">
        <v>5.0</v>
      </c>
      <c r="D72" s="1" t="s">
        <v>54</v>
      </c>
      <c r="E72" s="1" t="s">
        <v>617</v>
      </c>
      <c r="F72" s="1" t="s">
        <v>625</v>
      </c>
      <c r="G72" s="1">
        <v>4.0</v>
      </c>
      <c r="H72" s="1">
        <v>9.0</v>
      </c>
      <c r="I72" s="1" t="s">
        <v>54</v>
      </c>
      <c r="J72" s="1" t="s">
        <v>626</v>
      </c>
      <c r="K72" s="1">
        <v>1.0</v>
      </c>
      <c r="L72" s="1" t="s">
        <v>626</v>
      </c>
    </row>
    <row r="73" hidden="1">
      <c r="A73" s="34">
        <v>4.0</v>
      </c>
      <c r="B73" s="34">
        <v>1.0</v>
      </c>
      <c r="C73" s="34">
        <v>8.0</v>
      </c>
      <c r="D73" s="1" t="s">
        <v>54</v>
      </c>
      <c r="E73" s="1" t="s">
        <v>617</v>
      </c>
      <c r="F73" s="1" t="s">
        <v>627</v>
      </c>
      <c r="G73" s="1">
        <v>4.0</v>
      </c>
      <c r="H73" s="1">
        <v>6.0</v>
      </c>
      <c r="I73" s="1" t="s">
        <v>54</v>
      </c>
      <c r="J73" s="1" t="s">
        <v>628</v>
      </c>
      <c r="K73" s="1">
        <v>1.0</v>
      </c>
      <c r="L73" s="1" t="s">
        <v>628</v>
      </c>
    </row>
    <row r="74" hidden="1">
      <c r="A74" s="34">
        <v>4.0</v>
      </c>
      <c r="B74" s="34">
        <v>1.0</v>
      </c>
      <c r="C74" s="34">
        <v>10.0</v>
      </c>
      <c r="D74" s="1" t="s">
        <v>54</v>
      </c>
      <c r="E74" s="1" t="s">
        <v>617</v>
      </c>
      <c r="F74" s="1" t="s">
        <v>630</v>
      </c>
      <c r="G74" s="1">
        <v>4.0</v>
      </c>
      <c r="H74" s="1">
        <v>2.0</v>
      </c>
      <c r="I74" s="1" t="s">
        <v>54</v>
      </c>
      <c r="J74" s="1" t="s">
        <v>54</v>
      </c>
      <c r="K74" s="1">
        <v>1.0</v>
      </c>
      <c r="L74" s="1" t="s">
        <v>619</v>
      </c>
    </row>
    <row r="75" hidden="1">
      <c r="A75" s="34">
        <v>4.0</v>
      </c>
      <c r="B75" s="34">
        <v>1.0</v>
      </c>
      <c r="C75" s="34">
        <v>11.0</v>
      </c>
      <c r="D75" s="1" t="s">
        <v>54</v>
      </c>
      <c r="E75" s="1" t="s">
        <v>617</v>
      </c>
      <c r="F75" s="1" t="s">
        <v>631</v>
      </c>
      <c r="G75" s="1">
        <v>4.0</v>
      </c>
      <c r="H75" s="1">
        <v>2.0</v>
      </c>
      <c r="I75" s="1" t="s">
        <v>54</v>
      </c>
      <c r="J75" s="1" t="s">
        <v>54</v>
      </c>
      <c r="K75" s="1">
        <v>1.0</v>
      </c>
      <c r="L75" s="1" t="s">
        <v>619</v>
      </c>
    </row>
    <row r="76" hidden="1">
      <c r="A76" s="34">
        <v>4.0</v>
      </c>
      <c r="B76" s="34">
        <v>1.0</v>
      </c>
      <c r="C76" s="34">
        <v>13.0</v>
      </c>
      <c r="D76" s="1" t="s">
        <v>54</v>
      </c>
      <c r="E76" s="1" t="s">
        <v>617</v>
      </c>
      <c r="F76" s="1" t="s">
        <v>632</v>
      </c>
      <c r="G76" s="1">
        <v>4.0</v>
      </c>
      <c r="H76" s="1">
        <v>2.0</v>
      </c>
      <c r="I76" s="1" t="s">
        <v>54</v>
      </c>
      <c r="J76" s="1" t="s">
        <v>54</v>
      </c>
      <c r="K76" s="1">
        <v>1.0</v>
      </c>
      <c r="L76" s="1" t="s">
        <v>619</v>
      </c>
    </row>
    <row r="77" hidden="1">
      <c r="A77" s="34">
        <v>4.0</v>
      </c>
      <c r="B77" s="34">
        <v>4.0</v>
      </c>
      <c r="C77" s="34">
        <v>4.0</v>
      </c>
      <c r="D77" s="1" t="s">
        <v>54</v>
      </c>
      <c r="E77" s="1" t="s">
        <v>633</v>
      </c>
      <c r="F77" s="1" t="s">
        <v>634</v>
      </c>
      <c r="G77" s="1">
        <v>4.0</v>
      </c>
      <c r="H77" s="1">
        <v>3.0</v>
      </c>
      <c r="I77" s="1" t="s">
        <v>54</v>
      </c>
      <c r="J77" s="1" t="s">
        <v>635</v>
      </c>
      <c r="K77" s="1">
        <v>1.0</v>
      </c>
      <c r="L77" s="1" t="s">
        <v>633</v>
      </c>
    </row>
    <row r="78" hidden="1">
      <c r="A78" s="34">
        <v>4.0</v>
      </c>
      <c r="B78" s="34">
        <v>4.0</v>
      </c>
      <c r="C78" s="34">
        <v>9.0</v>
      </c>
      <c r="D78" s="1" t="s">
        <v>54</v>
      </c>
      <c r="E78" s="1" t="s">
        <v>633</v>
      </c>
      <c r="F78" s="1" t="s">
        <v>636</v>
      </c>
      <c r="G78" s="1">
        <v>4.0</v>
      </c>
      <c r="H78" s="1">
        <v>7.0</v>
      </c>
      <c r="I78" s="1" t="s">
        <v>54</v>
      </c>
      <c r="J78" s="1" t="s">
        <v>637</v>
      </c>
      <c r="K78" s="1">
        <v>1.0</v>
      </c>
      <c r="L78" s="1" t="s">
        <v>637</v>
      </c>
    </row>
    <row r="79" hidden="1">
      <c r="A79" s="34">
        <v>4.0</v>
      </c>
      <c r="B79" s="34">
        <v>4.0</v>
      </c>
      <c r="C79" s="34">
        <v>12.0</v>
      </c>
      <c r="D79" s="1" t="s">
        <v>54</v>
      </c>
      <c r="E79" s="1" t="s">
        <v>633</v>
      </c>
      <c r="F79" s="1" t="s">
        <v>638</v>
      </c>
      <c r="G79" s="1">
        <v>4.0</v>
      </c>
      <c r="H79" s="1">
        <v>3.0</v>
      </c>
      <c r="I79" s="1" t="s">
        <v>54</v>
      </c>
      <c r="J79" s="1" t="s">
        <v>635</v>
      </c>
      <c r="K79" s="1">
        <v>1.0</v>
      </c>
      <c r="L79" s="1" t="s">
        <v>633</v>
      </c>
    </row>
    <row r="80" hidden="1">
      <c r="A80" s="34">
        <v>5.0</v>
      </c>
      <c r="B80" s="34">
        <v>3.0</v>
      </c>
      <c r="C80" s="34">
        <v>2.0</v>
      </c>
      <c r="D80" s="1" t="s">
        <v>57</v>
      </c>
      <c r="E80" s="1" t="s">
        <v>639</v>
      </c>
      <c r="F80" s="1" t="s">
        <v>640</v>
      </c>
      <c r="G80" s="1">
        <v>5.0</v>
      </c>
      <c r="H80" s="1">
        <v>30.0</v>
      </c>
      <c r="I80" s="1" t="s">
        <v>57</v>
      </c>
      <c r="J80" s="1" t="s">
        <v>639</v>
      </c>
      <c r="K80" s="1">
        <v>1.0</v>
      </c>
      <c r="L80" s="1" t="s">
        <v>639</v>
      </c>
    </row>
    <row r="81" hidden="1">
      <c r="A81" s="34">
        <v>5.0</v>
      </c>
      <c r="B81" s="34">
        <v>3.0</v>
      </c>
      <c r="C81" s="34">
        <v>3.0</v>
      </c>
      <c r="D81" s="1" t="s">
        <v>57</v>
      </c>
      <c r="E81" s="1" t="s">
        <v>639</v>
      </c>
      <c r="F81" s="1" t="s">
        <v>641</v>
      </c>
      <c r="G81" s="1">
        <v>5.0</v>
      </c>
      <c r="H81" s="1">
        <v>27.0</v>
      </c>
      <c r="I81" s="1" t="s">
        <v>57</v>
      </c>
      <c r="J81" s="1" t="s">
        <v>642</v>
      </c>
      <c r="K81" s="1">
        <v>1.0</v>
      </c>
      <c r="L81" s="1" t="s">
        <v>642</v>
      </c>
    </row>
    <row r="82" hidden="1">
      <c r="A82" s="34">
        <v>5.0</v>
      </c>
      <c r="B82" s="34">
        <v>3.0</v>
      </c>
      <c r="C82" s="34">
        <v>4.0</v>
      </c>
      <c r="D82" s="1" t="s">
        <v>57</v>
      </c>
      <c r="E82" s="1" t="s">
        <v>639</v>
      </c>
      <c r="F82" s="1" t="s">
        <v>643</v>
      </c>
      <c r="G82" s="1">
        <v>5.0</v>
      </c>
      <c r="H82" s="1">
        <v>4.0</v>
      </c>
      <c r="I82" s="1" t="s">
        <v>57</v>
      </c>
      <c r="J82" s="1" t="s">
        <v>644</v>
      </c>
      <c r="K82" s="1">
        <v>1.0</v>
      </c>
      <c r="L82" s="1" t="s">
        <v>644</v>
      </c>
    </row>
    <row r="83" hidden="1">
      <c r="A83" s="34">
        <v>5.0</v>
      </c>
      <c r="B83" s="34">
        <v>3.0</v>
      </c>
      <c r="C83" s="34">
        <v>6.0</v>
      </c>
      <c r="D83" s="1" t="s">
        <v>57</v>
      </c>
      <c r="E83" s="1" t="s">
        <v>639</v>
      </c>
      <c r="F83" s="1" t="s">
        <v>646</v>
      </c>
      <c r="G83" s="1">
        <v>5.0</v>
      </c>
      <c r="H83" s="1">
        <v>24.0</v>
      </c>
      <c r="I83" s="1" t="s">
        <v>57</v>
      </c>
      <c r="J83" s="1" t="s">
        <v>647</v>
      </c>
      <c r="K83" s="1">
        <v>1.0</v>
      </c>
      <c r="L83" s="1" t="s">
        <v>648</v>
      </c>
    </row>
    <row r="84" hidden="1">
      <c r="A84" s="34">
        <v>5.0</v>
      </c>
      <c r="B84" s="34">
        <v>3.0</v>
      </c>
      <c r="C84" s="34">
        <v>62.0</v>
      </c>
      <c r="D84" s="1" t="s">
        <v>57</v>
      </c>
      <c r="E84" s="1" t="s">
        <v>639</v>
      </c>
      <c r="F84" s="1" t="s">
        <v>649</v>
      </c>
      <c r="G84" s="1">
        <v>5.0</v>
      </c>
      <c r="H84" s="1">
        <v>11.0</v>
      </c>
      <c r="I84" s="1" t="s">
        <v>57</v>
      </c>
      <c r="J84" s="1" t="s">
        <v>650</v>
      </c>
      <c r="K84" s="1">
        <v>1.0</v>
      </c>
      <c r="L84" s="1" t="s">
        <v>650</v>
      </c>
    </row>
    <row r="85" hidden="1">
      <c r="A85" s="34">
        <v>5.0</v>
      </c>
      <c r="B85" s="34">
        <v>3.0</v>
      </c>
      <c r="C85" s="34">
        <v>67.0</v>
      </c>
      <c r="D85" s="1" t="s">
        <v>57</v>
      </c>
      <c r="E85" s="1" t="s">
        <v>639</v>
      </c>
      <c r="F85" s="1" t="s">
        <v>652</v>
      </c>
      <c r="G85" s="1">
        <v>5.0</v>
      </c>
      <c r="H85" s="1">
        <v>27.0</v>
      </c>
      <c r="I85" s="1" t="s">
        <v>57</v>
      </c>
      <c r="J85" s="1" t="s">
        <v>642</v>
      </c>
      <c r="K85" s="1">
        <v>43.0</v>
      </c>
      <c r="L85" s="1" t="s">
        <v>653</v>
      </c>
    </row>
    <row r="86" hidden="1">
      <c r="A86" s="34">
        <v>5.0</v>
      </c>
      <c r="B86" s="34">
        <v>3.0</v>
      </c>
      <c r="C86" s="34">
        <v>70.0</v>
      </c>
      <c r="D86" s="1" t="s">
        <v>57</v>
      </c>
      <c r="E86" s="1" t="s">
        <v>639</v>
      </c>
      <c r="F86" s="1" t="s">
        <v>654</v>
      </c>
      <c r="G86" s="1">
        <v>5.0</v>
      </c>
      <c r="H86" s="1">
        <v>30.0</v>
      </c>
      <c r="I86" s="1" t="s">
        <v>57</v>
      </c>
      <c r="J86" s="1" t="s">
        <v>639</v>
      </c>
      <c r="K86" s="1">
        <v>1.0</v>
      </c>
      <c r="L86" s="1" t="s">
        <v>639</v>
      </c>
    </row>
    <row r="87" hidden="1">
      <c r="A87" s="34">
        <v>5.0</v>
      </c>
      <c r="B87" s="34">
        <v>3.0</v>
      </c>
      <c r="C87" s="34">
        <v>73.0</v>
      </c>
      <c r="D87" s="1" t="s">
        <v>57</v>
      </c>
      <c r="E87" s="1" t="s">
        <v>639</v>
      </c>
      <c r="F87" s="1" t="s">
        <v>655</v>
      </c>
      <c r="G87" s="1">
        <v>5.0</v>
      </c>
      <c r="H87" s="1">
        <v>30.0</v>
      </c>
      <c r="I87" s="1" t="s">
        <v>57</v>
      </c>
      <c r="J87" s="1" t="s">
        <v>639</v>
      </c>
      <c r="K87" s="1">
        <v>1.0</v>
      </c>
      <c r="L87" s="1" t="s">
        <v>639</v>
      </c>
    </row>
    <row r="88" hidden="1">
      <c r="A88" s="34">
        <v>5.0</v>
      </c>
      <c r="B88" s="34">
        <v>3.0</v>
      </c>
      <c r="C88" s="34">
        <v>82.0</v>
      </c>
      <c r="D88" s="1" t="s">
        <v>57</v>
      </c>
      <c r="E88" s="1" t="s">
        <v>639</v>
      </c>
      <c r="F88" s="1" t="s">
        <v>656</v>
      </c>
      <c r="G88" s="1">
        <v>5.0</v>
      </c>
      <c r="H88" s="1">
        <v>30.0</v>
      </c>
      <c r="I88" s="1" t="s">
        <v>57</v>
      </c>
      <c r="J88" s="1" t="s">
        <v>639</v>
      </c>
      <c r="K88" s="1">
        <v>1.0</v>
      </c>
      <c r="L88" s="1" t="s">
        <v>639</v>
      </c>
    </row>
    <row r="89" hidden="1">
      <c r="A89" s="34">
        <v>5.0</v>
      </c>
      <c r="B89" s="34">
        <v>3.0</v>
      </c>
      <c r="C89" s="34">
        <v>88.0</v>
      </c>
      <c r="D89" s="1" t="s">
        <v>57</v>
      </c>
      <c r="E89" s="1" t="s">
        <v>639</v>
      </c>
      <c r="F89" s="1" t="s">
        <v>657</v>
      </c>
      <c r="G89" s="1">
        <v>5.0</v>
      </c>
      <c r="H89" s="1">
        <v>27.0</v>
      </c>
      <c r="I89" s="1" t="s">
        <v>57</v>
      </c>
      <c r="J89" s="1" t="s">
        <v>642</v>
      </c>
      <c r="K89" s="1">
        <v>1.0</v>
      </c>
      <c r="L89" s="1" t="s">
        <v>642</v>
      </c>
    </row>
    <row r="90" hidden="1">
      <c r="A90" s="34">
        <v>5.0</v>
      </c>
      <c r="B90" s="34">
        <v>3.0</v>
      </c>
      <c r="C90" s="34">
        <v>89.0</v>
      </c>
      <c r="D90" s="1" t="s">
        <v>57</v>
      </c>
      <c r="E90" s="1" t="s">
        <v>639</v>
      </c>
      <c r="F90" s="1" t="s">
        <v>658</v>
      </c>
      <c r="G90" s="1">
        <v>5.0</v>
      </c>
      <c r="H90" s="1">
        <v>30.0</v>
      </c>
      <c r="I90" s="1" t="s">
        <v>57</v>
      </c>
      <c r="J90" s="1" t="s">
        <v>639</v>
      </c>
      <c r="K90" s="1">
        <v>1.0</v>
      </c>
      <c r="L90" s="1" t="s">
        <v>639</v>
      </c>
    </row>
    <row r="91" hidden="1">
      <c r="A91" s="34">
        <v>5.0</v>
      </c>
      <c r="B91" s="34">
        <v>3.0</v>
      </c>
      <c r="C91" s="34">
        <v>91.0</v>
      </c>
      <c r="D91" s="1" t="s">
        <v>57</v>
      </c>
      <c r="E91" s="1" t="s">
        <v>639</v>
      </c>
      <c r="F91" s="1" t="s">
        <v>659</v>
      </c>
      <c r="G91" s="1">
        <v>5.0</v>
      </c>
      <c r="H91" s="1">
        <v>30.0</v>
      </c>
      <c r="I91" s="1" t="s">
        <v>57</v>
      </c>
      <c r="J91" s="1" t="s">
        <v>639</v>
      </c>
      <c r="K91" s="1">
        <v>1.0</v>
      </c>
      <c r="L91" s="1" t="s">
        <v>639</v>
      </c>
    </row>
    <row r="92" hidden="1">
      <c r="A92" s="34">
        <v>5.0</v>
      </c>
      <c r="B92" s="34">
        <v>9.0</v>
      </c>
      <c r="C92" s="34">
        <v>16.0</v>
      </c>
      <c r="D92" s="1" t="s">
        <v>57</v>
      </c>
      <c r="E92" s="1" t="s">
        <v>660</v>
      </c>
      <c r="F92" s="1" t="s">
        <v>661</v>
      </c>
      <c r="G92" s="1">
        <v>5.0</v>
      </c>
      <c r="H92" s="1">
        <v>35.0</v>
      </c>
      <c r="I92" s="1" t="s">
        <v>57</v>
      </c>
      <c r="J92" s="1" t="s">
        <v>660</v>
      </c>
      <c r="K92" s="1">
        <v>1.0</v>
      </c>
      <c r="L92" s="1" t="s">
        <v>660</v>
      </c>
    </row>
    <row r="93" hidden="1">
      <c r="A93" s="34">
        <v>5.0</v>
      </c>
      <c r="B93" s="34">
        <v>9.0</v>
      </c>
      <c r="C93" s="34">
        <v>18.0</v>
      </c>
      <c r="D93" s="1" t="s">
        <v>57</v>
      </c>
      <c r="E93" s="1" t="s">
        <v>660</v>
      </c>
      <c r="F93" s="1" t="s">
        <v>662</v>
      </c>
      <c r="G93" s="1">
        <v>5.0</v>
      </c>
      <c r="H93" s="1">
        <v>35.0</v>
      </c>
      <c r="I93" s="1" t="s">
        <v>57</v>
      </c>
      <c r="J93" s="1" t="s">
        <v>660</v>
      </c>
      <c r="K93" s="1">
        <v>1.0</v>
      </c>
      <c r="L93" s="1" t="s">
        <v>660</v>
      </c>
    </row>
    <row r="94" hidden="1">
      <c r="A94" s="34">
        <v>5.0</v>
      </c>
      <c r="B94" s="34">
        <v>9.0</v>
      </c>
      <c r="C94" s="34">
        <v>20.0</v>
      </c>
      <c r="D94" s="1" t="s">
        <v>57</v>
      </c>
      <c r="E94" s="1" t="s">
        <v>660</v>
      </c>
      <c r="F94" s="1" t="s">
        <v>663</v>
      </c>
      <c r="G94" s="1">
        <v>5.0</v>
      </c>
      <c r="H94" s="1">
        <v>9.0</v>
      </c>
      <c r="I94" s="1" t="s">
        <v>57</v>
      </c>
      <c r="J94" s="1" t="s">
        <v>664</v>
      </c>
      <c r="K94" s="1">
        <v>1.0</v>
      </c>
      <c r="L94" s="1" t="s">
        <v>665</v>
      </c>
    </row>
    <row r="95" hidden="1">
      <c r="A95" s="34">
        <v>5.0</v>
      </c>
      <c r="B95" s="34">
        <v>9.0</v>
      </c>
      <c r="C95" s="34">
        <v>21.0</v>
      </c>
      <c r="D95" s="1" t="s">
        <v>57</v>
      </c>
      <c r="E95" s="1" t="s">
        <v>660</v>
      </c>
      <c r="F95" s="1" t="s">
        <v>666</v>
      </c>
      <c r="G95" s="1">
        <v>5.0</v>
      </c>
      <c r="H95" s="1">
        <v>33.0</v>
      </c>
      <c r="I95" s="1" t="s">
        <v>57</v>
      </c>
      <c r="J95" s="1" t="s">
        <v>667</v>
      </c>
      <c r="K95" s="1">
        <v>1.0</v>
      </c>
      <c r="L95" s="1" t="s">
        <v>667</v>
      </c>
    </row>
    <row r="96" hidden="1">
      <c r="A96" s="34">
        <v>5.0</v>
      </c>
      <c r="B96" s="34">
        <v>9.0</v>
      </c>
      <c r="C96" s="34">
        <v>61.0</v>
      </c>
      <c r="D96" s="1" t="s">
        <v>57</v>
      </c>
      <c r="E96" s="1" t="s">
        <v>660</v>
      </c>
      <c r="F96" s="1" t="s">
        <v>668</v>
      </c>
      <c r="G96" s="1">
        <v>5.0</v>
      </c>
      <c r="H96" s="1">
        <v>34.0</v>
      </c>
      <c r="I96" s="1" t="s">
        <v>57</v>
      </c>
      <c r="J96" s="1" t="s">
        <v>669</v>
      </c>
      <c r="K96" s="1">
        <v>18.0</v>
      </c>
      <c r="L96" s="1" t="s">
        <v>670</v>
      </c>
    </row>
    <row r="97" hidden="1">
      <c r="A97" s="34">
        <v>5.0</v>
      </c>
      <c r="B97" s="34">
        <v>9.0</v>
      </c>
      <c r="C97" s="34">
        <v>66.0</v>
      </c>
      <c r="D97" s="1" t="s">
        <v>57</v>
      </c>
      <c r="E97" s="1" t="s">
        <v>660</v>
      </c>
      <c r="F97" s="1" t="s">
        <v>671</v>
      </c>
      <c r="G97" s="1">
        <v>5.0</v>
      </c>
      <c r="H97" s="1">
        <v>35.0</v>
      </c>
      <c r="I97" s="1" t="s">
        <v>57</v>
      </c>
      <c r="J97" s="1" t="s">
        <v>660</v>
      </c>
      <c r="K97" s="1">
        <v>1.0</v>
      </c>
      <c r="L97" s="1" t="s">
        <v>660</v>
      </c>
    </row>
    <row r="98" hidden="1">
      <c r="A98" s="34">
        <v>5.0</v>
      </c>
      <c r="B98" s="34">
        <v>9.0</v>
      </c>
      <c r="C98" s="34">
        <v>80.0</v>
      </c>
      <c r="D98" s="1" t="s">
        <v>57</v>
      </c>
      <c r="E98" s="1" t="s">
        <v>660</v>
      </c>
      <c r="F98" s="1" t="s">
        <v>672</v>
      </c>
      <c r="G98" s="1">
        <v>5.0</v>
      </c>
      <c r="H98" s="1">
        <v>35.0</v>
      </c>
      <c r="I98" s="1" t="s">
        <v>57</v>
      </c>
      <c r="J98" s="1" t="s">
        <v>660</v>
      </c>
      <c r="K98" s="1">
        <v>1.0</v>
      </c>
      <c r="L98" s="1" t="s">
        <v>660</v>
      </c>
    </row>
    <row r="99" hidden="1">
      <c r="A99" s="34">
        <v>5.0</v>
      </c>
      <c r="B99" s="34">
        <v>9.0</v>
      </c>
      <c r="C99" s="34">
        <v>83.0</v>
      </c>
      <c r="D99" s="1" t="s">
        <v>57</v>
      </c>
      <c r="E99" s="1" t="s">
        <v>660</v>
      </c>
      <c r="F99" s="1" t="s">
        <v>673</v>
      </c>
      <c r="G99" s="1">
        <v>5.0</v>
      </c>
      <c r="H99" s="1">
        <v>17.0</v>
      </c>
      <c r="I99" s="1" t="s">
        <v>57</v>
      </c>
      <c r="J99" s="1" t="s">
        <v>674</v>
      </c>
      <c r="K99" s="1">
        <v>1.0</v>
      </c>
      <c r="L99" s="1" t="s">
        <v>105</v>
      </c>
    </row>
    <row r="100" hidden="1">
      <c r="A100" s="34">
        <v>5.0</v>
      </c>
      <c r="B100" s="34">
        <v>9.0</v>
      </c>
      <c r="C100" s="34">
        <v>83.0</v>
      </c>
      <c r="D100" s="1" t="s">
        <v>57</v>
      </c>
      <c r="E100" s="1" t="s">
        <v>660</v>
      </c>
      <c r="F100" s="1" t="s">
        <v>675</v>
      </c>
      <c r="G100" s="1">
        <v>5.0</v>
      </c>
      <c r="H100" s="1">
        <v>35.0</v>
      </c>
      <c r="I100" s="1" t="s">
        <v>57</v>
      </c>
      <c r="J100" s="1" t="s">
        <v>660</v>
      </c>
      <c r="K100" s="1">
        <v>1.0</v>
      </c>
      <c r="L100" s="1" t="s">
        <v>660</v>
      </c>
    </row>
    <row r="101" hidden="1">
      <c r="A101" s="34">
        <v>5.0</v>
      </c>
      <c r="B101" s="34">
        <v>11.0</v>
      </c>
      <c r="C101" s="34">
        <v>81.0</v>
      </c>
      <c r="D101" s="1" t="s">
        <v>57</v>
      </c>
      <c r="E101" s="1" t="s">
        <v>676</v>
      </c>
      <c r="F101" s="1" t="s">
        <v>677</v>
      </c>
      <c r="G101" s="1">
        <v>5.0</v>
      </c>
      <c r="H101" s="1">
        <v>2.0</v>
      </c>
      <c r="I101" s="1" t="s">
        <v>57</v>
      </c>
      <c r="J101" s="1" t="s">
        <v>678</v>
      </c>
      <c r="K101" s="1">
        <v>1.0</v>
      </c>
      <c r="L101" s="1" t="s">
        <v>676</v>
      </c>
    </row>
    <row r="102" hidden="1">
      <c r="A102" s="34">
        <v>5.0</v>
      </c>
      <c r="B102" s="34">
        <v>11.0</v>
      </c>
      <c r="C102" s="34">
        <v>87.0</v>
      </c>
      <c r="D102" s="1" t="s">
        <v>57</v>
      </c>
      <c r="E102" s="1" t="s">
        <v>676</v>
      </c>
      <c r="F102" s="1" t="s">
        <v>679</v>
      </c>
      <c r="G102" s="1">
        <v>5.0</v>
      </c>
      <c r="H102" s="1">
        <v>2.0</v>
      </c>
      <c r="I102" s="1" t="s">
        <v>57</v>
      </c>
      <c r="J102" s="1" t="s">
        <v>678</v>
      </c>
      <c r="K102" s="1">
        <v>1.0</v>
      </c>
      <c r="L102" s="1" t="s">
        <v>676</v>
      </c>
    </row>
    <row r="103" hidden="1">
      <c r="A103" s="34">
        <v>5.0</v>
      </c>
      <c r="B103" s="34">
        <v>12.0</v>
      </c>
      <c r="C103" s="34">
        <v>12.0</v>
      </c>
      <c r="D103" s="1" t="s">
        <v>57</v>
      </c>
      <c r="E103" s="1" t="s">
        <v>680</v>
      </c>
      <c r="F103" s="1" t="s">
        <v>681</v>
      </c>
      <c r="G103" s="1">
        <v>5.0</v>
      </c>
      <c r="H103" s="1">
        <v>3.0</v>
      </c>
      <c r="I103" s="1" t="s">
        <v>57</v>
      </c>
      <c r="J103" s="1" t="s">
        <v>682</v>
      </c>
      <c r="K103" s="1">
        <v>1.0</v>
      </c>
      <c r="L103" s="1" t="s">
        <v>682</v>
      </c>
    </row>
    <row r="104" hidden="1">
      <c r="A104" s="34">
        <v>5.0</v>
      </c>
      <c r="B104" s="34">
        <v>12.0</v>
      </c>
      <c r="C104" s="34">
        <v>14.0</v>
      </c>
      <c r="D104" s="1" t="s">
        <v>57</v>
      </c>
      <c r="E104" s="1" t="s">
        <v>680</v>
      </c>
      <c r="F104" s="1" t="s">
        <v>683</v>
      </c>
      <c r="G104" s="1">
        <v>5.0</v>
      </c>
      <c r="H104" s="1">
        <v>38.0</v>
      </c>
      <c r="I104" s="1" t="s">
        <v>57</v>
      </c>
      <c r="J104" s="1" t="s">
        <v>684</v>
      </c>
      <c r="K104" s="1">
        <v>1.0</v>
      </c>
      <c r="L104" s="1" t="s">
        <v>684</v>
      </c>
    </row>
    <row r="105" hidden="1">
      <c r="A105" s="34">
        <v>5.0</v>
      </c>
      <c r="B105" s="34">
        <v>12.0</v>
      </c>
      <c r="C105" s="34">
        <v>15.0</v>
      </c>
      <c r="D105" s="1" t="s">
        <v>57</v>
      </c>
      <c r="E105" s="1" t="s">
        <v>680</v>
      </c>
      <c r="F105" s="1" t="s">
        <v>685</v>
      </c>
      <c r="G105" s="1">
        <v>5.0</v>
      </c>
      <c r="H105" s="1">
        <v>37.0</v>
      </c>
      <c r="I105" s="1" t="s">
        <v>57</v>
      </c>
      <c r="J105" s="1" t="s">
        <v>686</v>
      </c>
      <c r="K105" s="1">
        <v>1.0</v>
      </c>
      <c r="L105" s="1" t="s">
        <v>686</v>
      </c>
    </row>
    <row r="106" hidden="1">
      <c r="A106" s="34">
        <v>5.0</v>
      </c>
      <c r="B106" s="34">
        <v>12.0</v>
      </c>
      <c r="C106" s="34">
        <v>60.0</v>
      </c>
      <c r="D106" s="1" t="s">
        <v>57</v>
      </c>
      <c r="E106" s="1" t="s">
        <v>680</v>
      </c>
      <c r="F106" s="1" t="s">
        <v>687</v>
      </c>
      <c r="G106" s="1">
        <v>5.0</v>
      </c>
      <c r="H106" s="1">
        <v>22.0</v>
      </c>
      <c r="I106" s="1" t="s">
        <v>57</v>
      </c>
      <c r="J106" s="1" t="s">
        <v>688</v>
      </c>
      <c r="K106" s="1">
        <v>1.0</v>
      </c>
      <c r="L106" s="1" t="s">
        <v>688</v>
      </c>
    </row>
    <row r="107" hidden="1">
      <c r="A107" s="34">
        <v>5.0</v>
      </c>
      <c r="B107" s="34">
        <v>12.0</v>
      </c>
      <c r="C107" s="34">
        <v>64.0</v>
      </c>
      <c r="D107" s="1" t="s">
        <v>57</v>
      </c>
      <c r="E107" s="1" t="s">
        <v>680</v>
      </c>
      <c r="F107" s="1" t="s">
        <v>689</v>
      </c>
      <c r="G107" s="1">
        <v>5.0</v>
      </c>
      <c r="H107" s="1">
        <v>19.0</v>
      </c>
      <c r="I107" s="1" t="s">
        <v>57</v>
      </c>
      <c r="J107" s="1" t="s">
        <v>105</v>
      </c>
      <c r="K107" s="1">
        <v>1.0</v>
      </c>
      <c r="L107" s="1" t="s">
        <v>105</v>
      </c>
    </row>
    <row r="108" hidden="1">
      <c r="A108" s="34">
        <v>5.0</v>
      </c>
      <c r="B108" s="34">
        <v>12.0</v>
      </c>
      <c r="C108" s="34">
        <v>79.0</v>
      </c>
      <c r="D108" s="1" t="s">
        <v>57</v>
      </c>
      <c r="E108" s="1" t="s">
        <v>680</v>
      </c>
      <c r="F108" s="1" t="s">
        <v>690</v>
      </c>
      <c r="G108" s="1">
        <v>5.0</v>
      </c>
      <c r="H108" s="1">
        <v>25.0</v>
      </c>
      <c r="I108" s="1" t="s">
        <v>57</v>
      </c>
      <c r="J108" s="1" t="s">
        <v>680</v>
      </c>
      <c r="K108" s="1">
        <v>1.0</v>
      </c>
      <c r="L108" s="1" t="s">
        <v>680</v>
      </c>
    </row>
    <row r="109" hidden="1">
      <c r="A109" s="34">
        <v>5.0</v>
      </c>
      <c r="B109" s="34">
        <v>17.0</v>
      </c>
      <c r="C109" s="34">
        <v>7.0</v>
      </c>
      <c r="D109" s="1" t="s">
        <v>57</v>
      </c>
      <c r="E109" s="1" t="s">
        <v>691</v>
      </c>
      <c r="F109" s="1" t="s">
        <v>692</v>
      </c>
      <c r="G109" s="1">
        <v>5.0</v>
      </c>
      <c r="H109" s="1">
        <v>18.0</v>
      </c>
      <c r="I109" s="1" t="s">
        <v>57</v>
      </c>
      <c r="J109" s="1" t="s">
        <v>691</v>
      </c>
      <c r="K109" s="1">
        <v>1.0</v>
      </c>
      <c r="L109" s="1" t="s">
        <v>691</v>
      </c>
    </row>
    <row r="110" hidden="1">
      <c r="A110" s="34">
        <v>5.0</v>
      </c>
      <c r="B110" s="34">
        <v>17.0</v>
      </c>
      <c r="C110" s="34">
        <v>8.0</v>
      </c>
      <c r="D110" s="1" t="s">
        <v>57</v>
      </c>
      <c r="E110" s="1" t="s">
        <v>691</v>
      </c>
      <c r="F110" s="1" t="s">
        <v>693</v>
      </c>
      <c r="G110" s="1">
        <v>5.0</v>
      </c>
      <c r="H110" s="1">
        <v>6.0</v>
      </c>
      <c r="I110" s="1" t="s">
        <v>57</v>
      </c>
      <c r="J110" s="1" t="s">
        <v>694</v>
      </c>
      <c r="K110" s="1">
        <v>1.0</v>
      </c>
      <c r="L110" s="1" t="s">
        <v>694</v>
      </c>
    </row>
    <row r="111" hidden="1">
      <c r="A111" s="34">
        <v>5.0</v>
      </c>
      <c r="B111" s="34">
        <v>17.0</v>
      </c>
      <c r="C111" s="34">
        <v>9.0</v>
      </c>
      <c r="D111" s="1" t="s">
        <v>57</v>
      </c>
      <c r="E111" s="1" t="s">
        <v>691</v>
      </c>
      <c r="F111" s="1" t="s">
        <v>695</v>
      </c>
      <c r="G111" s="1">
        <v>5.0</v>
      </c>
      <c r="H111" s="1">
        <v>10.0</v>
      </c>
      <c r="I111" s="1" t="s">
        <v>57</v>
      </c>
      <c r="J111" s="1" t="s">
        <v>696</v>
      </c>
      <c r="K111" s="1">
        <v>1.0</v>
      </c>
      <c r="L111" s="1" t="s">
        <v>696</v>
      </c>
    </row>
    <row r="112" hidden="1">
      <c r="A112" s="34">
        <v>5.0</v>
      </c>
      <c r="B112" s="34">
        <v>17.0</v>
      </c>
      <c r="C112" s="34">
        <v>10.0</v>
      </c>
      <c r="D112" s="1" t="s">
        <v>57</v>
      </c>
      <c r="E112" s="1" t="s">
        <v>691</v>
      </c>
      <c r="F112" s="1" t="s">
        <v>697</v>
      </c>
      <c r="G112" s="1">
        <v>5.0</v>
      </c>
      <c r="H112" s="1">
        <v>31.0</v>
      </c>
      <c r="I112" s="1" t="s">
        <v>57</v>
      </c>
      <c r="J112" s="1" t="s">
        <v>698</v>
      </c>
      <c r="K112" s="1">
        <v>1.0</v>
      </c>
      <c r="L112" s="1" t="s">
        <v>698</v>
      </c>
    </row>
    <row r="113" hidden="1">
      <c r="A113" s="34">
        <v>5.0</v>
      </c>
      <c r="B113" s="34">
        <v>17.0</v>
      </c>
      <c r="C113" s="34">
        <v>50.0</v>
      </c>
      <c r="D113" s="1" t="s">
        <v>57</v>
      </c>
      <c r="E113" s="1" t="s">
        <v>691</v>
      </c>
      <c r="F113" s="1" t="s">
        <v>699</v>
      </c>
      <c r="G113" s="1">
        <v>5.0</v>
      </c>
      <c r="H113" s="1">
        <v>7.0</v>
      </c>
      <c r="I113" s="1" t="s">
        <v>57</v>
      </c>
      <c r="J113" s="1" t="s">
        <v>700</v>
      </c>
      <c r="K113" s="1">
        <v>1.0</v>
      </c>
      <c r="L113" s="1" t="s">
        <v>701</v>
      </c>
    </row>
    <row r="114" hidden="1">
      <c r="A114" s="34">
        <v>5.0</v>
      </c>
      <c r="B114" s="34">
        <v>17.0</v>
      </c>
      <c r="C114" s="34">
        <v>52.0</v>
      </c>
      <c r="D114" s="1" t="s">
        <v>57</v>
      </c>
      <c r="E114" s="1" t="s">
        <v>691</v>
      </c>
      <c r="F114" s="1" t="s">
        <v>702</v>
      </c>
      <c r="G114" s="1">
        <v>5.0</v>
      </c>
      <c r="H114" s="1">
        <v>23.0</v>
      </c>
      <c r="I114" s="1" t="s">
        <v>57</v>
      </c>
      <c r="J114" s="1" t="s">
        <v>703</v>
      </c>
      <c r="K114" s="1">
        <v>1.0</v>
      </c>
      <c r="L114" s="1" t="s">
        <v>703</v>
      </c>
    </row>
    <row r="115" hidden="1">
      <c r="A115" s="34">
        <v>5.0</v>
      </c>
      <c r="B115" s="34">
        <v>17.0</v>
      </c>
      <c r="C115" s="34">
        <v>74.0</v>
      </c>
      <c r="D115" s="1" t="s">
        <v>57</v>
      </c>
      <c r="E115" s="1" t="s">
        <v>691</v>
      </c>
      <c r="F115" s="1" t="s">
        <v>704</v>
      </c>
      <c r="G115" s="1">
        <v>5.0</v>
      </c>
      <c r="H115" s="1">
        <v>21.0</v>
      </c>
      <c r="I115" s="1" t="s">
        <v>57</v>
      </c>
      <c r="J115" s="1" t="s">
        <v>705</v>
      </c>
      <c r="K115" s="1">
        <v>1.0</v>
      </c>
      <c r="L115" s="1" t="s">
        <v>705</v>
      </c>
    </row>
    <row r="116" hidden="1">
      <c r="A116" s="34">
        <v>5.0</v>
      </c>
      <c r="B116" s="34">
        <v>17.0</v>
      </c>
      <c r="C116" s="34">
        <v>84.0</v>
      </c>
      <c r="D116" s="1" t="s">
        <v>57</v>
      </c>
      <c r="E116" s="1" t="s">
        <v>691</v>
      </c>
      <c r="F116" s="1" t="s">
        <v>706</v>
      </c>
      <c r="G116" s="1">
        <v>5.0</v>
      </c>
      <c r="H116" s="1">
        <v>18.0</v>
      </c>
      <c r="I116" s="1" t="s">
        <v>57</v>
      </c>
      <c r="J116" s="1" t="s">
        <v>691</v>
      </c>
      <c r="K116" s="1">
        <v>1.0</v>
      </c>
      <c r="L116" s="1" t="s">
        <v>691</v>
      </c>
    </row>
    <row r="117" hidden="1">
      <c r="A117" s="34">
        <v>5.0</v>
      </c>
      <c r="B117" s="34">
        <v>17.0</v>
      </c>
      <c r="C117" s="34">
        <v>85.0</v>
      </c>
      <c r="D117" s="1" t="s">
        <v>57</v>
      </c>
      <c r="E117" s="1" t="s">
        <v>691</v>
      </c>
      <c r="F117" s="1" t="s">
        <v>707</v>
      </c>
      <c r="G117" s="1">
        <v>5.0</v>
      </c>
      <c r="H117" s="1">
        <v>29.0</v>
      </c>
      <c r="I117" s="1" t="s">
        <v>57</v>
      </c>
      <c r="J117" s="1" t="s">
        <v>708</v>
      </c>
      <c r="K117" s="1">
        <v>1.0</v>
      </c>
      <c r="L117" s="1" t="s">
        <v>708</v>
      </c>
    </row>
    <row r="118" hidden="1">
      <c r="A118" s="34">
        <v>5.0</v>
      </c>
      <c r="B118" s="34">
        <v>17.0</v>
      </c>
      <c r="C118" s="34">
        <v>86.0</v>
      </c>
      <c r="D118" s="1" t="s">
        <v>57</v>
      </c>
      <c r="E118" s="1" t="s">
        <v>691</v>
      </c>
      <c r="F118" s="1" t="s">
        <v>709</v>
      </c>
      <c r="G118" s="1">
        <v>5.0</v>
      </c>
      <c r="H118" s="1">
        <v>18.0</v>
      </c>
      <c r="I118" s="1" t="s">
        <v>57</v>
      </c>
      <c r="J118" s="1" t="s">
        <v>691</v>
      </c>
      <c r="K118" s="1">
        <v>1.0</v>
      </c>
      <c r="L118" s="1" t="s">
        <v>691</v>
      </c>
    </row>
    <row r="119" hidden="1">
      <c r="A119" s="34">
        <v>5.0</v>
      </c>
      <c r="B119" s="34">
        <v>23.0</v>
      </c>
      <c r="C119" s="34">
        <v>23.0</v>
      </c>
      <c r="D119" s="1" t="s">
        <v>57</v>
      </c>
      <c r="E119" s="1" t="s">
        <v>710</v>
      </c>
      <c r="F119" s="1" t="s">
        <v>711</v>
      </c>
      <c r="G119" s="1">
        <v>5.0</v>
      </c>
      <c r="H119" s="1">
        <v>32.0</v>
      </c>
      <c r="I119" s="1" t="s">
        <v>57</v>
      </c>
      <c r="J119" s="1" t="s">
        <v>712</v>
      </c>
      <c r="K119" s="1">
        <v>1.0</v>
      </c>
      <c r="L119" s="1" t="s">
        <v>712</v>
      </c>
    </row>
    <row r="120" hidden="1">
      <c r="A120" s="34">
        <v>5.0</v>
      </c>
      <c r="B120" s="34">
        <v>23.0</v>
      </c>
      <c r="C120" s="34">
        <v>24.0</v>
      </c>
      <c r="D120" s="1" t="s">
        <v>57</v>
      </c>
      <c r="E120" s="1" t="s">
        <v>710</v>
      </c>
      <c r="F120" s="1" t="s">
        <v>713</v>
      </c>
      <c r="G120" s="1">
        <v>5.0</v>
      </c>
      <c r="H120" s="1">
        <v>32.0</v>
      </c>
      <c r="I120" s="1" t="s">
        <v>57</v>
      </c>
      <c r="J120" s="1" t="s">
        <v>712</v>
      </c>
      <c r="K120" s="1">
        <v>14.0</v>
      </c>
      <c r="L120" s="1" t="s">
        <v>714</v>
      </c>
    </row>
    <row r="121" hidden="1">
      <c r="A121" s="34">
        <v>5.0</v>
      </c>
      <c r="B121" s="34">
        <v>23.0</v>
      </c>
      <c r="C121" s="34">
        <v>25.0</v>
      </c>
      <c r="D121" s="1" t="s">
        <v>57</v>
      </c>
      <c r="E121" s="1" t="s">
        <v>710</v>
      </c>
      <c r="F121" s="1" t="s">
        <v>715</v>
      </c>
      <c r="G121" s="1">
        <v>5.0</v>
      </c>
      <c r="H121" s="1">
        <v>20.0</v>
      </c>
      <c r="I121" s="1" t="s">
        <v>57</v>
      </c>
      <c r="J121" s="1" t="s">
        <v>716</v>
      </c>
      <c r="K121" s="1">
        <v>1.0</v>
      </c>
      <c r="L121" s="1" t="s">
        <v>717</v>
      </c>
    </row>
    <row r="122" hidden="1">
      <c r="A122" s="34">
        <v>5.0</v>
      </c>
      <c r="B122" s="34">
        <v>23.0</v>
      </c>
      <c r="C122" s="34">
        <v>26.0</v>
      </c>
      <c r="D122" s="1" t="s">
        <v>57</v>
      </c>
      <c r="E122" s="1" t="s">
        <v>710</v>
      </c>
      <c r="F122" s="1" t="s">
        <v>718</v>
      </c>
      <c r="G122" s="1">
        <v>5.0</v>
      </c>
      <c r="H122" s="1">
        <v>32.0</v>
      </c>
      <c r="I122" s="1" t="s">
        <v>57</v>
      </c>
      <c r="J122" s="1" t="s">
        <v>712</v>
      </c>
      <c r="K122" s="1">
        <v>1.0</v>
      </c>
      <c r="L122" s="1" t="s">
        <v>712</v>
      </c>
    </row>
    <row r="123" hidden="1">
      <c r="A123" s="34">
        <v>5.0</v>
      </c>
      <c r="B123" s="34">
        <v>23.0</v>
      </c>
      <c r="C123" s="34">
        <v>27.0</v>
      </c>
      <c r="D123" s="1" t="s">
        <v>57</v>
      </c>
      <c r="E123" s="1" t="s">
        <v>710</v>
      </c>
      <c r="F123" s="1" t="s">
        <v>719</v>
      </c>
      <c r="G123" s="1">
        <v>5.0</v>
      </c>
      <c r="H123" s="1">
        <v>20.0</v>
      </c>
      <c r="I123" s="1" t="s">
        <v>57</v>
      </c>
      <c r="J123" s="1" t="s">
        <v>716</v>
      </c>
      <c r="K123" s="1">
        <v>93.0</v>
      </c>
      <c r="L123" s="1" t="s">
        <v>720</v>
      </c>
    </row>
    <row r="124" hidden="1">
      <c r="A124" s="34">
        <v>5.0</v>
      </c>
      <c r="B124" s="34">
        <v>23.0</v>
      </c>
      <c r="C124" s="34">
        <v>28.0</v>
      </c>
      <c r="D124" s="1" t="s">
        <v>57</v>
      </c>
      <c r="E124" s="1" t="s">
        <v>710</v>
      </c>
      <c r="F124" s="1" t="s">
        <v>721</v>
      </c>
      <c r="G124" s="1">
        <v>5.0</v>
      </c>
      <c r="H124" s="1">
        <v>20.0</v>
      </c>
      <c r="I124" s="1" t="s">
        <v>57</v>
      </c>
      <c r="J124" s="1" t="s">
        <v>716</v>
      </c>
      <c r="K124" s="1">
        <v>71.0</v>
      </c>
      <c r="L124" s="1" t="s">
        <v>722</v>
      </c>
    </row>
    <row r="125" hidden="1">
      <c r="A125" s="34">
        <v>5.0</v>
      </c>
      <c r="B125" s="34">
        <v>23.0</v>
      </c>
      <c r="C125" s="34">
        <v>29.0</v>
      </c>
      <c r="D125" s="1" t="s">
        <v>57</v>
      </c>
      <c r="E125" s="1" t="s">
        <v>710</v>
      </c>
      <c r="F125" s="1" t="s">
        <v>723</v>
      </c>
      <c r="G125" s="1">
        <v>5.0</v>
      </c>
      <c r="H125" s="1">
        <v>20.0</v>
      </c>
      <c r="I125" s="1" t="s">
        <v>57</v>
      </c>
      <c r="J125" s="1" t="s">
        <v>716</v>
      </c>
      <c r="K125" s="1">
        <v>43.0</v>
      </c>
      <c r="L125" s="1" t="s">
        <v>724</v>
      </c>
    </row>
    <row r="126" hidden="1">
      <c r="A126" s="34">
        <v>5.0</v>
      </c>
      <c r="B126" s="34">
        <v>23.0</v>
      </c>
      <c r="C126" s="34">
        <v>31.0</v>
      </c>
      <c r="D126" s="1" t="s">
        <v>57</v>
      </c>
      <c r="E126" s="1" t="s">
        <v>710</v>
      </c>
      <c r="F126" s="1" t="s">
        <v>725</v>
      </c>
      <c r="G126" s="1">
        <v>5.0</v>
      </c>
      <c r="H126" s="1">
        <v>20.0</v>
      </c>
      <c r="I126" s="1" t="s">
        <v>57</v>
      </c>
      <c r="J126" s="1" t="s">
        <v>716</v>
      </c>
      <c r="K126" s="1">
        <v>70.0</v>
      </c>
      <c r="L126" s="1" t="s">
        <v>726</v>
      </c>
    </row>
    <row r="127" hidden="1">
      <c r="A127" s="34">
        <v>5.0</v>
      </c>
      <c r="B127" s="34">
        <v>23.0</v>
      </c>
      <c r="C127" s="34">
        <v>32.0</v>
      </c>
      <c r="D127" s="1" t="s">
        <v>57</v>
      </c>
      <c r="E127" s="1" t="s">
        <v>710</v>
      </c>
      <c r="F127" s="1" t="s">
        <v>727</v>
      </c>
      <c r="G127" s="1">
        <v>5.0</v>
      </c>
      <c r="H127" s="1">
        <v>26.0</v>
      </c>
      <c r="I127" s="1" t="s">
        <v>57</v>
      </c>
      <c r="J127" s="1" t="s">
        <v>728</v>
      </c>
      <c r="K127" s="1">
        <v>7.0</v>
      </c>
      <c r="L127" s="1" t="s">
        <v>729</v>
      </c>
    </row>
    <row r="128" hidden="1">
      <c r="A128" s="34">
        <v>6.0</v>
      </c>
      <c r="B128" s="34">
        <v>1.0</v>
      </c>
      <c r="C128" s="34">
        <v>5.0</v>
      </c>
      <c r="D128" s="1" t="s">
        <v>60</v>
      </c>
      <c r="E128" s="1" t="s">
        <v>60</v>
      </c>
      <c r="F128" s="1" t="s">
        <v>730</v>
      </c>
      <c r="G128" s="1">
        <v>6.0</v>
      </c>
      <c r="H128" s="1">
        <v>5.0</v>
      </c>
      <c r="I128" s="1" t="s">
        <v>60</v>
      </c>
      <c r="J128" s="1" t="s">
        <v>731</v>
      </c>
      <c r="K128" s="1">
        <v>1.0</v>
      </c>
      <c r="L128" s="1" t="s">
        <v>731</v>
      </c>
    </row>
    <row r="129" hidden="1">
      <c r="A129" s="34">
        <v>6.0</v>
      </c>
      <c r="B129" s="34">
        <v>1.0</v>
      </c>
      <c r="C129" s="34">
        <v>6.0</v>
      </c>
      <c r="D129" s="1" t="s">
        <v>60</v>
      </c>
      <c r="E129" s="1" t="s">
        <v>60</v>
      </c>
      <c r="F129" s="1" t="s">
        <v>732</v>
      </c>
      <c r="G129" s="1">
        <v>6.0</v>
      </c>
      <c r="H129" s="1">
        <v>5.0</v>
      </c>
      <c r="I129" s="1" t="s">
        <v>60</v>
      </c>
      <c r="J129" s="1" t="s">
        <v>731</v>
      </c>
      <c r="K129" s="1">
        <v>18.0</v>
      </c>
      <c r="L129" s="1" t="s">
        <v>733</v>
      </c>
    </row>
    <row r="130" hidden="1">
      <c r="A130" s="34">
        <v>6.0</v>
      </c>
      <c r="B130" s="34">
        <v>1.0</v>
      </c>
      <c r="C130" s="34">
        <v>11.0</v>
      </c>
      <c r="D130" s="1" t="s">
        <v>60</v>
      </c>
      <c r="E130" s="1" t="s">
        <v>60</v>
      </c>
      <c r="F130" s="1" t="s">
        <v>734</v>
      </c>
      <c r="G130" s="1">
        <v>6.0</v>
      </c>
      <c r="H130" s="1">
        <v>2.0</v>
      </c>
      <c r="I130" s="1" t="s">
        <v>60</v>
      </c>
      <c r="J130" s="1" t="s">
        <v>60</v>
      </c>
      <c r="K130" s="1">
        <v>1.0</v>
      </c>
      <c r="L130" s="1" t="s">
        <v>60</v>
      </c>
    </row>
    <row r="131" hidden="1">
      <c r="A131" s="34">
        <v>6.0</v>
      </c>
      <c r="B131" s="34">
        <v>1.0</v>
      </c>
      <c r="C131" s="34">
        <v>16.0</v>
      </c>
      <c r="D131" s="1" t="s">
        <v>60</v>
      </c>
      <c r="E131" s="1" t="s">
        <v>60</v>
      </c>
      <c r="F131" s="1" t="s">
        <v>735</v>
      </c>
      <c r="G131" s="1">
        <v>6.0</v>
      </c>
      <c r="H131" s="1">
        <v>2.0</v>
      </c>
      <c r="I131" s="1" t="s">
        <v>60</v>
      </c>
      <c r="J131" s="1" t="s">
        <v>60</v>
      </c>
      <c r="K131" s="1">
        <v>1.0</v>
      </c>
      <c r="L131" s="1" t="s">
        <v>60</v>
      </c>
    </row>
    <row r="132" hidden="1">
      <c r="A132" s="34">
        <v>6.0</v>
      </c>
      <c r="B132" s="34">
        <v>1.0</v>
      </c>
      <c r="C132" s="34">
        <v>18.0</v>
      </c>
      <c r="D132" s="1" t="s">
        <v>60</v>
      </c>
      <c r="E132" s="1" t="s">
        <v>60</v>
      </c>
      <c r="F132" s="1" t="s">
        <v>736</v>
      </c>
      <c r="G132" s="1">
        <v>6.0</v>
      </c>
      <c r="H132" s="1">
        <v>10.0</v>
      </c>
      <c r="I132" s="1" t="s">
        <v>60</v>
      </c>
      <c r="J132" s="1" t="s">
        <v>737</v>
      </c>
      <c r="K132" s="1">
        <v>1.0</v>
      </c>
      <c r="L132" s="1" t="s">
        <v>737</v>
      </c>
    </row>
    <row r="133" hidden="1">
      <c r="A133" s="34">
        <v>6.0</v>
      </c>
      <c r="B133" s="34">
        <v>1.0</v>
      </c>
      <c r="C133" s="34">
        <v>19.0</v>
      </c>
      <c r="D133" s="1" t="s">
        <v>60</v>
      </c>
      <c r="E133" s="1" t="s">
        <v>60</v>
      </c>
      <c r="F133" s="1" t="s">
        <v>738</v>
      </c>
      <c r="G133" s="1">
        <v>6.0</v>
      </c>
      <c r="H133" s="1">
        <v>2.0</v>
      </c>
      <c r="I133" s="1" t="s">
        <v>60</v>
      </c>
      <c r="J133" s="1" t="s">
        <v>60</v>
      </c>
      <c r="K133" s="1">
        <v>1.0</v>
      </c>
      <c r="L133" s="1" t="s">
        <v>60</v>
      </c>
    </row>
    <row r="134" hidden="1">
      <c r="A134" s="34">
        <v>6.0</v>
      </c>
      <c r="B134" s="34">
        <v>3.0</v>
      </c>
      <c r="C134" s="34">
        <v>2.0</v>
      </c>
      <c r="D134" s="1" t="s">
        <v>60</v>
      </c>
      <c r="E134" s="1" t="s">
        <v>739</v>
      </c>
      <c r="F134" s="1" t="s">
        <v>740</v>
      </c>
      <c r="G134" s="1">
        <v>6.0</v>
      </c>
      <c r="H134" s="1">
        <v>7.0</v>
      </c>
      <c r="I134" s="1" t="s">
        <v>60</v>
      </c>
      <c r="J134" s="1" t="s">
        <v>739</v>
      </c>
      <c r="K134" s="1">
        <v>1.0</v>
      </c>
      <c r="L134" s="1" t="s">
        <v>739</v>
      </c>
    </row>
    <row r="135" hidden="1">
      <c r="A135" s="34">
        <v>6.0</v>
      </c>
      <c r="B135" s="34">
        <v>3.0</v>
      </c>
      <c r="C135" s="34">
        <v>9.0</v>
      </c>
      <c r="D135" s="1" t="s">
        <v>60</v>
      </c>
      <c r="E135" s="1" t="s">
        <v>739</v>
      </c>
      <c r="F135" s="1" t="s">
        <v>741</v>
      </c>
      <c r="G135" s="1">
        <v>6.0</v>
      </c>
      <c r="H135" s="1">
        <v>8.0</v>
      </c>
      <c r="I135" s="1" t="s">
        <v>60</v>
      </c>
      <c r="J135" s="1" t="s">
        <v>742</v>
      </c>
      <c r="K135" s="1">
        <v>1.0</v>
      </c>
      <c r="L135" s="1" t="s">
        <v>742</v>
      </c>
    </row>
    <row r="136" hidden="1">
      <c r="A136" s="34">
        <v>6.0</v>
      </c>
      <c r="B136" s="34">
        <v>3.0</v>
      </c>
      <c r="C136" s="34">
        <v>17.0</v>
      </c>
      <c r="D136" s="1" t="s">
        <v>60</v>
      </c>
      <c r="E136" s="1" t="s">
        <v>739</v>
      </c>
      <c r="F136" s="1" t="s">
        <v>743</v>
      </c>
      <c r="G136" s="1">
        <v>6.0</v>
      </c>
      <c r="H136" s="1">
        <v>7.0</v>
      </c>
      <c r="I136" s="1" t="s">
        <v>60</v>
      </c>
      <c r="J136" s="1" t="s">
        <v>739</v>
      </c>
      <c r="K136" s="1">
        <v>1.0</v>
      </c>
      <c r="L136" s="1" t="s">
        <v>739</v>
      </c>
    </row>
    <row r="137" hidden="1">
      <c r="A137" s="34">
        <v>6.0</v>
      </c>
      <c r="B137" s="34">
        <v>7.0</v>
      </c>
      <c r="C137" s="34">
        <v>3.0</v>
      </c>
      <c r="D137" s="1" t="s">
        <v>60</v>
      </c>
      <c r="E137" s="1" t="s">
        <v>745</v>
      </c>
      <c r="F137" s="1" t="s">
        <v>746</v>
      </c>
      <c r="G137" s="1">
        <v>6.0</v>
      </c>
      <c r="H137" s="1">
        <v>1.0</v>
      </c>
      <c r="I137" s="1" t="s">
        <v>60</v>
      </c>
      <c r="J137" s="1" t="s">
        <v>748</v>
      </c>
      <c r="K137" s="1">
        <v>1.0</v>
      </c>
      <c r="L137" s="1" t="s">
        <v>749</v>
      </c>
    </row>
    <row r="138" hidden="1">
      <c r="A138" s="34">
        <v>6.0</v>
      </c>
      <c r="B138" s="34">
        <v>7.0</v>
      </c>
      <c r="C138" s="34">
        <v>4.0</v>
      </c>
      <c r="D138" s="1" t="s">
        <v>60</v>
      </c>
      <c r="E138" s="1" t="s">
        <v>745</v>
      </c>
      <c r="F138" s="1" t="s">
        <v>751</v>
      </c>
      <c r="G138" s="1">
        <v>6.0</v>
      </c>
      <c r="H138" s="1">
        <v>9.0</v>
      </c>
      <c r="I138" s="1" t="s">
        <v>60</v>
      </c>
      <c r="J138" s="1" t="s">
        <v>745</v>
      </c>
      <c r="K138" s="1">
        <v>1.0</v>
      </c>
      <c r="L138" s="1" t="s">
        <v>745</v>
      </c>
    </row>
    <row r="139" hidden="1">
      <c r="A139" s="34">
        <v>7.0</v>
      </c>
      <c r="B139" s="34">
        <v>1.0</v>
      </c>
      <c r="C139" s="34">
        <v>13.0</v>
      </c>
      <c r="D139" s="1" t="s">
        <v>81</v>
      </c>
      <c r="E139" s="1" t="s">
        <v>752</v>
      </c>
      <c r="F139" s="1" t="s">
        <v>753</v>
      </c>
      <c r="G139" s="1">
        <v>7.0</v>
      </c>
      <c r="H139" s="1">
        <v>101.0</v>
      </c>
      <c r="I139" s="1" t="s">
        <v>81</v>
      </c>
      <c r="J139" s="1" t="s">
        <v>752</v>
      </c>
      <c r="K139" s="1">
        <v>1.0</v>
      </c>
      <c r="L139" s="1" t="s">
        <v>752</v>
      </c>
    </row>
    <row r="140" hidden="1">
      <c r="A140" s="34">
        <v>7.0</v>
      </c>
      <c r="B140" s="34">
        <v>1.0</v>
      </c>
      <c r="C140" s="34">
        <v>14.0</v>
      </c>
      <c r="D140" s="1" t="s">
        <v>81</v>
      </c>
      <c r="E140" s="1" t="s">
        <v>752</v>
      </c>
      <c r="F140" s="1" t="s">
        <v>756</v>
      </c>
      <c r="G140" s="1">
        <v>7.0</v>
      </c>
      <c r="H140" s="1">
        <v>106.0</v>
      </c>
      <c r="I140" s="1" t="s">
        <v>81</v>
      </c>
      <c r="J140" s="1" t="s">
        <v>757</v>
      </c>
      <c r="K140" s="1">
        <v>109.0</v>
      </c>
      <c r="L140" s="1" t="s">
        <v>758</v>
      </c>
    </row>
    <row r="141" hidden="1">
      <c r="A141" s="34">
        <v>7.0</v>
      </c>
      <c r="B141" s="34">
        <v>1.0</v>
      </c>
      <c r="C141" s="34">
        <v>17.0</v>
      </c>
      <c r="D141" s="1" t="s">
        <v>81</v>
      </c>
      <c r="E141" s="1" t="s">
        <v>752</v>
      </c>
      <c r="F141" s="1" t="s">
        <v>759</v>
      </c>
      <c r="G141" s="1">
        <v>7.0</v>
      </c>
      <c r="H141" s="1">
        <v>78.0</v>
      </c>
      <c r="I141" s="1" t="s">
        <v>81</v>
      </c>
      <c r="J141" s="1" t="s">
        <v>760</v>
      </c>
      <c r="K141" s="1">
        <v>1.0</v>
      </c>
      <c r="L141" s="1" t="s">
        <v>761</v>
      </c>
    </row>
    <row r="142" hidden="1">
      <c r="A142" s="34">
        <v>7.0</v>
      </c>
      <c r="B142" s="34">
        <v>1.0</v>
      </c>
      <c r="C142" s="34">
        <v>18.0</v>
      </c>
      <c r="D142" s="1" t="s">
        <v>81</v>
      </c>
      <c r="E142" s="1" t="s">
        <v>752</v>
      </c>
      <c r="F142" s="1" t="s">
        <v>763</v>
      </c>
      <c r="G142" s="1">
        <v>7.0</v>
      </c>
      <c r="H142" s="1">
        <v>19.0</v>
      </c>
      <c r="I142" s="1" t="s">
        <v>81</v>
      </c>
      <c r="J142" s="1" t="s">
        <v>764</v>
      </c>
      <c r="K142" s="1">
        <v>1.0</v>
      </c>
      <c r="L142" s="1" t="s">
        <v>764</v>
      </c>
    </row>
    <row r="143" hidden="1">
      <c r="A143" s="34">
        <v>7.0</v>
      </c>
      <c r="B143" s="34">
        <v>1.0</v>
      </c>
      <c r="C143" s="34">
        <v>20.0</v>
      </c>
      <c r="D143" s="1" t="s">
        <v>81</v>
      </c>
      <c r="E143" s="1" t="s">
        <v>752</v>
      </c>
      <c r="F143" s="1" t="s">
        <v>765</v>
      </c>
      <c r="G143" s="1">
        <v>7.0</v>
      </c>
      <c r="H143" s="1">
        <v>106.0</v>
      </c>
      <c r="I143" s="1" t="s">
        <v>81</v>
      </c>
      <c r="J143" s="1" t="s">
        <v>757</v>
      </c>
      <c r="K143" s="1">
        <v>607.0</v>
      </c>
      <c r="L143" s="1" t="s">
        <v>766</v>
      </c>
    </row>
    <row r="144" hidden="1">
      <c r="A144" s="34">
        <v>7.0</v>
      </c>
      <c r="B144" s="34">
        <v>1.0</v>
      </c>
      <c r="C144" s="34">
        <v>21.0</v>
      </c>
      <c r="D144" s="1" t="s">
        <v>81</v>
      </c>
      <c r="E144" s="1" t="s">
        <v>752</v>
      </c>
      <c r="F144" s="1" t="s">
        <v>767</v>
      </c>
      <c r="G144" s="1">
        <v>7.0</v>
      </c>
      <c r="H144" s="1">
        <v>29.0</v>
      </c>
      <c r="I144" s="1" t="s">
        <v>81</v>
      </c>
      <c r="J144" s="1" t="s">
        <v>768</v>
      </c>
      <c r="K144" s="1">
        <v>1.0</v>
      </c>
      <c r="L144" s="1" t="s">
        <v>768</v>
      </c>
    </row>
    <row r="145" hidden="1">
      <c r="A145" s="34">
        <v>7.0</v>
      </c>
      <c r="B145" s="34">
        <v>1.0</v>
      </c>
      <c r="C145" s="34">
        <v>23.0</v>
      </c>
      <c r="D145" s="1" t="s">
        <v>81</v>
      </c>
      <c r="E145" s="1" t="s">
        <v>752</v>
      </c>
      <c r="F145" s="1" t="s">
        <v>769</v>
      </c>
      <c r="G145" s="1">
        <v>7.0</v>
      </c>
      <c r="H145" s="1">
        <v>101.0</v>
      </c>
      <c r="I145" s="1" t="s">
        <v>81</v>
      </c>
      <c r="J145" s="1" t="s">
        <v>752</v>
      </c>
      <c r="K145" s="1">
        <v>1.0</v>
      </c>
      <c r="L145" s="1" t="s">
        <v>752</v>
      </c>
    </row>
    <row r="146" hidden="1">
      <c r="A146" s="34">
        <v>7.0</v>
      </c>
      <c r="B146" s="34">
        <v>1.0</v>
      </c>
      <c r="C146" s="34">
        <v>24.0</v>
      </c>
      <c r="D146" s="1" t="s">
        <v>81</v>
      </c>
      <c r="E146" s="1" t="s">
        <v>752</v>
      </c>
      <c r="F146" s="1" t="s">
        <v>770</v>
      </c>
      <c r="G146" s="1">
        <v>7.0</v>
      </c>
      <c r="H146" s="1">
        <v>17.0</v>
      </c>
      <c r="I146" s="1" t="s">
        <v>81</v>
      </c>
      <c r="J146" s="1" t="s">
        <v>771</v>
      </c>
      <c r="K146" s="1">
        <v>1.0</v>
      </c>
      <c r="L146" s="1" t="s">
        <v>772</v>
      </c>
    </row>
    <row r="147" hidden="1">
      <c r="A147" s="34">
        <v>7.0</v>
      </c>
      <c r="B147" s="34">
        <v>1.0</v>
      </c>
      <c r="C147" s="34">
        <v>25.0</v>
      </c>
      <c r="D147" s="1" t="s">
        <v>81</v>
      </c>
      <c r="E147" s="1" t="s">
        <v>752</v>
      </c>
      <c r="F147" s="1" t="s">
        <v>773</v>
      </c>
      <c r="G147" s="1">
        <v>7.0</v>
      </c>
      <c r="H147" s="1">
        <v>101.0</v>
      </c>
      <c r="I147" s="1" t="s">
        <v>81</v>
      </c>
      <c r="J147" s="1" t="s">
        <v>752</v>
      </c>
      <c r="K147" s="1">
        <v>1.0</v>
      </c>
      <c r="L147" s="1" t="s">
        <v>752</v>
      </c>
    </row>
    <row r="148" hidden="1">
      <c r="A148" s="34">
        <v>7.0</v>
      </c>
      <c r="B148" s="34">
        <v>1.0</v>
      </c>
      <c r="C148" s="34">
        <v>34.0</v>
      </c>
      <c r="D148" s="1" t="s">
        <v>81</v>
      </c>
      <c r="E148" s="1" t="s">
        <v>752</v>
      </c>
      <c r="F148" s="1" t="s">
        <v>774</v>
      </c>
      <c r="G148" s="1">
        <v>7.0</v>
      </c>
      <c r="H148" s="1">
        <v>108.0</v>
      </c>
      <c r="I148" s="1" t="s">
        <v>81</v>
      </c>
      <c r="J148" s="1" t="s">
        <v>775</v>
      </c>
      <c r="K148" s="1">
        <v>1.0</v>
      </c>
      <c r="L148" s="1" t="s">
        <v>775</v>
      </c>
    </row>
    <row r="149" hidden="1">
      <c r="A149" s="34">
        <v>7.0</v>
      </c>
      <c r="B149" s="34">
        <v>1.0</v>
      </c>
      <c r="C149" s="34">
        <v>40.0</v>
      </c>
      <c r="D149" s="1" t="s">
        <v>81</v>
      </c>
      <c r="E149" s="1" t="s">
        <v>752</v>
      </c>
      <c r="F149" s="1" t="s">
        <v>776</v>
      </c>
      <c r="G149" s="1">
        <v>7.0</v>
      </c>
      <c r="H149" s="1">
        <v>74.0</v>
      </c>
      <c r="I149" s="1" t="s">
        <v>81</v>
      </c>
      <c r="J149" s="1" t="s">
        <v>777</v>
      </c>
      <c r="K149" s="1">
        <v>1.0</v>
      </c>
      <c r="L149" s="1" t="s">
        <v>777</v>
      </c>
    </row>
    <row r="150" hidden="1">
      <c r="A150" s="34">
        <v>7.0</v>
      </c>
      <c r="B150" s="34">
        <v>1.0</v>
      </c>
      <c r="C150" s="34">
        <v>41.0</v>
      </c>
      <c r="D150" s="1" t="s">
        <v>81</v>
      </c>
      <c r="E150" s="1" t="s">
        <v>752</v>
      </c>
      <c r="F150" s="1" t="s">
        <v>778</v>
      </c>
      <c r="G150" s="1">
        <v>7.0</v>
      </c>
      <c r="H150" s="1">
        <v>92.0</v>
      </c>
      <c r="I150" s="1" t="s">
        <v>81</v>
      </c>
      <c r="J150" s="1" t="s">
        <v>779</v>
      </c>
      <c r="K150" s="1">
        <v>31.0</v>
      </c>
      <c r="L150" s="1" t="s">
        <v>780</v>
      </c>
    </row>
    <row r="151" hidden="1">
      <c r="A151" s="34">
        <v>7.0</v>
      </c>
      <c r="B151" s="34">
        <v>1.0</v>
      </c>
      <c r="C151" s="34">
        <v>42.0</v>
      </c>
      <c r="D151" s="1" t="s">
        <v>81</v>
      </c>
      <c r="E151" s="1" t="s">
        <v>752</v>
      </c>
      <c r="F151" s="1" t="s">
        <v>781</v>
      </c>
      <c r="G151" s="1">
        <v>7.0</v>
      </c>
      <c r="H151" s="1">
        <v>62.0</v>
      </c>
      <c r="I151" s="1" t="s">
        <v>81</v>
      </c>
      <c r="J151" s="1" t="s">
        <v>782</v>
      </c>
      <c r="K151" s="1">
        <v>43.0</v>
      </c>
      <c r="L151" s="1" t="s">
        <v>783</v>
      </c>
    </row>
    <row r="152" hidden="1">
      <c r="A152" s="34">
        <v>7.0</v>
      </c>
      <c r="B152" s="34">
        <v>1.0</v>
      </c>
      <c r="C152" s="34">
        <v>43.0</v>
      </c>
      <c r="D152" s="1" t="s">
        <v>81</v>
      </c>
      <c r="E152" s="1" t="s">
        <v>752</v>
      </c>
      <c r="F152" s="1" t="s">
        <v>784</v>
      </c>
      <c r="G152" s="1">
        <v>7.0</v>
      </c>
      <c r="H152" s="1">
        <v>68.0</v>
      </c>
      <c r="I152" s="1" t="s">
        <v>81</v>
      </c>
      <c r="J152" s="1" t="s">
        <v>785</v>
      </c>
      <c r="K152" s="1">
        <v>1.0</v>
      </c>
      <c r="L152" s="1" t="s">
        <v>785</v>
      </c>
    </row>
    <row r="153" hidden="1">
      <c r="A153" s="34">
        <v>7.0</v>
      </c>
      <c r="B153" s="34">
        <v>1.0</v>
      </c>
      <c r="C153" s="34">
        <v>44.0</v>
      </c>
      <c r="D153" s="1" t="s">
        <v>81</v>
      </c>
      <c r="E153" s="1" t="s">
        <v>752</v>
      </c>
      <c r="F153" s="1" t="s">
        <v>786</v>
      </c>
      <c r="G153" s="1">
        <v>7.0</v>
      </c>
      <c r="H153" s="1">
        <v>48.0</v>
      </c>
      <c r="I153" s="1" t="s">
        <v>81</v>
      </c>
      <c r="J153" s="1" t="s">
        <v>787</v>
      </c>
      <c r="K153" s="1">
        <v>1.0</v>
      </c>
      <c r="L153" s="1" t="s">
        <v>787</v>
      </c>
    </row>
    <row r="154" hidden="1">
      <c r="A154" s="34">
        <v>7.0</v>
      </c>
      <c r="B154" s="34">
        <v>1.0</v>
      </c>
      <c r="C154" s="34">
        <v>45.0</v>
      </c>
      <c r="D154" s="1" t="s">
        <v>81</v>
      </c>
      <c r="E154" s="1" t="s">
        <v>752</v>
      </c>
      <c r="F154" s="1" t="s">
        <v>788</v>
      </c>
      <c r="G154" s="1">
        <v>7.0</v>
      </c>
      <c r="H154" s="1">
        <v>65.0</v>
      </c>
      <c r="I154" s="1" t="s">
        <v>81</v>
      </c>
      <c r="J154" s="1" t="s">
        <v>789</v>
      </c>
      <c r="K154" s="1">
        <v>1.0</v>
      </c>
      <c r="L154" s="1" t="s">
        <v>789</v>
      </c>
    </row>
    <row r="155" hidden="1">
      <c r="A155" s="34">
        <v>7.0</v>
      </c>
      <c r="B155" s="34">
        <v>2.0</v>
      </c>
      <c r="C155" s="34">
        <v>1.0</v>
      </c>
      <c r="D155" s="1" t="s">
        <v>81</v>
      </c>
      <c r="E155" s="1" t="s">
        <v>790</v>
      </c>
      <c r="F155" s="1" t="s">
        <v>791</v>
      </c>
      <c r="G155" s="1">
        <v>7.0</v>
      </c>
      <c r="H155" s="1">
        <v>89.0</v>
      </c>
      <c r="I155" s="1" t="s">
        <v>81</v>
      </c>
      <c r="J155" s="1" t="s">
        <v>790</v>
      </c>
      <c r="K155" s="1">
        <v>1.0</v>
      </c>
      <c r="L155" s="1" t="s">
        <v>792</v>
      </c>
    </row>
    <row r="156" hidden="1">
      <c r="A156" s="34">
        <v>7.0</v>
      </c>
      <c r="B156" s="34">
        <v>2.0</v>
      </c>
      <c r="C156" s="34">
        <v>4.0</v>
      </c>
      <c r="D156" s="1" t="s">
        <v>81</v>
      </c>
      <c r="E156" s="1" t="s">
        <v>790</v>
      </c>
      <c r="F156" s="1" t="s">
        <v>793</v>
      </c>
      <c r="G156" s="1">
        <v>7.0</v>
      </c>
      <c r="H156" s="1">
        <v>105.0</v>
      </c>
      <c r="I156" s="1" t="s">
        <v>81</v>
      </c>
      <c r="J156" s="1" t="s">
        <v>794</v>
      </c>
      <c r="K156" s="1">
        <v>24.0</v>
      </c>
      <c r="L156" s="1" t="s">
        <v>795</v>
      </c>
    </row>
    <row r="157" hidden="1">
      <c r="A157" s="34">
        <v>7.0</v>
      </c>
      <c r="B157" s="34">
        <v>2.0</v>
      </c>
      <c r="C157" s="34">
        <v>5.0</v>
      </c>
      <c r="D157" s="1" t="s">
        <v>81</v>
      </c>
      <c r="E157" s="1" t="s">
        <v>790</v>
      </c>
      <c r="F157" s="1" t="s">
        <v>796</v>
      </c>
      <c r="G157" s="1">
        <v>7.0</v>
      </c>
      <c r="H157" s="1">
        <v>87.0</v>
      </c>
      <c r="I157" s="1" t="s">
        <v>81</v>
      </c>
      <c r="J157" s="1" t="s">
        <v>797</v>
      </c>
      <c r="K157" s="1">
        <v>1.0</v>
      </c>
      <c r="L157" s="1" t="s">
        <v>798</v>
      </c>
    </row>
    <row r="158" hidden="1">
      <c r="A158" s="34">
        <v>7.0</v>
      </c>
      <c r="B158" s="34">
        <v>2.0</v>
      </c>
      <c r="C158" s="34">
        <v>6.0</v>
      </c>
      <c r="D158" s="1" t="s">
        <v>81</v>
      </c>
      <c r="E158" s="1" t="s">
        <v>790</v>
      </c>
      <c r="F158" s="1" t="s">
        <v>799</v>
      </c>
      <c r="G158" s="1">
        <v>7.0</v>
      </c>
      <c r="H158" s="1">
        <v>89.0</v>
      </c>
      <c r="I158" s="1" t="s">
        <v>81</v>
      </c>
      <c r="J158" s="1" t="s">
        <v>790</v>
      </c>
      <c r="K158" s="1">
        <v>264.0</v>
      </c>
      <c r="L158" s="1" t="s">
        <v>800</v>
      </c>
    </row>
    <row r="159" hidden="1">
      <c r="A159" s="34">
        <v>7.0</v>
      </c>
      <c r="B159" s="34">
        <v>2.0</v>
      </c>
      <c r="C159" s="34">
        <v>7.0</v>
      </c>
      <c r="D159" s="1" t="s">
        <v>81</v>
      </c>
      <c r="E159" s="1" t="s">
        <v>790</v>
      </c>
      <c r="F159" s="1" t="s">
        <v>801</v>
      </c>
      <c r="G159" s="1">
        <v>7.0</v>
      </c>
      <c r="H159" s="1">
        <v>54.0</v>
      </c>
      <c r="I159" s="1" t="s">
        <v>81</v>
      </c>
      <c r="J159" s="1" t="s">
        <v>802</v>
      </c>
      <c r="K159" s="1">
        <v>1.0</v>
      </c>
      <c r="L159" s="1" t="s">
        <v>802</v>
      </c>
    </row>
    <row r="160" hidden="1">
      <c r="A160" s="34">
        <v>7.0</v>
      </c>
      <c r="B160" s="34">
        <v>2.0</v>
      </c>
      <c r="C160" s="34">
        <v>11.0</v>
      </c>
      <c r="D160" s="1" t="s">
        <v>81</v>
      </c>
      <c r="E160" s="1" t="s">
        <v>790</v>
      </c>
      <c r="F160" s="1" t="s">
        <v>803</v>
      </c>
      <c r="G160" s="1">
        <v>7.0</v>
      </c>
      <c r="H160" s="1">
        <v>89.0</v>
      </c>
      <c r="I160" s="1" t="s">
        <v>81</v>
      </c>
      <c r="J160" s="1" t="s">
        <v>790</v>
      </c>
      <c r="K160" s="1">
        <v>1.0</v>
      </c>
      <c r="L160" s="1" t="s">
        <v>792</v>
      </c>
    </row>
    <row r="161" hidden="1">
      <c r="A161" s="34">
        <v>7.0</v>
      </c>
      <c r="B161" s="34">
        <v>2.0</v>
      </c>
      <c r="C161" s="34">
        <v>12.0</v>
      </c>
      <c r="D161" s="1" t="s">
        <v>81</v>
      </c>
      <c r="E161" s="1" t="s">
        <v>790</v>
      </c>
      <c r="F161" s="1" t="s">
        <v>804</v>
      </c>
      <c r="G161" s="1">
        <v>7.0</v>
      </c>
      <c r="H161" s="1">
        <v>15.0</v>
      </c>
      <c r="I161" s="1" t="s">
        <v>81</v>
      </c>
      <c r="J161" s="1" t="s">
        <v>805</v>
      </c>
      <c r="K161" s="1">
        <v>1.0</v>
      </c>
      <c r="L161" s="1" t="s">
        <v>805</v>
      </c>
    </row>
    <row r="162" hidden="1">
      <c r="A162" s="34">
        <v>7.0</v>
      </c>
      <c r="B162" s="34">
        <v>2.0</v>
      </c>
      <c r="C162" s="34">
        <v>15.0</v>
      </c>
      <c r="D162" s="1" t="s">
        <v>81</v>
      </c>
      <c r="E162" s="1" t="s">
        <v>790</v>
      </c>
      <c r="F162" s="1" t="s">
        <v>806</v>
      </c>
      <c r="G162" s="1">
        <v>7.0</v>
      </c>
      <c r="H162" s="1">
        <v>97.0</v>
      </c>
      <c r="I162" s="1" t="s">
        <v>81</v>
      </c>
      <c r="J162" s="1" t="s">
        <v>807</v>
      </c>
      <c r="K162" s="1">
        <v>1.0</v>
      </c>
      <c r="L162" s="1" t="s">
        <v>807</v>
      </c>
    </row>
    <row r="163" hidden="1">
      <c r="A163" s="34">
        <v>7.0</v>
      </c>
      <c r="B163" s="34">
        <v>2.0</v>
      </c>
      <c r="C163" s="34">
        <v>16.0</v>
      </c>
      <c r="D163" s="1" t="s">
        <v>81</v>
      </c>
      <c r="E163" s="1" t="s">
        <v>790</v>
      </c>
      <c r="F163" s="1" t="s">
        <v>808</v>
      </c>
      <c r="G163" s="1">
        <v>7.0</v>
      </c>
      <c r="H163" s="1">
        <v>9.0</v>
      </c>
      <c r="I163" s="1" t="s">
        <v>81</v>
      </c>
      <c r="J163" s="1" t="s">
        <v>809</v>
      </c>
      <c r="K163" s="1">
        <v>1.0</v>
      </c>
      <c r="L163" s="1" t="s">
        <v>809</v>
      </c>
    </row>
    <row r="164" hidden="1">
      <c r="A164" s="34">
        <v>7.0</v>
      </c>
      <c r="B164" s="34">
        <v>2.0</v>
      </c>
      <c r="C164" s="34">
        <v>19.0</v>
      </c>
      <c r="D164" s="1" t="s">
        <v>81</v>
      </c>
      <c r="E164" s="1" t="s">
        <v>790</v>
      </c>
      <c r="F164" s="1" t="s">
        <v>810</v>
      </c>
      <c r="G164" s="1">
        <v>7.0</v>
      </c>
      <c r="H164" s="1">
        <v>40.0</v>
      </c>
      <c r="I164" s="1" t="s">
        <v>81</v>
      </c>
      <c r="J164" s="1" t="s">
        <v>811</v>
      </c>
      <c r="K164" s="1">
        <v>1.0</v>
      </c>
      <c r="L164" s="1" t="s">
        <v>811</v>
      </c>
    </row>
    <row r="165" hidden="1">
      <c r="A165" s="34">
        <v>7.0</v>
      </c>
      <c r="B165" s="34">
        <v>2.0</v>
      </c>
      <c r="C165" s="34">
        <v>22.0</v>
      </c>
      <c r="D165" s="1" t="s">
        <v>81</v>
      </c>
      <c r="E165" s="1" t="s">
        <v>790</v>
      </c>
      <c r="F165" s="1" t="s">
        <v>812</v>
      </c>
      <c r="G165" s="1">
        <v>7.0</v>
      </c>
      <c r="H165" s="1">
        <v>3.0</v>
      </c>
      <c r="I165" s="1" t="s">
        <v>81</v>
      </c>
      <c r="J165" s="1" t="s">
        <v>813</v>
      </c>
      <c r="K165" s="1">
        <v>1.0</v>
      </c>
      <c r="L165" s="1" t="s">
        <v>813</v>
      </c>
    </row>
    <row r="166" hidden="1">
      <c r="A166" s="34">
        <v>7.0</v>
      </c>
      <c r="B166" s="34">
        <v>2.0</v>
      </c>
      <c r="C166" s="34">
        <v>26.0</v>
      </c>
      <c r="D166" s="1" t="s">
        <v>81</v>
      </c>
      <c r="E166" s="1" t="s">
        <v>790</v>
      </c>
      <c r="F166" s="1" t="s">
        <v>814</v>
      </c>
      <c r="G166" s="1">
        <v>7.0</v>
      </c>
      <c r="H166" s="1">
        <v>32.0</v>
      </c>
      <c r="I166" s="1" t="s">
        <v>81</v>
      </c>
      <c r="J166" s="1" t="s">
        <v>815</v>
      </c>
      <c r="K166" s="1">
        <v>1.0</v>
      </c>
      <c r="L166" s="1" t="s">
        <v>815</v>
      </c>
    </row>
    <row r="167" hidden="1">
      <c r="A167" s="34">
        <v>7.0</v>
      </c>
      <c r="B167" s="34">
        <v>2.0</v>
      </c>
      <c r="C167" s="34">
        <v>27.0</v>
      </c>
      <c r="D167" s="1" t="s">
        <v>81</v>
      </c>
      <c r="E167" s="1" t="s">
        <v>790</v>
      </c>
      <c r="F167" s="1" t="s">
        <v>816</v>
      </c>
      <c r="G167" s="1">
        <v>7.0</v>
      </c>
      <c r="H167" s="1">
        <v>34.0</v>
      </c>
      <c r="I167" s="1" t="s">
        <v>81</v>
      </c>
      <c r="J167" s="1" t="s">
        <v>817</v>
      </c>
      <c r="K167" s="1">
        <v>1.0</v>
      </c>
      <c r="L167" s="1" t="s">
        <v>817</v>
      </c>
    </row>
    <row r="168" hidden="1">
      <c r="A168" s="34">
        <v>7.0</v>
      </c>
      <c r="B168" s="34">
        <v>2.0</v>
      </c>
      <c r="C168" s="34">
        <v>29.0</v>
      </c>
      <c r="D168" s="1" t="s">
        <v>81</v>
      </c>
      <c r="E168" s="1" t="s">
        <v>790</v>
      </c>
      <c r="F168" s="1" t="s">
        <v>818</v>
      </c>
      <c r="G168" s="1">
        <v>7.0</v>
      </c>
      <c r="H168" s="1">
        <v>51.0</v>
      </c>
      <c r="I168" s="1" t="s">
        <v>81</v>
      </c>
      <c r="J168" s="1" t="s">
        <v>819</v>
      </c>
      <c r="K168" s="1">
        <v>1.0</v>
      </c>
      <c r="L168" s="1" t="s">
        <v>819</v>
      </c>
    </row>
    <row r="169" hidden="1">
      <c r="A169" s="34">
        <v>7.0</v>
      </c>
      <c r="B169" s="34">
        <v>2.0</v>
      </c>
      <c r="C169" s="34">
        <v>33.0</v>
      </c>
      <c r="D169" s="1" t="s">
        <v>81</v>
      </c>
      <c r="E169" s="1" t="s">
        <v>790</v>
      </c>
      <c r="F169" s="1" t="s">
        <v>820</v>
      </c>
      <c r="G169" s="1">
        <v>7.0</v>
      </c>
      <c r="H169" s="1">
        <v>69.0</v>
      </c>
      <c r="I169" s="1" t="s">
        <v>81</v>
      </c>
      <c r="J169" s="1" t="s">
        <v>821</v>
      </c>
      <c r="K169" s="1">
        <v>1.0</v>
      </c>
      <c r="L169" s="1" t="s">
        <v>821</v>
      </c>
    </row>
    <row r="170" hidden="1">
      <c r="A170" s="34">
        <v>8.0</v>
      </c>
      <c r="B170" s="34">
        <v>1.0</v>
      </c>
      <c r="C170" s="34">
        <v>2.0</v>
      </c>
      <c r="D170" s="1" t="s">
        <v>84</v>
      </c>
      <c r="E170" s="1" t="s">
        <v>84</v>
      </c>
      <c r="F170" s="1" t="s">
        <v>822</v>
      </c>
      <c r="G170" s="1">
        <v>8.0</v>
      </c>
      <c r="H170" s="1">
        <v>19.0</v>
      </c>
      <c r="I170" s="1" t="s">
        <v>84</v>
      </c>
      <c r="J170" s="1" t="s">
        <v>84</v>
      </c>
      <c r="K170" s="1">
        <v>1.0</v>
      </c>
      <c r="L170" s="1" t="s">
        <v>84</v>
      </c>
    </row>
    <row r="171" hidden="1">
      <c r="A171" s="34">
        <v>8.0</v>
      </c>
      <c r="B171" s="34">
        <v>1.0</v>
      </c>
      <c r="C171" s="34">
        <v>3.0</v>
      </c>
      <c r="D171" s="1" t="s">
        <v>84</v>
      </c>
      <c r="E171" s="1" t="s">
        <v>84</v>
      </c>
      <c r="F171" s="1" t="s">
        <v>823</v>
      </c>
      <c r="G171" s="1">
        <v>8.0</v>
      </c>
      <c r="H171" s="1">
        <v>2.0</v>
      </c>
      <c r="I171" s="1" t="s">
        <v>84</v>
      </c>
      <c r="J171" s="1" t="s">
        <v>824</v>
      </c>
      <c r="K171" s="1">
        <v>1.0</v>
      </c>
      <c r="L171" s="1" t="s">
        <v>825</v>
      </c>
    </row>
    <row r="172" hidden="1">
      <c r="A172" s="34">
        <v>8.0</v>
      </c>
      <c r="B172" s="34">
        <v>1.0</v>
      </c>
      <c r="C172" s="34">
        <v>4.0</v>
      </c>
      <c r="D172" s="1" t="s">
        <v>84</v>
      </c>
      <c r="E172" s="1" t="s">
        <v>84</v>
      </c>
      <c r="F172" s="1" t="s">
        <v>826</v>
      </c>
      <c r="G172" s="1">
        <v>8.0</v>
      </c>
      <c r="H172" s="1">
        <v>19.0</v>
      </c>
      <c r="I172" s="1" t="s">
        <v>84</v>
      </c>
      <c r="J172" s="1" t="s">
        <v>84</v>
      </c>
      <c r="K172" s="1">
        <v>1.0</v>
      </c>
      <c r="L172" s="1" t="s">
        <v>84</v>
      </c>
    </row>
    <row r="173" hidden="1">
      <c r="A173" s="34">
        <v>8.0</v>
      </c>
      <c r="B173" s="34">
        <v>1.0</v>
      </c>
      <c r="C173" s="34">
        <v>28.0</v>
      </c>
      <c r="D173" s="1" t="s">
        <v>84</v>
      </c>
      <c r="E173" s="1" t="s">
        <v>84</v>
      </c>
      <c r="F173" s="1" t="s">
        <v>827</v>
      </c>
      <c r="G173" s="1">
        <v>8.0</v>
      </c>
      <c r="H173" s="1">
        <v>4.0</v>
      </c>
      <c r="I173" s="1" t="s">
        <v>84</v>
      </c>
      <c r="J173" s="1" t="s">
        <v>828</v>
      </c>
      <c r="K173" s="1">
        <v>2.0</v>
      </c>
      <c r="L173" s="1" t="s">
        <v>829</v>
      </c>
    </row>
    <row r="174" hidden="1">
      <c r="A174" s="34">
        <v>8.0</v>
      </c>
      <c r="B174" s="34">
        <v>1.0</v>
      </c>
      <c r="C174" s="34">
        <v>29.0</v>
      </c>
      <c r="D174" s="1" t="s">
        <v>84</v>
      </c>
      <c r="E174" s="1" t="s">
        <v>84</v>
      </c>
      <c r="F174" s="1" t="s">
        <v>830</v>
      </c>
      <c r="G174" s="1">
        <v>8.0</v>
      </c>
      <c r="H174" s="1">
        <v>19.0</v>
      </c>
      <c r="I174" s="1" t="s">
        <v>84</v>
      </c>
      <c r="J174" s="1" t="s">
        <v>84</v>
      </c>
      <c r="K174" s="1">
        <v>1.0</v>
      </c>
      <c r="L174" s="1" t="s">
        <v>84</v>
      </c>
    </row>
    <row r="175" hidden="1">
      <c r="A175" s="34">
        <v>8.0</v>
      </c>
      <c r="B175" s="34">
        <v>1.0</v>
      </c>
      <c r="C175" s="34">
        <v>30.0</v>
      </c>
      <c r="D175" s="1" t="s">
        <v>84</v>
      </c>
      <c r="E175" s="1" t="s">
        <v>84</v>
      </c>
      <c r="F175" s="1" t="s">
        <v>831</v>
      </c>
      <c r="G175" s="1">
        <v>8.0</v>
      </c>
      <c r="H175" s="1">
        <v>52.0</v>
      </c>
      <c r="I175" s="1" t="s">
        <v>84</v>
      </c>
      <c r="J175" s="1" t="s">
        <v>832</v>
      </c>
      <c r="K175" s="1">
        <v>1.0</v>
      </c>
      <c r="L175" s="1" t="s">
        <v>833</v>
      </c>
    </row>
    <row r="176" hidden="1">
      <c r="A176" s="34">
        <v>8.0</v>
      </c>
      <c r="B176" s="34">
        <v>1.0</v>
      </c>
      <c r="C176" s="34">
        <v>33.0</v>
      </c>
      <c r="D176" s="1" t="s">
        <v>84</v>
      </c>
      <c r="E176" s="1" t="s">
        <v>84</v>
      </c>
      <c r="F176" s="1" t="s">
        <v>834</v>
      </c>
      <c r="G176" s="1">
        <v>8.0</v>
      </c>
      <c r="H176" s="1">
        <v>19.0</v>
      </c>
      <c r="I176" s="1" t="s">
        <v>84</v>
      </c>
      <c r="J176" s="1" t="s">
        <v>84</v>
      </c>
      <c r="K176" s="1">
        <v>1.0</v>
      </c>
      <c r="L176" s="1" t="s">
        <v>84</v>
      </c>
    </row>
    <row r="177" hidden="1">
      <c r="A177" s="34">
        <v>8.0</v>
      </c>
      <c r="B177" s="34">
        <v>1.0</v>
      </c>
      <c r="C177" s="34">
        <v>44.0</v>
      </c>
      <c r="D177" s="1" t="s">
        <v>84</v>
      </c>
      <c r="E177" s="1" t="s">
        <v>84</v>
      </c>
      <c r="F177" s="1" t="s">
        <v>835</v>
      </c>
      <c r="G177" s="1">
        <v>8.0</v>
      </c>
      <c r="H177" s="1">
        <v>19.0</v>
      </c>
      <c r="I177" s="1" t="s">
        <v>84</v>
      </c>
      <c r="J177" s="1" t="s">
        <v>84</v>
      </c>
      <c r="K177" s="1">
        <v>1.0</v>
      </c>
      <c r="L177" s="1" t="s">
        <v>84</v>
      </c>
    </row>
    <row r="178" hidden="1">
      <c r="A178" s="34">
        <v>8.0</v>
      </c>
      <c r="B178" s="34">
        <v>1.0</v>
      </c>
      <c r="C178" s="34">
        <v>58.0</v>
      </c>
      <c r="D178" s="1" t="s">
        <v>84</v>
      </c>
      <c r="E178" s="1" t="s">
        <v>84</v>
      </c>
      <c r="F178" s="1" t="s">
        <v>836</v>
      </c>
      <c r="G178" s="1">
        <v>8.0</v>
      </c>
      <c r="H178" s="1">
        <v>19.0</v>
      </c>
      <c r="I178" s="1" t="s">
        <v>84</v>
      </c>
      <c r="J178" s="1" t="s">
        <v>84</v>
      </c>
      <c r="K178" s="1">
        <v>1.0</v>
      </c>
      <c r="L178" s="1" t="s">
        <v>84</v>
      </c>
    </row>
    <row r="179" hidden="1">
      <c r="A179" s="34">
        <v>8.0</v>
      </c>
      <c r="B179" s="34">
        <v>1.0</v>
      </c>
      <c r="C179" s="34">
        <v>69.0</v>
      </c>
      <c r="D179" s="1" t="s">
        <v>84</v>
      </c>
      <c r="E179" s="1" t="s">
        <v>84</v>
      </c>
      <c r="F179" s="1" t="s">
        <v>837</v>
      </c>
      <c r="G179" s="1">
        <v>8.0</v>
      </c>
      <c r="H179" s="1">
        <v>19.0</v>
      </c>
      <c r="I179" s="1" t="s">
        <v>84</v>
      </c>
      <c r="J179" s="1" t="s">
        <v>84</v>
      </c>
      <c r="K179" s="1">
        <v>1.0</v>
      </c>
      <c r="L179" s="1" t="s">
        <v>84</v>
      </c>
    </row>
    <row r="180" hidden="1">
      <c r="A180" s="34">
        <v>8.0</v>
      </c>
      <c r="B180" s="34">
        <v>3.0</v>
      </c>
      <c r="C180" s="34">
        <v>5.0</v>
      </c>
      <c r="D180" s="1" t="s">
        <v>84</v>
      </c>
      <c r="E180" s="1" t="s">
        <v>731</v>
      </c>
      <c r="F180" s="1" t="s">
        <v>838</v>
      </c>
      <c r="G180" s="1">
        <v>8.0</v>
      </c>
      <c r="H180" s="1">
        <v>40.0</v>
      </c>
      <c r="I180" s="1" t="s">
        <v>84</v>
      </c>
      <c r="J180" s="1" t="s">
        <v>839</v>
      </c>
      <c r="K180" s="1">
        <v>1.0</v>
      </c>
      <c r="L180" s="1" t="s">
        <v>839</v>
      </c>
    </row>
    <row r="181" hidden="1">
      <c r="A181" s="34">
        <v>8.0</v>
      </c>
      <c r="B181" s="34">
        <v>3.0</v>
      </c>
      <c r="C181" s="34">
        <v>7.0</v>
      </c>
      <c r="D181" s="1" t="s">
        <v>84</v>
      </c>
      <c r="E181" s="1" t="s">
        <v>731</v>
      </c>
      <c r="F181" s="1" t="s">
        <v>840</v>
      </c>
      <c r="G181" s="1">
        <v>8.0</v>
      </c>
      <c r="H181" s="1">
        <v>40.0</v>
      </c>
      <c r="I181" s="1" t="s">
        <v>84</v>
      </c>
      <c r="J181" s="1" t="s">
        <v>839</v>
      </c>
      <c r="K181" s="1">
        <v>84.0</v>
      </c>
      <c r="L181" s="1" t="s">
        <v>841</v>
      </c>
    </row>
    <row r="182" hidden="1">
      <c r="A182" s="34">
        <v>8.0</v>
      </c>
      <c r="B182" s="34">
        <v>3.0</v>
      </c>
      <c r="C182" s="34">
        <v>16.0</v>
      </c>
      <c r="D182" s="1" t="s">
        <v>84</v>
      </c>
      <c r="E182" s="1" t="s">
        <v>731</v>
      </c>
      <c r="F182" s="1" t="s">
        <v>842</v>
      </c>
      <c r="G182" s="1">
        <v>8.0</v>
      </c>
      <c r="H182" s="1">
        <v>17.0</v>
      </c>
      <c r="I182" s="1" t="s">
        <v>84</v>
      </c>
      <c r="J182" s="1" t="s">
        <v>731</v>
      </c>
      <c r="K182" s="1">
        <v>1.0</v>
      </c>
      <c r="L182" s="1" t="s">
        <v>731</v>
      </c>
    </row>
    <row r="183" hidden="1">
      <c r="A183" s="34">
        <v>8.0</v>
      </c>
      <c r="B183" s="34">
        <v>3.0</v>
      </c>
      <c r="C183" s="34">
        <v>17.0</v>
      </c>
      <c r="D183" s="1" t="s">
        <v>84</v>
      </c>
      <c r="E183" s="1" t="s">
        <v>731</v>
      </c>
      <c r="F183" s="1" t="s">
        <v>843</v>
      </c>
      <c r="G183" s="1">
        <v>8.0</v>
      </c>
      <c r="H183" s="1">
        <v>17.0</v>
      </c>
      <c r="I183" s="1" t="s">
        <v>84</v>
      </c>
      <c r="J183" s="1" t="s">
        <v>731</v>
      </c>
      <c r="K183" s="1">
        <v>5.0</v>
      </c>
      <c r="L183" s="1" t="s">
        <v>844</v>
      </c>
    </row>
    <row r="184" hidden="1">
      <c r="A184" s="34">
        <v>8.0</v>
      </c>
      <c r="B184" s="34">
        <v>3.0</v>
      </c>
      <c r="C184" s="34">
        <v>31.0</v>
      </c>
      <c r="D184" s="1" t="s">
        <v>84</v>
      </c>
      <c r="E184" s="1" t="s">
        <v>731</v>
      </c>
      <c r="F184" s="1" t="s">
        <v>845</v>
      </c>
      <c r="G184" s="1">
        <v>8.0</v>
      </c>
      <c r="H184" s="1">
        <v>31.0</v>
      </c>
      <c r="I184" s="1" t="s">
        <v>84</v>
      </c>
      <c r="J184" s="1" t="s">
        <v>94</v>
      </c>
      <c r="K184" s="1">
        <v>120.0</v>
      </c>
      <c r="L184" s="1" t="s">
        <v>846</v>
      </c>
    </row>
    <row r="185" hidden="1">
      <c r="A185" s="34">
        <v>8.0</v>
      </c>
      <c r="B185" s="34">
        <v>3.0</v>
      </c>
      <c r="C185" s="34">
        <v>32.0</v>
      </c>
      <c r="D185" s="1" t="s">
        <v>84</v>
      </c>
      <c r="E185" s="1" t="s">
        <v>731</v>
      </c>
      <c r="F185" s="1" t="s">
        <v>847</v>
      </c>
      <c r="G185" s="1">
        <v>8.0</v>
      </c>
      <c r="H185" s="1">
        <v>65.0</v>
      </c>
      <c r="I185" s="1" t="s">
        <v>84</v>
      </c>
      <c r="J185" s="1" t="s">
        <v>848</v>
      </c>
      <c r="K185" s="1">
        <v>42.0</v>
      </c>
      <c r="L185" s="1" t="s">
        <v>849</v>
      </c>
    </row>
    <row r="186" hidden="1">
      <c r="A186" s="34">
        <v>8.0</v>
      </c>
      <c r="B186" s="34">
        <v>3.0</v>
      </c>
      <c r="C186" s="34">
        <v>38.0</v>
      </c>
      <c r="D186" s="1" t="s">
        <v>84</v>
      </c>
      <c r="E186" s="1" t="s">
        <v>731</v>
      </c>
      <c r="F186" s="1" t="s">
        <v>850</v>
      </c>
      <c r="G186" s="1">
        <v>8.0</v>
      </c>
      <c r="H186" s="1">
        <v>31.0</v>
      </c>
      <c r="I186" s="1" t="s">
        <v>84</v>
      </c>
      <c r="J186" s="1" t="s">
        <v>94</v>
      </c>
      <c r="K186" s="1">
        <v>1.0</v>
      </c>
      <c r="L186" s="1" t="s">
        <v>851</v>
      </c>
    </row>
    <row r="187" hidden="1">
      <c r="A187" s="34">
        <v>8.0</v>
      </c>
      <c r="B187" s="34">
        <v>3.0</v>
      </c>
      <c r="C187" s="34">
        <v>39.0</v>
      </c>
      <c r="D187" s="1" t="s">
        <v>84</v>
      </c>
      <c r="E187" s="1" t="s">
        <v>731</v>
      </c>
      <c r="F187" s="1" t="s">
        <v>852</v>
      </c>
      <c r="G187" s="1">
        <v>8.0</v>
      </c>
      <c r="H187" s="1">
        <v>48.0</v>
      </c>
      <c r="I187" s="1" t="s">
        <v>84</v>
      </c>
      <c r="J187" s="1" t="s">
        <v>853</v>
      </c>
      <c r="K187" s="1">
        <v>1.0</v>
      </c>
      <c r="L187" s="1" t="s">
        <v>853</v>
      </c>
    </row>
    <row r="188" hidden="1">
      <c r="A188" s="34">
        <v>8.0</v>
      </c>
      <c r="B188" s="34">
        <v>3.0</v>
      </c>
      <c r="C188" s="34">
        <v>41.0</v>
      </c>
      <c r="D188" s="1" t="s">
        <v>84</v>
      </c>
      <c r="E188" s="1" t="s">
        <v>731</v>
      </c>
      <c r="F188" s="1" t="s">
        <v>854</v>
      </c>
      <c r="G188" s="1">
        <v>8.0</v>
      </c>
      <c r="H188" s="1">
        <v>25.0</v>
      </c>
      <c r="I188" s="1" t="s">
        <v>84</v>
      </c>
      <c r="J188" s="1" t="s">
        <v>855</v>
      </c>
      <c r="K188" s="1">
        <v>1.0</v>
      </c>
      <c r="L188" s="1" t="s">
        <v>856</v>
      </c>
    </row>
    <row r="189" hidden="1">
      <c r="A189" s="34">
        <v>8.0</v>
      </c>
      <c r="B189" s="34">
        <v>5.0</v>
      </c>
      <c r="C189" s="34">
        <v>11.0</v>
      </c>
      <c r="D189" s="1" t="s">
        <v>84</v>
      </c>
      <c r="E189" s="1" t="s">
        <v>857</v>
      </c>
      <c r="F189" s="1" t="s">
        <v>858</v>
      </c>
      <c r="G189" s="1">
        <v>8.0</v>
      </c>
      <c r="H189" s="1">
        <v>21.0</v>
      </c>
      <c r="I189" s="1" t="s">
        <v>84</v>
      </c>
      <c r="J189" s="1" t="s">
        <v>857</v>
      </c>
      <c r="K189" s="1">
        <v>1.0</v>
      </c>
      <c r="L189" s="1" t="s">
        <v>857</v>
      </c>
    </row>
    <row r="190" hidden="1">
      <c r="A190" s="34">
        <v>8.0</v>
      </c>
      <c r="B190" s="34">
        <v>5.0</v>
      </c>
      <c r="C190" s="34">
        <v>12.0</v>
      </c>
      <c r="D190" s="1" t="s">
        <v>84</v>
      </c>
      <c r="E190" s="1" t="s">
        <v>857</v>
      </c>
      <c r="F190" s="1" t="s">
        <v>859</v>
      </c>
      <c r="G190" s="1">
        <v>8.0</v>
      </c>
      <c r="H190" s="1">
        <v>45.0</v>
      </c>
      <c r="I190" s="1" t="s">
        <v>84</v>
      </c>
      <c r="J190" s="1" t="s">
        <v>860</v>
      </c>
      <c r="K190" s="1">
        <v>1.0</v>
      </c>
      <c r="L190" s="1" t="s">
        <v>861</v>
      </c>
    </row>
    <row r="191" hidden="1">
      <c r="A191" s="34">
        <v>8.0</v>
      </c>
      <c r="B191" s="34">
        <v>5.0</v>
      </c>
      <c r="C191" s="34">
        <v>13.0</v>
      </c>
      <c r="D191" s="1" t="s">
        <v>84</v>
      </c>
      <c r="E191" s="1" t="s">
        <v>857</v>
      </c>
      <c r="F191" s="1" t="s">
        <v>862</v>
      </c>
      <c r="G191" s="1">
        <v>8.0</v>
      </c>
      <c r="H191" s="1">
        <v>62.0</v>
      </c>
      <c r="I191" s="1" t="s">
        <v>84</v>
      </c>
      <c r="J191" s="1" t="s">
        <v>863</v>
      </c>
      <c r="K191" s="1">
        <v>1.0</v>
      </c>
      <c r="L191" s="1" t="s">
        <v>863</v>
      </c>
    </row>
    <row r="192" hidden="1">
      <c r="A192" s="34">
        <v>8.0</v>
      </c>
      <c r="B192" s="34">
        <v>5.0</v>
      </c>
      <c r="C192" s="34">
        <v>14.0</v>
      </c>
      <c r="D192" s="1" t="s">
        <v>84</v>
      </c>
      <c r="E192" s="1" t="s">
        <v>857</v>
      </c>
      <c r="F192" s="1" t="s">
        <v>864</v>
      </c>
      <c r="G192" s="1">
        <v>8.0</v>
      </c>
      <c r="H192" s="1">
        <v>55.0</v>
      </c>
      <c r="I192" s="1" t="s">
        <v>84</v>
      </c>
      <c r="J192" s="1" t="s">
        <v>865</v>
      </c>
      <c r="K192" s="1">
        <v>1.0</v>
      </c>
      <c r="L192" s="1" t="s">
        <v>866</v>
      </c>
    </row>
    <row r="193" hidden="1">
      <c r="A193" s="34">
        <v>8.0</v>
      </c>
      <c r="B193" s="34">
        <v>5.0</v>
      </c>
      <c r="C193" s="34">
        <v>20.0</v>
      </c>
      <c r="D193" s="1" t="s">
        <v>84</v>
      </c>
      <c r="E193" s="1" t="s">
        <v>857</v>
      </c>
      <c r="F193" s="1" t="s">
        <v>867</v>
      </c>
      <c r="G193" s="1">
        <v>8.0</v>
      </c>
      <c r="H193" s="1">
        <v>21.0</v>
      </c>
      <c r="I193" s="1" t="s">
        <v>84</v>
      </c>
      <c r="J193" s="1" t="s">
        <v>857</v>
      </c>
      <c r="K193" s="1">
        <v>1.0</v>
      </c>
      <c r="L193" s="1" t="s">
        <v>857</v>
      </c>
    </row>
    <row r="194" hidden="1">
      <c r="A194" s="34">
        <v>8.0</v>
      </c>
      <c r="B194" s="34">
        <v>5.0</v>
      </c>
      <c r="C194" s="34">
        <v>21.0</v>
      </c>
      <c r="D194" s="1" t="s">
        <v>84</v>
      </c>
      <c r="E194" s="1" t="s">
        <v>857</v>
      </c>
      <c r="F194" s="1" t="s">
        <v>868</v>
      </c>
      <c r="G194" s="1">
        <v>8.0</v>
      </c>
      <c r="H194" s="1">
        <v>11.0</v>
      </c>
      <c r="I194" s="1" t="s">
        <v>84</v>
      </c>
      <c r="J194" s="1" t="s">
        <v>869</v>
      </c>
      <c r="K194" s="1">
        <v>1.0</v>
      </c>
      <c r="L194" s="1" t="s">
        <v>870</v>
      </c>
    </row>
    <row r="195" hidden="1">
      <c r="A195" s="34">
        <v>8.0</v>
      </c>
      <c r="B195" s="34">
        <v>5.0</v>
      </c>
      <c r="C195" s="34">
        <v>25.0</v>
      </c>
      <c r="D195" s="1" t="s">
        <v>84</v>
      </c>
      <c r="E195" s="1" t="s">
        <v>857</v>
      </c>
      <c r="F195" s="1" t="s">
        <v>871</v>
      </c>
      <c r="G195" s="1">
        <v>8.0</v>
      </c>
      <c r="H195" s="1">
        <v>62.0</v>
      </c>
      <c r="I195" s="1" t="s">
        <v>84</v>
      </c>
      <c r="J195" s="1" t="s">
        <v>863</v>
      </c>
      <c r="K195" s="1">
        <v>22.0</v>
      </c>
      <c r="L195" s="1" t="s">
        <v>872</v>
      </c>
    </row>
    <row r="196" hidden="1">
      <c r="A196" s="34">
        <v>8.0</v>
      </c>
      <c r="B196" s="34">
        <v>5.0</v>
      </c>
      <c r="C196" s="34">
        <v>27.0</v>
      </c>
      <c r="D196" s="1" t="s">
        <v>84</v>
      </c>
      <c r="E196" s="1" t="s">
        <v>857</v>
      </c>
      <c r="F196" s="1" t="s">
        <v>873</v>
      </c>
      <c r="G196" s="1">
        <v>8.0</v>
      </c>
      <c r="H196" s="1">
        <v>17.0</v>
      </c>
      <c r="I196" s="1" t="s">
        <v>84</v>
      </c>
      <c r="J196" s="1" t="s">
        <v>731</v>
      </c>
      <c r="K196" s="1">
        <v>93.0</v>
      </c>
      <c r="L196" s="1" t="s">
        <v>874</v>
      </c>
    </row>
    <row r="197" hidden="1">
      <c r="A197" s="34">
        <v>8.0</v>
      </c>
      <c r="B197" s="34">
        <v>5.0</v>
      </c>
      <c r="C197" s="34">
        <v>57.0</v>
      </c>
      <c r="D197" s="1" t="s">
        <v>84</v>
      </c>
      <c r="E197" s="1" t="s">
        <v>857</v>
      </c>
      <c r="F197" s="1" t="s">
        <v>875</v>
      </c>
      <c r="G197" s="1">
        <v>8.0</v>
      </c>
      <c r="H197" s="1">
        <v>21.0</v>
      </c>
      <c r="I197" s="1" t="s">
        <v>84</v>
      </c>
      <c r="J197" s="1" t="s">
        <v>857</v>
      </c>
      <c r="K197" s="1">
        <v>1.0</v>
      </c>
      <c r="L197" s="1" t="s">
        <v>857</v>
      </c>
    </row>
    <row r="198" hidden="1">
      <c r="A198" s="34">
        <v>8.0</v>
      </c>
      <c r="B198" s="34">
        <v>8.0</v>
      </c>
      <c r="C198" s="34">
        <v>37.0</v>
      </c>
      <c r="D198" s="1" t="s">
        <v>84</v>
      </c>
      <c r="E198" s="1" t="s">
        <v>876</v>
      </c>
      <c r="F198" s="1" t="s">
        <v>877</v>
      </c>
      <c r="G198" s="1">
        <v>8.0</v>
      </c>
      <c r="H198" s="1">
        <v>5.0</v>
      </c>
      <c r="I198" s="1" t="s">
        <v>84</v>
      </c>
      <c r="J198" s="1" t="s">
        <v>878</v>
      </c>
      <c r="K198" s="1">
        <v>1.0</v>
      </c>
      <c r="L198" s="1" t="s">
        <v>878</v>
      </c>
    </row>
    <row r="199" hidden="1">
      <c r="A199" s="34">
        <v>8.0</v>
      </c>
      <c r="B199" s="34">
        <v>8.0</v>
      </c>
      <c r="C199" s="34">
        <v>40.0</v>
      </c>
      <c r="D199" s="1" t="s">
        <v>84</v>
      </c>
      <c r="E199" s="1" t="s">
        <v>876</v>
      </c>
      <c r="F199" s="1" t="s">
        <v>879</v>
      </c>
      <c r="G199" s="1">
        <v>8.0</v>
      </c>
      <c r="H199" s="1">
        <v>10.0</v>
      </c>
      <c r="I199" s="1" t="s">
        <v>84</v>
      </c>
      <c r="J199" s="1" t="s">
        <v>880</v>
      </c>
      <c r="K199" s="1">
        <v>26.0</v>
      </c>
      <c r="L199" s="1" t="s">
        <v>881</v>
      </c>
    </row>
    <row r="200" hidden="1">
      <c r="A200" s="34">
        <v>8.0</v>
      </c>
      <c r="B200" s="34">
        <v>8.0</v>
      </c>
      <c r="C200" s="34">
        <v>42.0</v>
      </c>
      <c r="D200" s="1" t="s">
        <v>84</v>
      </c>
      <c r="E200" s="1" t="s">
        <v>876</v>
      </c>
      <c r="F200" s="1" t="s">
        <v>882</v>
      </c>
      <c r="G200" s="1">
        <v>8.0</v>
      </c>
      <c r="H200" s="1">
        <v>50.0</v>
      </c>
      <c r="I200" s="1" t="s">
        <v>84</v>
      </c>
      <c r="J200" s="1" t="s">
        <v>876</v>
      </c>
      <c r="K200" s="1">
        <v>1.0</v>
      </c>
      <c r="L200" s="1" t="s">
        <v>876</v>
      </c>
    </row>
    <row r="201" hidden="1">
      <c r="A201" s="34">
        <v>8.0</v>
      </c>
      <c r="B201" s="34">
        <v>8.0</v>
      </c>
      <c r="C201" s="34">
        <v>45.0</v>
      </c>
      <c r="D201" s="1" t="s">
        <v>84</v>
      </c>
      <c r="E201" s="1" t="s">
        <v>876</v>
      </c>
      <c r="F201" s="1" t="s">
        <v>883</v>
      </c>
      <c r="G201" s="1">
        <v>8.0</v>
      </c>
      <c r="H201" s="1">
        <v>5.0</v>
      </c>
      <c r="I201" s="1" t="s">
        <v>84</v>
      </c>
      <c r="J201" s="1" t="s">
        <v>878</v>
      </c>
      <c r="K201" s="1">
        <v>125.0</v>
      </c>
      <c r="L201" s="1" t="s">
        <v>884</v>
      </c>
    </row>
    <row r="202" hidden="1">
      <c r="A202" s="34">
        <v>8.0</v>
      </c>
      <c r="B202" s="34">
        <v>8.0</v>
      </c>
      <c r="C202" s="34">
        <v>54.0</v>
      </c>
      <c r="D202" s="1" t="s">
        <v>84</v>
      </c>
      <c r="E202" s="1" t="s">
        <v>876</v>
      </c>
      <c r="F202" s="1" t="s">
        <v>885</v>
      </c>
      <c r="G202" s="1">
        <v>8.0</v>
      </c>
      <c r="H202" s="1">
        <v>50.0</v>
      </c>
      <c r="I202" s="1" t="s">
        <v>84</v>
      </c>
      <c r="J202" s="1" t="s">
        <v>876</v>
      </c>
      <c r="K202" s="1">
        <v>1.0</v>
      </c>
      <c r="L202" s="1" t="s">
        <v>876</v>
      </c>
    </row>
    <row r="203" hidden="1">
      <c r="A203" s="34">
        <v>8.0</v>
      </c>
      <c r="B203" s="34">
        <v>8.0</v>
      </c>
      <c r="C203" s="34">
        <v>55.0</v>
      </c>
      <c r="D203" s="1" t="s">
        <v>84</v>
      </c>
      <c r="E203" s="1" t="s">
        <v>876</v>
      </c>
      <c r="F203" s="1" t="s">
        <v>886</v>
      </c>
      <c r="G203" s="1">
        <v>8.0</v>
      </c>
      <c r="H203" s="1">
        <v>10.0</v>
      </c>
      <c r="I203" s="1" t="s">
        <v>84</v>
      </c>
      <c r="J203" s="1" t="s">
        <v>880</v>
      </c>
      <c r="K203" s="1">
        <v>1.0</v>
      </c>
      <c r="L203" s="1" t="s">
        <v>698</v>
      </c>
    </row>
    <row r="204" hidden="1">
      <c r="A204" s="34">
        <v>8.0</v>
      </c>
      <c r="B204" s="34">
        <v>10.0</v>
      </c>
      <c r="C204" s="34">
        <v>10.0</v>
      </c>
      <c r="D204" s="1" t="s">
        <v>84</v>
      </c>
      <c r="E204" s="1" t="s">
        <v>887</v>
      </c>
      <c r="F204" s="1" t="s">
        <v>888</v>
      </c>
      <c r="G204" s="1">
        <v>8.0</v>
      </c>
      <c r="H204" s="1">
        <v>1.0</v>
      </c>
      <c r="I204" s="1" t="s">
        <v>84</v>
      </c>
      <c r="J204" s="1" t="s">
        <v>889</v>
      </c>
      <c r="K204" s="1">
        <v>1.0</v>
      </c>
      <c r="L204" s="1" t="s">
        <v>890</v>
      </c>
    </row>
    <row r="205" hidden="1">
      <c r="A205" s="34">
        <v>8.0</v>
      </c>
      <c r="B205" s="34">
        <v>10.0</v>
      </c>
      <c r="C205" s="34">
        <v>43.0</v>
      </c>
      <c r="D205" s="1" t="s">
        <v>84</v>
      </c>
      <c r="E205" s="1" t="s">
        <v>887</v>
      </c>
      <c r="F205" s="1" t="s">
        <v>891</v>
      </c>
      <c r="G205" s="1">
        <v>8.0</v>
      </c>
      <c r="H205" s="1">
        <v>28.0</v>
      </c>
      <c r="I205" s="1" t="s">
        <v>84</v>
      </c>
      <c r="J205" s="1" t="s">
        <v>892</v>
      </c>
      <c r="K205" s="1">
        <v>1.0</v>
      </c>
      <c r="L205" s="1" t="s">
        <v>892</v>
      </c>
    </row>
    <row r="206" hidden="1">
      <c r="A206" s="34">
        <v>8.0</v>
      </c>
      <c r="B206" s="34">
        <v>10.0</v>
      </c>
      <c r="C206" s="34">
        <v>47.0</v>
      </c>
      <c r="D206" s="1" t="s">
        <v>84</v>
      </c>
      <c r="E206" s="1" t="s">
        <v>887</v>
      </c>
      <c r="F206" s="1" t="s">
        <v>893</v>
      </c>
      <c r="G206" s="1">
        <v>8.0</v>
      </c>
      <c r="H206" s="1">
        <v>37.0</v>
      </c>
      <c r="I206" s="1" t="s">
        <v>84</v>
      </c>
      <c r="J206" s="1" t="s">
        <v>787</v>
      </c>
      <c r="K206" s="1">
        <v>1.0</v>
      </c>
      <c r="L206" s="1" t="s">
        <v>787</v>
      </c>
    </row>
    <row r="207" hidden="1">
      <c r="A207" s="34">
        <v>8.0</v>
      </c>
      <c r="B207" s="34">
        <v>10.0</v>
      </c>
      <c r="C207" s="34">
        <v>48.0</v>
      </c>
      <c r="D207" s="1" t="s">
        <v>84</v>
      </c>
      <c r="E207" s="1" t="s">
        <v>887</v>
      </c>
      <c r="F207" s="1" t="s">
        <v>894</v>
      </c>
      <c r="G207" s="1">
        <v>8.0</v>
      </c>
      <c r="H207" s="1">
        <v>37.0</v>
      </c>
      <c r="I207" s="1" t="s">
        <v>84</v>
      </c>
      <c r="J207" s="1" t="s">
        <v>787</v>
      </c>
      <c r="K207" s="1">
        <v>1.0</v>
      </c>
      <c r="L207" s="1" t="s">
        <v>787</v>
      </c>
    </row>
    <row r="208" hidden="1">
      <c r="A208" s="34">
        <v>8.0</v>
      </c>
      <c r="B208" s="34">
        <v>10.0</v>
      </c>
      <c r="C208" s="34">
        <v>50.0</v>
      </c>
      <c r="D208" s="1" t="s">
        <v>84</v>
      </c>
      <c r="E208" s="1" t="s">
        <v>887</v>
      </c>
      <c r="F208" s="1" t="s">
        <v>895</v>
      </c>
      <c r="G208" s="1">
        <v>8.0</v>
      </c>
      <c r="H208" s="1">
        <v>37.0</v>
      </c>
      <c r="I208" s="1" t="s">
        <v>84</v>
      </c>
      <c r="J208" s="1" t="s">
        <v>787</v>
      </c>
      <c r="K208" s="1">
        <v>1.0</v>
      </c>
      <c r="L208" s="1" t="s">
        <v>787</v>
      </c>
    </row>
    <row r="209" hidden="1">
      <c r="A209" s="34">
        <v>8.0</v>
      </c>
      <c r="B209" s="34">
        <v>10.0</v>
      </c>
      <c r="C209" s="34">
        <v>56.0</v>
      </c>
      <c r="D209" s="1" t="s">
        <v>84</v>
      </c>
      <c r="E209" s="1" t="s">
        <v>887</v>
      </c>
      <c r="F209" s="1" t="s">
        <v>896</v>
      </c>
      <c r="G209" s="1">
        <v>8.0</v>
      </c>
      <c r="H209" s="1">
        <v>37.0</v>
      </c>
      <c r="I209" s="1" t="s">
        <v>84</v>
      </c>
      <c r="J209" s="1" t="s">
        <v>787</v>
      </c>
      <c r="K209" s="1">
        <v>1.0</v>
      </c>
      <c r="L209" s="1" t="s">
        <v>787</v>
      </c>
    </row>
    <row r="210" hidden="1">
      <c r="A210" s="34">
        <v>8.0</v>
      </c>
      <c r="B210" s="34">
        <v>10.0</v>
      </c>
      <c r="C210" s="34">
        <v>61.0</v>
      </c>
      <c r="D210" s="1" t="s">
        <v>84</v>
      </c>
      <c r="E210" s="1" t="s">
        <v>887</v>
      </c>
      <c r="F210" s="1" t="s">
        <v>897</v>
      </c>
      <c r="G210" s="1">
        <v>8.0</v>
      </c>
      <c r="H210" s="1">
        <v>37.0</v>
      </c>
      <c r="I210" s="1" t="s">
        <v>84</v>
      </c>
      <c r="J210" s="1" t="s">
        <v>787</v>
      </c>
      <c r="K210" s="1">
        <v>1.0</v>
      </c>
      <c r="L210" s="1" t="s">
        <v>787</v>
      </c>
    </row>
    <row r="211" hidden="1">
      <c r="A211" s="34">
        <v>8.0</v>
      </c>
      <c r="B211" s="34">
        <v>10.0</v>
      </c>
      <c r="C211" s="34">
        <v>62.0</v>
      </c>
      <c r="D211" s="1" t="s">
        <v>84</v>
      </c>
      <c r="E211" s="1" t="s">
        <v>887</v>
      </c>
      <c r="F211" s="1" t="s">
        <v>898</v>
      </c>
      <c r="G211" s="1">
        <v>8.0</v>
      </c>
      <c r="H211" s="1">
        <v>37.0</v>
      </c>
      <c r="I211" s="1" t="s">
        <v>84</v>
      </c>
      <c r="J211" s="1" t="s">
        <v>787</v>
      </c>
      <c r="K211" s="1">
        <v>1.0</v>
      </c>
      <c r="L211" s="1" t="s">
        <v>787</v>
      </c>
    </row>
    <row r="212" hidden="1">
      <c r="A212" s="34">
        <v>8.0</v>
      </c>
      <c r="B212" s="34">
        <v>10.0</v>
      </c>
      <c r="C212" s="34">
        <v>63.0</v>
      </c>
      <c r="D212" s="1" t="s">
        <v>84</v>
      </c>
      <c r="E212" s="1" t="s">
        <v>887</v>
      </c>
      <c r="F212" s="1" t="s">
        <v>899</v>
      </c>
      <c r="G212" s="1">
        <v>8.0</v>
      </c>
      <c r="H212" s="1">
        <v>37.0</v>
      </c>
      <c r="I212" s="1" t="s">
        <v>84</v>
      </c>
      <c r="J212" s="1" t="s">
        <v>787</v>
      </c>
      <c r="K212" s="1">
        <v>1.0</v>
      </c>
      <c r="L212" s="1" t="s">
        <v>787</v>
      </c>
    </row>
    <row r="213" hidden="1">
      <c r="A213" s="34">
        <v>8.0</v>
      </c>
      <c r="B213" s="34">
        <v>10.0</v>
      </c>
      <c r="C213" s="34">
        <v>64.0</v>
      </c>
      <c r="D213" s="1" t="s">
        <v>84</v>
      </c>
      <c r="E213" s="1" t="s">
        <v>887</v>
      </c>
      <c r="F213" s="1" t="s">
        <v>900</v>
      </c>
      <c r="G213" s="1">
        <v>8.0</v>
      </c>
      <c r="H213" s="1">
        <v>37.0</v>
      </c>
      <c r="I213" s="1" t="s">
        <v>84</v>
      </c>
      <c r="J213" s="1" t="s">
        <v>787</v>
      </c>
      <c r="K213" s="1">
        <v>1.0</v>
      </c>
      <c r="L213" s="1" t="s">
        <v>787</v>
      </c>
    </row>
    <row r="214" hidden="1">
      <c r="A214" s="34">
        <v>8.0</v>
      </c>
      <c r="B214" s="34">
        <v>10.0</v>
      </c>
      <c r="C214" s="34">
        <v>65.0</v>
      </c>
      <c r="D214" s="1" t="s">
        <v>84</v>
      </c>
      <c r="E214" s="1" t="s">
        <v>887</v>
      </c>
      <c r="F214" s="1" t="s">
        <v>910</v>
      </c>
      <c r="G214" s="1">
        <v>8.0</v>
      </c>
      <c r="H214" s="1">
        <v>37.0</v>
      </c>
      <c r="I214" s="1" t="s">
        <v>84</v>
      </c>
      <c r="J214" s="1" t="s">
        <v>787</v>
      </c>
      <c r="K214" s="1">
        <v>1.0</v>
      </c>
      <c r="L214" s="1" t="s">
        <v>787</v>
      </c>
    </row>
    <row r="215" hidden="1">
      <c r="A215" s="34">
        <v>8.0</v>
      </c>
      <c r="B215" s="34">
        <v>10.0</v>
      </c>
      <c r="C215" s="34">
        <v>67.0</v>
      </c>
      <c r="D215" s="1" t="s">
        <v>84</v>
      </c>
      <c r="E215" s="1" t="s">
        <v>887</v>
      </c>
      <c r="F215" s="1" t="s">
        <v>911</v>
      </c>
      <c r="G215" s="1">
        <v>8.0</v>
      </c>
      <c r="H215" s="1">
        <v>37.0</v>
      </c>
      <c r="I215" s="1" t="s">
        <v>84</v>
      </c>
      <c r="J215" s="1" t="s">
        <v>787</v>
      </c>
      <c r="K215" s="1">
        <v>1.0</v>
      </c>
      <c r="L215" s="1" t="s">
        <v>787</v>
      </c>
    </row>
    <row r="216" hidden="1">
      <c r="A216" s="34">
        <v>8.0</v>
      </c>
      <c r="B216" s="34">
        <v>10.0</v>
      </c>
      <c r="C216" s="34">
        <v>70.0</v>
      </c>
      <c r="D216" s="1" t="s">
        <v>84</v>
      </c>
      <c r="E216" s="1" t="s">
        <v>887</v>
      </c>
      <c r="F216" s="1" t="s">
        <v>912</v>
      </c>
      <c r="G216" s="1">
        <v>8.0</v>
      </c>
      <c r="H216" s="1">
        <v>37.0</v>
      </c>
      <c r="I216" s="1" t="s">
        <v>84</v>
      </c>
      <c r="J216" s="1" t="s">
        <v>787</v>
      </c>
      <c r="K216" s="1">
        <v>1.0</v>
      </c>
      <c r="L216" s="1" t="s">
        <v>787</v>
      </c>
    </row>
    <row r="217" hidden="1">
      <c r="A217" s="34">
        <v>8.0</v>
      </c>
      <c r="B217" s="34">
        <v>22.0</v>
      </c>
      <c r="C217" s="34">
        <v>8.0</v>
      </c>
      <c r="D217" s="1" t="s">
        <v>84</v>
      </c>
      <c r="E217" s="1" t="s">
        <v>913</v>
      </c>
      <c r="F217" s="1" t="s">
        <v>914</v>
      </c>
      <c r="G217" s="1">
        <v>8.0</v>
      </c>
      <c r="H217" s="1">
        <v>60.0</v>
      </c>
      <c r="I217" s="1" t="s">
        <v>84</v>
      </c>
      <c r="J217" s="1" t="s">
        <v>915</v>
      </c>
      <c r="K217" s="1">
        <v>1.0</v>
      </c>
      <c r="L217" s="1" t="s">
        <v>915</v>
      </c>
    </row>
    <row r="218" hidden="1">
      <c r="A218" s="34">
        <v>8.0</v>
      </c>
      <c r="B218" s="34">
        <v>22.0</v>
      </c>
      <c r="C218" s="34">
        <v>9.0</v>
      </c>
      <c r="D218" s="1" t="s">
        <v>84</v>
      </c>
      <c r="E218" s="1" t="s">
        <v>913</v>
      </c>
      <c r="F218" s="1" t="s">
        <v>916</v>
      </c>
      <c r="G218" s="1">
        <v>8.0</v>
      </c>
      <c r="H218" s="1">
        <v>59.0</v>
      </c>
      <c r="I218" s="1" t="s">
        <v>84</v>
      </c>
      <c r="J218" s="1" t="s">
        <v>917</v>
      </c>
      <c r="K218" s="1">
        <v>1.0</v>
      </c>
      <c r="L218" s="1" t="s">
        <v>917</v>
      </c>
    </row>
    <row r="219" hidden="1">
      <c r="A219" s="34">
        <v>8.0</v>
      </c>
      <c r="B219" s="34">
        <v>22.0</v>
      </c>
      <c r="C219" s="34">
        <v>23.0</v>
      </c>
      <c r="D219" s="1" t="s">
        <v>84</v>
      </c>
      <c r="E219" s="1" t="s">
        <v>913</v>
      </c>
      <c r="F219" s="1" t="s">
        <v>918</v>
      </c>
      <c r="G219" s="1">
        <v>8.0</v>
      </c>
      <c r="H219" s="1">
        <v>32.0</v>
      </c>
      <c r="I219" s="1" t="s">
        <v>84</v>
      </c>
      <c r="J219" s="1" t="s">
        <v>913</v>
      </c>
      <c r="K219" s="1">
        <v>1.0</v>
      </c>
      <c r="L219" s="1" t="s">
        <v>913</v>
      </c>
    </row>
    <row r="220" hidden="1">
      <c r="A220" s="34">
        <v>8.0</v>
      </c>
      <c r="B220" s="34">
        <v>22.0</v>
      </c>
      <c r="C220" s="34">
        <v>24.0</v>
      </c>
      <c r="D220" s="1" t="s">
        <v>84</v>
      </c>
      <c r="E220" s="1" t="s">
        <v>913</v>
      </c>
      <c r="F220" s="1" t="s">
        <v>922</v>
      </c>
      <c r="G220" s="1">
        <v>8.0</v>
      </c>
      <c r="H220" s="1">
        <v>36.0</v>
      </c>
      <c r="I220" s="1" t="s">
        <v>84</v>
      </c>
      <c r="J220" s="1" t="s">
        <v>924</v>
      </c>
      <c r="K220" s="1">
        <v>1.0</v>
      </c>
      <c r="L220" s="1" t="s">
        <v>925</v>
      </c>
    </row>
    <row r="221" hidden="1">
      <c r="A221" s="34">
        <v>8.0</v>
      </c>
      <c r="B221" s="34">
        <v>60.0</v>
      </c>
      <c r="C221" s="34">
        <v>34.0</v>
      </c>
      <c r="D221" s="1" t="s">
        <v>84</v>
      </c>
      <c r="E221" s="1" t="s">
        <v>926</v>
      </c>
      <c r="F221" s="1" t="s">
        <v>927</v>
      </c>
      <c r="G221" s="1">
        <v>8.0</v>
      </c>
      <c r="H221" s="1">
        <v>37.0</v>
      </c>
      <c r="I221" s="1" t="s">
        <v>84</v>
      </c>
      <c r="J221" s="1" t="s">
        <v>787</v>
      </c>
      <c r="K221" s="1">
        <v>1.0</v>
      </c>
      <c r="L221" s="1" t="s">
        <v>787</v>
      </c>
    </row>
    <row r="222" hidden="1">
      <c r="A222" s="34">
        <v>8.0</v>
      </c>
      <c r="B222" s="34">
        <v>60.0</v>
      </c>
      <c r="C222" s="34">
        <v>46.0</v>
      </c>
      <c r="D222" s="1" t="s">
        <v>84</v>
      </c>
      <c r="E222" s="1" t="s">
        <v>926</v>
      </c>
      <c r="F222" s="1" t="s">
        <v>930</v>
      </c>
      <c r="G222" s="1">
        <v>8.0</v>
      </c>
      <c r="H222" s="1">
        <v>37.0</v>
      </c>
      <c r="I222" s="1" t="s">
        <v>84</v>
      </c>
      <c r="J222" s="1" t="s">
        <v>787</v>
      </c>
      <c r="K222" s="1">
        <v>1.0</v>
      </c>
      <c r="L222" s="1" t="s">
        <v>787</v>
      </c>
    </row>
    <row r="223" hidden="1">
      <c r="A223" s="34">
        <v>10.0</v>
      </c>
      <c r="B223" s="34">
        <v>1.0</v>
      </c>
      <c r="C223" s="34">
        <v>1.0</v>
      </c>
      <c r="D223" s="1" t="s">
        <v>90</v>
      </c>
      <c r="E223" s="1" t="s">
        <v>90</v>
      </c>
      <c r="F223" s="1" t="s">
        <v>936</v>
      </c>
      <c r="G223" s="1">
        <v>10.0</v>
      </c>
      <c r="H223" s="1">
        <v>5.0</v>
      </c>
      <c r="I223" s="1" t="s">
        <v>90</v>
      </c>
      <c r="J223" s="1" t="s">
        <v>90</v>
      </c>
      <c r="K223" s="1">
        <v>1.0</v>
      </c>
      <c r="L223" s="1" t="s">
        <v>937</v>
      </c>
    </row>
    <row r="224" hidden="1">
      <c r="A224" s="34">
        <v>10.0</v>
      </c>
      <c r="B224" s="34">
        <v>1.0</v>
      </c>
      <c r="C224" s="34">
        <v>2.0</v>
      </c>
      <c r="D224" s="1" t="s">
        <v>90</v>
      </c>
      <c r="E224" s="1" t="s">
        <v>90</v>
      </c>
      <c r="F224" s="1" t="s">
        <v>941</v>
      </c>
      <c r="G224" s="1">
        <v>10.0</v>
      </c>
      <c r="H224" s="1">
        <v>23.0</v>
      </c>
      <c r="I224" s="1" t="s">
        <v>90</v>
      </c>
      <c r="J224" s="1" t="s">
        <v>942</v>
      </c>
      <c r="K224" s="1">
        <v>1.0</v>
      </c>
      <c r="L224" s="1" t="s">
        <v>943</v>
      </c>
    </row>
    <row r="225" hidden="1">
      <c r="A225" s="34">
        <v>10.0</v>
      </c>
      <c r="B225" s="34">
        <v>1.0</v>
      </c>
      <c r="C225" s="34">
        <v>3.0</v>
      </c>
      <c r="D225" s="1" t="s">
        <v>90</v>
      </c>
      <c r="E225" s="1" t="s">
        <v>90</v>
      </c>
      <c r="F225" s="1" t="s">
        <v>944</v>
      </c>
      <c r="G225" s="1">
        <v>10.0</v>
      </c>
      <c r="H225" s="1">
        <v>26.0</v>
      </c>
      <c r="I225" s="1" t="s">
        <v>90</v>
      </c>
      <c r="J225" s="1" t="s">
        <v>945</v>
      </c>
      <c r="K225" s="1">
        <v>89.0</v>
      </c>
      <c r="L225" s="1" t="s">
        <v>946</v>
      </c>
    </row>
    <row r="226" hidden="1">
      <c r="A226" s="34">
        <v>10.0</v>
      </c>
      <c r="B226" s="34">
        <v>1.0</v>
      </c>
      <c r="C226" s="34">
        <v>4.0</v>
      </c>
      <c r="D226" s="1" t="s">
        <v>90</v>
      </c>
      <c r="E226" s="1" t="s">
        <v>90</v>
      </c>
      <c r="F226" s="1" t="s">
        <v>947</v>
      </c>
      <c r="G226" s="1">
        <v>10.0</v>
      </c>
      <c r="H226" s="1">
        <v>22.0</v>
      </c>
      <c r="I226" s="1" t="s">
        <v>90</v>
      </c>
      <c r="J226" s="1" t="s">
        <v>948</v>
      </c>
      <c r="K226" s="1">
        <v>1.0</v>
      </c>
      <c r="L226" s="1" t="s">
        <v>686</v>
      </c>
    </row>
    <row r="227" hidden="1">
      <c r="A227" s="34">
        <v>10.0</v>
      </c>
      <c r="B227" s="34">
        <v>1.0</v>
      </c>
      <c r="C227" s="34">
        <v>5.0</v>
      </c>
      <c r="D227" s="1" t="s">
        <v>90</v>
      </c>
      <c r="E227" s="1" t="s">
        <v>90</v>
      </c>
      <c r="F227" s="1" t="s">
        <v>949</v>
      </c>
      <c r="G227" s="1">
        <v>10.0</v>
      </c>
      <c r="H227" s="1">
        <v>9.0</v>
      </c>
      <c r="I227" s="1" t="s">
        <v>90</v>
      </c>
      <c r="J227" s="1" t="s">
        <v>950</v>
      </c>
      <c r="K227" s="1">
        <v>1.0</v>
      </c>
      <c r="L227" s="1" t="s">
        <v>950</v>
      </c>
    </row>
    <row r="228" hidden="1">
      <c r="A228" s="34">
        <v>10.0</v>
      </c>
      <c r="B228" s="34">
        <v>1.0</v>
      </c>
      <c r="C228" s="34">
        <v>6.0</v>
      </c>
      <c r="D228" s="1" t="s">
        <v>90</v>
      </c>
      <c r="E228" s="1" t="s">
        <v>90</v>
      </c>
      <c r="F228" s="1" t="s">
        <v>951</v>
      </c>
      <c r="G228" s="1">
        <v>10.0</v>
      </c>
      <c r="H228" s="1">
        <v>1.0</v>
      </c>
      <c r="I228" s="1" t="s">
        <v>90</v>
      </c>
      <c r="J228" s="1" t="s">
        <v>952</v>
      </c>
      <c r="K228" s="1">
        <v>1.0</v>
      </c>
      <c r="L228" s="1" t="s">
        <v>952</v>
      </c>
    </row>
    <row r="229" hidden="1">
      <c r="A229" s="34">
        <v>10.0</v>
      </c>
      <c r="B229" s="34">
        <v>1.0</v>
      </c>
      <c r="C229" s="34">
        <v>7.0</v>
      </c>
      <c r="D229" s="1" t="s">
        <v>90</v>
      </c>
      <c r="E229" s="1" t="s">
        <v>90</v>
      </c>
      <c r="F229" s="1" t="s">
        <v>953</v>
      </c>
      <c r="G229" s="1">
        <v>10.0</v>
      </c>
      <c r="H229" s="1">
        <v>39.0</v>
      </c>
      <c r="I229" s="1" t="s">
        <v>90</v>
      </c>
      <c r="J229" s="1" t="s">
        <v>954</v>
      </c>
      <c r="K229" s="1">
        <v>1.0</v>
      </c>
      <c r="L229" s="1" t="s">
        <v>954</v>
      </c>
    </row>
    <row r="230" hidden="1">
      <c r="A230" s="34">
        <v>10.0</v>
      </c>
      <c r="B230" s="34">
        <v>1.0</v>
      </c>
      <c r="C230" s="34">
        <v>19.0</v>
      </c>
      <c r="D230" s="1" t="s">
        <v>90</v>
      </c>
      <c r="E230" s="1" t="s">
        <v>90</v>
      </c>
      <c r="F230" s="1" t="s">
        <v>955</v>
      </c>
      <c r="G230" s="1">
        <v>10.0</v>
      </c>
      <c r="H230" s="1">
        <v>23.0</v>
      </c>
      <c r="I230" s="1" t="s">
        <v>90</v>
      </c>
      <c r="J230" s="1" t="s">
        <v>942</v>
      </c>
      <c r="K230" s="1">
        <v>24.0</v>
      </c>
      <c r="L230" s="1" t="s">
        <v>956</v>
      </c>
    </row>
    <row r="231" hidden="1">
      <c r="A231" s="34">
        <v>10.0</v>
      </c>
      <c r="B231" s="34">
        <v>1.0</v>
      </c>
      <c r="C231" s="34">
        <v>26.0</v>
      </c>
      <c r="D231" s="1" t="s">
        <v>90</v>
      </c>
      <c r="E231" s="1" t="s">
        <v>90</v>
      </c>
      <c r="F231" s="1" t="s">
        <v>958</v>
      </c>
      <c r="G231" s="1">
        <v>10.0</v>
      </c>
      <c r="H231" s="1">
        <v>8.0</v>
      </c>
      <c r="I231" s="1" t="s">
        <v>90</v>
      </c>
      <c r="J231" s="1" t="s">
        <v>959</v>
      </c>
      <c r="K231" s="1">
        <v>1.0</v>
      </c>
      <c r="L231" s="1" t="s">
        <v>959</v>
      </c>
    </row>
    <row r="232" hidden="1">
      <c r="A232" s="34">
        <v>10.0</v>
      </c>
      <c r="B232" s="34">
        <v>1.0</v>
      </c>
      <c r="C232" s="34">
        <v>39.0</v>
      </c>
      <c r="D232" s="1" t="s">
        <v>90</v>
      </c>
      <c r="E232" s="1" t="s">
        <v>90</v>
      </c>
      <c r="F232" s="1" t="s">
        <v>965</v>
      </c>
      <c r="G232" s="1">
        <v>10.0</v>
      </c>
      <c r="H232" s="1">
        <v>24.0</v>
      </c>
      <c r="I232" s="1" t="s">
        <v>90</v>
      </c>
      <c r="J232" s="1" t="s">
        <v>966</v>
      </c>
      <c r="K232" s="1">
        <v>1.0</v>
      </c>
      <c r="L232" s="1" t="s">
        <v>966</v>
      </c>
    </row>
    <row r="233" hidden="1">
      <c r="A233" s="34">
        <v>10.0</v>
      </c>
      <c r="B233" s="34">
        <v>1.0</v>
      </c>
      <c r="C233" s="34">
        <v>40.0</v>
      </c>
      <c r="D233" s="1" t="s">
        <v>90</v>
      </c>
      <c r="E233" s="1" t="s">
        <v>90</v>
      </c>
      <c r="F233" s="1" t="s">
        <v>967</v>
      </c>
      <c r="G233" s="1">
        <v>10.0</v>
      </c>
      <c r="H233" s="1">
        <v>28.0</v>
      </c>
      <c r="I233" s="1" t="s">
        <v>90</v>
      </c>
      <c r="J233" s="1" t="s">
        <v>968</v>
      </c>
      <c r="K233" s="1">
        <v>1.0</v>
      </c>
      <c r="L233" s="1" t="s">
        <v>969</v>
      </c>
    </row>
    <row r="234" hidden="1">
      <c r="A234" s="34">
        <v>10.0</v>
      </c>
      <c r="B234" s="34">
        <v>1.0</v>
      </c>
      <c r="C234" s="34">
        <v>41.0</v>
      </c>
      <c r="D234" s="1" t="s">
        <v>90</v>
      </c>
      <c r="E234" s="1" t="s">
        <v>90</v>
      </c>
      <c r="F234" s="1" t="s">
        <v>970</v>
      </c>
      <c r="G234" s="1">
        <v>10.0</v>
      </c>
      <c r="H234" s="1">
        <v>32.0</v>
      </c>
      <c r="I234" s="1" t="s">
        <v>90</v>
      </c>
      <c r="J234" s="1" t="s">
        <v>971</v>
      </c>
      <c r="K234" s="1">
        <v>1.0</v>
      </c>
      <c r="L234" s="1" t="s">
        <v>971</v>
      </c>
    </row>
    <row r="235" hidden="1">
      <c r="A235" s="34">
        <v>10.0</v>
      </c>
      <c r="B235" s="34">
        <v>1.0</v>
      </c>
      <c r="C235" s="34">
        <v>42.0</v>
      </c>
      <c r="D235" s="1" t="s">
        <v>90</v>
      </c>
      <c r="E235" s="1" t="s">
        <v>90</v>
      </c>
      <c r="F235" s="1" t="s">
        <v>972</v>
      </c>
      <c r="G235" s="1">
        <v>10.0</v>
      </c>
      <c r="H235" s="1">
        <v>35.0</v>
      </c>
      <c r="I235" s="1" t="s">
        <v>90</v>
      </c>
      <c r="J235" s="1" t="s">
        <v>973</v>
      </c>
      <c r="K235" s="1">
        <v>1.0</v>
      </c>
      <c r="L235" s="1" t="s">
        <v>974</v>
      </c>
    </row>
    <row r="236" hidden="1">
      <c r="A236" s="34">
        <v>10.0</v>
      </c>
      <c r="B236" s="34">
        <v>1.0</v>
      </c>
      <c r="C236" s="34">
        <v>44.0</v>
      </c>
      <c r="D236" s="1" t="s">
        <v>90</v>
      </c>
      <c r="E236" s="1" t="s">
        <v>90</v>
      </c>
      <c r="F236" s="1" t="s">
        <v>975</v>
      </c>
      <c r="G236" s="1">
        <v>10.0</v>
      </c>
      <c r="H236" s="1">
        <v>5.0</v>
      </c>
      <c r="I236" s="1" t="s">
        <v>90</v>
      </c>
      <c r="J236" s="1" t="s">
        <v>90</v>
      </c>
      <c r="K236" s="1">
        <v>1.0</v>
      </c>
      <c r="L236" s="1" t="s">
        <v>937</v>
      </c>
    </row>
    <row r="237" hidden="1">
      <c r="A237" s="34">
        <v>10.0</v>
      </c>
      <c r="B237" s="34">
        <v>1.0</v>
      </c>
      <c r="C237" s="34">
        <v>49.0</v>
      </c>
      <c r="D237" s="1" t="s">
        <v>90</v>
      </c>
      <c r="E237" s="1" t="s">
        <v>90</v>
      </c>
      <c r="F237" s="1" t="s">
        <v>976</v>
      </c>
      <c r="G237" s="1">
        <v>10.0</v>
      </c>
      <c r="H237" s="1">
        <v>5.0</v>
      </c>
      <c r="I237" s="1" t="s">
        <v>90</v>
      </c>
      <c r="J237" s="1" t="s">
        <v>90</v>
      </c>
      <c r="K237" s="1">
        <v>1.0</v>
      </c>
      <c r="L237" s="1" t="s">
        <v>937</v>
      </c>
    </row>
    <row r="238" hidden="1">
      <c r="A238" s="34">
        <v>10.0</v>
      </c>
      <c r="B238" s="34">
        <v>1.0</v>
      </c>
      <c r="C238" s="34">
        <v>50.0</v>
      </c>
      <c r="D238" s="1" t="s">
        <v>90</v>
      </c>
      <c r="E238" s="1" t="s">
        <v>90</v>
      </c>
      <c r="F238" s="1" t="s">
        <v>977</v>
      </c>
      <c r="G238" s="1">
        <v>10.0</v>
      </c>
      <c r="H238" s="1">
        <v>5.0</v>
      </c>
      <c r="I238" s="1" t="s">
        <v>90</v>
      </c>
      <c r="J238" s="1" t="s">
        <v>90</v>
      </c>
      <c r="K238" s="1">
        <v>1.0</v>
      </c>
      <c r="L238" s="1" t="s">
        <v>937</v>
      </c>
    </row>
    <row r="239" hidden="1">
      <c r="A239" s="34">
        <v>10.0</v>
      </c>
      <c r="B239" s="34">
        <v>1.0</v>
      </c>
      <c r="C239" s="34">
        <v>52.0</v>
      </c>
      <c r="D239" s="1" t="s">
        <v>90</v>
      </c>
      <c r="E239" s="1" t="s">
        <v>90</v>
      </c>
      <c r="F239" s="1" t="s">
        <v>978</v>
      </c>
      <c r="G239" s="1">
        <v>10.0</v>
      </c>
      <c r="H239" s="1">
        <v>16.0</v>
      </c>
      <c r="I239" s="1" t="s">
        <v>90</v>
      </c>
      <c r="J239" s="1" t="s">
        <v>979</v>
      </c>
      <c r="K239" s="1">
        <v>1.0</v>
      </c>
      <c r="L239" s="1" t="s">
        <v>979</v>
      </c>
    </row>
    <row r="240" hidden="1">
      <c r="A240" s="34">
        <v>10.0</v>
      </c>
      <c r="B240" s="34">
        <v>1.0</v>
      </c>
      <c r="C240" s="34">
        <v>82.0</v>
      </c>
      <c r="D240" s="1" t="s">
        <v>90</v>
      </c>
      <c r="E240" s="1" t="s">
        <v>90</v>
      </c>
      <c r="F240" s="1" t="s">
        <v>980</v>
      </c>
      <c r="G240" s="1">
        <v>10.0</v>
      </c>
      <c r="H240" s="1">
        <v>38.0</v>
      </c>
      <c r="I240" s="1" t="s">
        <v>90</v>
      </c>
      <c r="J240" s="1" t="s">
        <v>851</v>
      </c>
      <c r="K240" s="1">
        <v>1.0</v>
      </c>
      <c r="L240" s="1" t="s">
        <v>851</v>
      </c>
    </row>
    <row r="241" hidden="1">
      <c r="A241" s="34">
        <v>10.0</v>
      </c>
      <c r="B241" s="34">
        <v>13.0</v>
      </c>
      <c r="C241" s="34">
        <v>10.0</v>
      </c>
      <c r="D241" s="1" t="s">
        <v>90</v>
      </c>
      <c r="E241" s="1" t="s">
        <v>981</v>
      </c>
      <c r="F241" s="1" t="s">
        <v>982</v>
      </c>
      <c r="G241" s="1">
        <v>10.0</v>
      </c>
      <c r="H241" s="1">
        <v>7.0</v>
      </c>
      <c r="I241" s="1" t="s">
        <v>90</v>
      </c>
      <c r="J241" s="1" t="s">
        <v>981</v>
      </c>
      <c r="K241" s="1">
        <v>1.0</v>
      </c>
      <c r="L241" s="1" t="s">
        <v>981</v>
      </c>
    </row>
    <row r="242" hidden="1">
      <c r="A242" s="34">
        <v>10.0</v>
      </c>
      <c r="B242" s="34">
        <v>13.0</v>
      </c>
      <c r="C242" s="34">
        <v>11.0</v>
      </c>
      <c r="D242" s="1" t="s">
        <v>90</v>
      </c>
      <c r="E242" s="1" t="s">
        <v>981</v>
      </c>
      <c r="F242" s="1" t="s">
        <v>983</v>
      </c>
      <c r="G242" s="1">
        <v>10.0</v>
      </c>
      <c r="H242" s="1">
        <v>12.0</v>
      </c>
      <c r="I242" s="1" t="s">
        <v>90</v>
      </c>
      <c r="J242" s="1" t="s">
        <v>984</v>
      </c>
      <c r="K242" s="1">
        <v>1.0</v>
      </c>
      <c r="L242" s="1" t="s">
        <v>985</v>
      </c>
    </row>
    <row r="243" hidden="1">
      <c r="A243" s="34">
        <v>10.0</v>
      </c>
      <c r="B243" s="34">
        <v>13.0</v>
      </c>
      <c r="C243" s="34">
        <v>13.0</v>
      </c>
      <c r="D243" s="1" t="s">
        <v>90</v>
      </c>
      <c r="E243" s="1" t="s">
        <v>981</v>
      </c>
      <c r="F243" s="1" t="s">
        <v>986</v>
      </c>
      <c r="G243" s="1">
        <v>10.0</v>
      </c>
      <c r="H243" s="1">
        <v>36.0</v>
      </c>
      <c r="I243" s="1" t="s">
        <v>90</v>
      </c>
      <c r="J243" s="1" t="s">
        <v>987</v>
      </c>
      <c r="K243" s="1">
        <v>1.0</v>
      </c>
      <c r="L243" s="1" t="s">
        <v>988</v>
      </c>
    </row>
    <row r="244" hidden="1">
      <c r="A244" s="34">
        <v>10.0</v>
      </c>
      <c r="B244" s="34">
        <v>13.0</v>
      </c>
      <c r="C244" s="34">
        <v>14.0</v>
      </c>
      <c r="D244" s="1" t="s">
        <v>90</v>
      </c>
      <c r="E244" s="1" t="s">
        <v>981</v>
      </c>
      <c r="F244" s="1" t="s">
        <v>990</v>
      </c>
      <c r="G244" s="1">
        <v>10.0</v>
      </c>
      <c r="H244" s="1">
        <v>4.0</v>
      </c>
      <c r="I244" s="1" t="s">
        <v>90</v>
      </c>
      <c r="J244" s="1" t="s">
        <v>992</v>
      </c>
      <c r="K244" s="1">
        <v>1.0</v>
      </c>
      <c r="L244" s="1" t="s">
        <v>993</v>
      </c>
    </row>
    <row r="245" hidden="1">
      <c r="A245" s="34">
        <v>10.0</v>
      </c>
      <c r="B245" s="34">
        <v>13.0</v>
      </c>
      <c r="C245" s="34">
        <v>20.0</v>
      </c>
      <c r="D245" s="1" t="s">
        <v>90</v>
      </c>
      <c r="E245" s="1" t="s">
        <v>981</v>
      </c>
      <c r="F245" s="1" t="s">
        <v>994</v>
      </c>
      <c r="G245" s="1">
        <v>10.0</v>
      </c>
      <c r="H245" s="1">
        <v>13.0</v>
      </c>
      <c r="I245" s="1" t="s">
        <v>90</v>
      </c>
      <c r="J245" s="1" t="s">
        <v>995</v>
      </c>
      <c r="K245" s="1">
        <v>22.0</v>
      </c>
      <c r="L245" s="1" t="s">
        <v>996</v>
      </c>
    </row>
    <row r="246" hidden="1">
      <c r="A246" s="34">
        <v>10.0</v>
      </c>
      <c r="B246" s="34">
        <v>13.0</v>
      </c>
      <c r="C246" s="34">
        <v>24.0</v>
      </c>
      <c r="D246" s="1" t="s">
        <v>90</v>
      </c>
      <c r="E246" s="1" t="s">
        <v>981</v>
      </c>
      <c r="F246" s="1" t="s">
        <v>997</v>
      </c>
      <c r="G246" s="1">
        <v>10.0</v>
      </c>
      <c r="H246" s="1">
        <v>7.0</v>
      </c>
      <c r="I246" s="1" t="s">
        <v>90</v>
      </c>
      <c r="J246" s="1" t="s">
        <v>981</v>
      </c>
      <c r="K246" s="1">
        <v>58.0</v>
      </c>
      <c r="L246" s="1" t="s">
        <v>998</v>
      </c>
    </row>
    <row r="247" hidden="1">
      <c r="A247" s="34">
        <v>10.0</v>
      </c>
      <c r="B247" s="34">
        <v>13.0</v>
      </c>
      <c r="C247" s="34">
        <v>29.0</v>
      </c>
      <c r="D247" s="1" t="s">
        <v>90</v>
      </c>
      <c r="E247" s="1" t="s">
        <v>981</v>
      </c>
      <c r="F247" s="1" t="s">
        <v>999</v>
      </c>
      <c r="G247" s="1">
        <v>10.0</v>
      </c>
      <c r="H247" s="1">
        <v>7.0</v>
      </c>
      <c r="I247" s="1" t="s">
        <v>90</v>
      </c>
      <c r="J247" s="1" t="s">
        <v>981</v>
      </c>
      <c r="K247" s="1">
        <v>1.0</v>
      </c>
      <c r="L247" s="1" t="s">
        <v>981</v>
      </c>
    </row>
    <row r="248" hidden="1">
      <c r="A248" s="34">
        <v>10.0</v>
      </c>
      <c r="B248" s="34">
        <v>13.0</v>
      </c>
      <c r="C248" s="34">
        <v>30.0</v>
      </c>
      <c r="D248" s="1" t="s">
        <v>90</v>
      </c>
      <c r="E248" s="1" t="s">
        <v>981</v>
      </c>
      <c r="F248" s="1" t="s">
        <v>1000</v>
      </c>
      <c r="G248" s="1">
        <v>10.0</v>
      </c>
      <c r="H248" s="1">
        <v>13.0</v>
      </c>
      <c r="I248" s="1" t="s">
        <v>90</v>
      </c>
      <c r="J248" s="1" t="s">
        <v>995</v>
      </c>
      <c r="K248" s="1">
        <v>14.0</v>
      </c>
      <c r="L248" s="1" t="s">
        <v>1001</v>
      </c>
    </row>
    <row r="249" hidden="1">
      <c r="A249" s="34">
        <v>10.0</v>
      </c>
      <c r="B249" s="34">
        <v>13.0</v>
      </c>
      <c r="C249" s="34">
        <v>31.0</v>
      </c>
      <c r="D249" s="1" t="s">
        <v>90</v>
      </c>
      <c r="E249" s="1" t="s">
        <v>981</v>
      </c>
      <c r="F249" s="1" t="s">
        <v>1002</v>
      </c>
      <c r="G249" s="1">
        <v>10.0</v>
      </c>
      <c r="H249" s="1">
        <v>7.0</v>
      </c>
      <c r="I249" s="1" t="s">
        <v>90</v>
      </c>
      <c r="J249" s="1" t="s">
        <v>981</v>
      </c>
      <c r="K249" s="1">
        <v>147.0</v>
      </c>
      <c r="L249" s="1" t="s">
        <v>1003</v>
      </c>
    </row>
    <row r="250" hidden="1">
      <c r="A250" s="34">
        <v>10.0</v>
      </c>
      <c r="B250" s="34">
        <v>13.0</v>
      </c>
      <c r="C250" s="34">
        <v>32.0</v>
      </c>
      <c r="D250" s="1" t="s">
        <v>90</v>
      </c>
      <c r="E250" s="1" t="s">
        <v>981</v>
      </c>
      <c r="F250" s="1" t="s">
        <v>1004</v>
      </c>
      <c r="G250" s="1">
        <v>10.0</v>
      </c>
      <c r="H250" s="1">
        <v>7.0</v>
      </c>
      <c r="I250" s="1" t="s">
        <v>90</v>
      </c>
      <c r="J250" s="1" t="s">
        <v>981</v>
      </c>
      <c r="K250" s="1">
        <v>160.0</v>
      </c>
      <c r="L250" s="1" t="s">
        <v>1005</v>
      </c>
    </row>
    <row r="251" hidden="1">
      <c r="A251" s="34">
        <v>10.0</v>
      </c>
      <c r="B251" s="34">
        <v>13.0</v>
      </c>
      <c r="C251" s="34">
        <v>33.0</v>
      </c>
      <c r="D251" s="1" t="s">
        <v>90</v>
      </c>
      <c r="E251" s="1" t="s">
        <v>981</v>
      </c>
      <c r="F251" s="1" t="s">
        <v>1006</v>
      </c>
      <c r="G251" s="1">
        <v>10.0</v>
      </c>
      <c r="H251" s="1">
        <v>12.0</v>
      </c>
      <c r="I251" s="1" t="s">
        <v>90</v>
      </c>
      <c r="J251" s="1" t="s">
        <v>984</v>
      </c>
      <c r="K251" s="1">
        <v>33.0</v>
      </c>
      <c r="L251" s="1" t="s">
        <v>1007</v>
      </c>
    </row>
    <row r="252" hidden="1">
      <c r="A252" s="34">
        <v>10.0</v>
      </c>
      <c r="B252" s="34">
        <v>13.0</v>
      </c>
      <c r="C252" s="34">
        <v>34.0</v>
      </c>
      <c r="D252" s="1" t="s">
        <v>90</v>
      </c>
      <c r="E252" s="1" t="s">
        <v>981</v>
      </c>
      <c r="F252" s="1" t="s">
        <v>1008</v>
      </c>
      <c r="G252" s="1">
        <v>10.0</v>
      </c>
      <c r="H252" s="1">
        <v>7.0</v>
      </c>
      <c r="I252" s="1" t="s">
        <v>90</v>
      </c>
      <c r="J252" s="1" t="s">
        <v>981</v>
      </c>
      <c r="K252" s="1">
        <v>33.0</v>
      </c>
      <c r="L252" s="1" t="s">
        <v>1009</v>
      </c>
    </row>
    <row r="253" hidden="1">
      <c r="A253" s="34">
        <v>10.0</v>
      </c>
      <c r="B253" s="34">
        <v>13.0</v>
      </c>
      <c r="C253" s="34">
        <v>35.0</v>
      </c>
      <c r="D253" s="1" t="s">
        <v>90</v>
      </c>
      <c r="E253" s="1" t="s">
        <v>981</v>
      </c>
      <c r="F253" s="1" t="s">
        <v>1010</v>
      </c>
      <c r="G253" s="1">
        <v>10.0</v>
      </c>
      <c r="H253" s="1">
        <v>4.0</v>
      </c>
      <c r="I253" s="1" t="s">
        <v>90</v>
      </c>
      <c r="J253" s="1" t="s">
        <v>992</v>
      </c>
      <c r="K253" s="1">
        <v>44.0</v>
      </c>
      <c r="L253" s="1" t="s">
        <v>1011</v>
      </c>
    </row>
    <row r="254" hidden="1">
      <c r="A254" s="34">
        <v>10.0</v>
      </c>
      <c r="B254" s="34">
        <v>13.0</v>
      </c>
      <c r="C254" s="34">
        <v>43.0</v>
      </c>
      <c r="D254" s="1" t="s">
        <v>90</v>
      </c>
      <c r="E254" s="1" t="s">
        <v>981</v>
      </c>
      <c r="F254" s="1" t="s">
        <v>1012</v>
      </c>
      <c r="G254" s="1">
        <v>10.0</v>
      </c>
      <c r="H254" s="1">
        <v>7.0</v>
      </c>
      <c r="I254" s="1" t="s">
        <v>90</v>
      </c>
      <c r="J254" s="1" t="s">
        <v>981</v>
      </c>
      <c r="K254" s="1">
        <v>1.0</v>
      </c>
      <c r="L254" s="1" t="s">
        <v>981</v>
      </c>
    </row>
    <row r="255" hidden="1">
      <c r="A255" s="34">
        <v>10.0</v>
      </c>
      <c r="B255" s="34">
        <v>13.0</v>
      </c>
      <c r="C255" s="34">
        <v>45.0</v>
      </c>
      <c r="D255" s="1" t="s">
        <v>90</v>
      </c>
      <c r="E255" s="1" t="s">
        <v>981</v>
      </c>
      <c r="F255" s="1" t="s">
        <v>1013</v>
      </c>
      <c r="G255" s="1">
        <v>10.0</v>
      </c>
      <c r="H255" s="1">
        <v>13.0</v>
      </c>
      <c r="I255" s="1" t="s">
        <v>90</v>
      </c>
      <c r="J255" s="1" t="s">
        <v>995</v>
      </c>
      <c r="K255" s="1">
        <v>1.0</v>
      </c>
      <c r="L255" s="1" t="s">
        <v>995</v>
      </c>
    </row>
    <row r="256" hidden="1">
      <c r="A256" s="34">
        <v>10.0</v>
      </c>
      <c r="B256" s="34">
        <v>13.0</v>
      </c>
      <c r="C256" s="34">
        <v>47.0</v>
      </c>
      <c r="D256" s="1" t="s">
        <v>90</v>
      </c>
      <c r="E256" s="1" t="s">
        <v>981</v>
      </c>
      <c r="F256" s="1" t="s">
        <v>1014</v>
      </c>
      <c r="G256" s="1">
        <v>10.0</v>
      </c>
      <c r="H256" s="1">
        <v>18.0</v>
      </c>
      <c r="I256" s="1" t="s">
        <v>90</v>
      </c>
      <c r="J256" s="1" t="s">
        <v>1015</v>
      </c>
      <c r="K256" s="1">
        <v>1.0</v>
      </c>
      <c r="L256" s="1" t="s">
        <v>1016</v>
      </c>
    </row>
    <row r="257" hidden="1">
      <c r="A257" s="34">
        <v>10.0</v>
      </c>
      <c r="B257" s="34">
        <v>13.0</v>
      </c>
      <c r="C257" s="34">
        <v>48.0</v>
      </c>
      <c r="D257" s="1" t="s">
        <v>90</v>
      </c>
      <c r="E257" s="1" t="s">
        <v>981</v>
      </c>
      <c r="F257" s="1" t="s">
        <v>1017</v>
      </c>
      <c r="G257" s="1">
        <v>10.0</v>
      </c>
      <c r="H257" s="1">
        <v>15.0</v>
      </c>
      <c r="I257" s="1" t="s">
        <v>90</v>
      </c>
      <c r="J257" s="1" t="s">
        <v>1018</v>
      </c>
      <c r="K257" s="1">
        <v>1.0</v>
      </c>
      <c r="L257" s="1" t="s">
        <v>1018</v>
      </c>
    </row>
    <row r="258" hidden="1">
      <c r="A258" s="34">
        <v>10.0</v>
      </c>
      <c r="B258" s="34">
        <v>13.0</v>
      </c>
      <c r="C258" s="34">
        <v>53.0</v>
      </c>
      <c r="D258" s="1" t="s">
        <v>90</v>
      </c>
      <c r="E258" s="1" t="s">
        <v>981</v>
      </c>
      <c r="F258" s="1" t="s">
        <v>1019</v>
      </c>
      <c r="G258" s="1">
        <v>10.0</v>
      </c>
      <c r="H258" s="1">
        <v>7.0</v>
      </c>
      <c r="I258" s="1" t="s">
        <v>90</v>
      </c>
      <c r="J258" s="1" t="s">
        <v>981</v>
      </c>
      <c r="K258" s="1">
        <v>1.0</v>
      </c>
      <c r="L258" s="1" t="s">
        <v>981</v>
      </c>
    </row>
    <row r="259" hidden="1">
      <c r="A259" s="34">
        <v>11.0</v>
      </c>
      <c r="B259" s="34">
        <v>1.0</v>
      </c>
      <c r="C259" s="34">
        <v>11.0</v>
      </c>
      <c r="D259" s="1" t="s">
        <v>92</v>
      </c>
      <c r="E259" s="1" t="s">
        <v>92</v>
      </c>
      <c r="F259" s="1" t="s">
        <v>1020</v>
      </c>
      <c r="G259" s="1">
        <v>11.0</v>
      </c>
      <c r="H259" s="1">
        <v>3.0</v>
      </c>
      <c r="I259" s="1" t="s">
        <v>92</v>
      </c>
      <c r="J259" s="1" t="s">
        <v>1021</v>
      </c>
      <c r="K259" s="1">
        <v>1.0</v>
      </c>
      <c r="L259" s="1" t="s">
        <v>1021</v>
      </c>
    </row>
    <row r="260" hidden="1">
      <c r="A260" s="34">
        <v>11.0</v>
      </c>
      <c r="B260" s="34">
        <v>1.0</v>
      </c>
      <c r="C260" s="34">
        <v>12.0</v>
      </c>
      <c r="D260" s="1" t="s">
        <v>92</v>
      </c>
      <c r="E260" s="1" t="s">
        <v>92</v>
      </c>
      <c r="F260" s="1" t="s">
        <v>1022</v>
      </c>
      <c r="G260" s="1">
        <v>11.0</v>
      </c>
      <c r="H260" s="1">
        <v>14.0</v>
      </c>
      <c r="I260" s="1" t="s">
        <v>92</v>
      </c>
      <c r="J260" s="1" t="s">
        <v>1023</v>
      </c>
      <c r="K260" s="1">
        <v>1.0</v>
      </c>
      <c r="L260" s="1" t="s">
        <v>1024</v>
      </c>
    </row>
    <row r="261" hidden="1">
      <c r="A261" s="34">
        <v>11.0</v>
      </c>
      <c r="B261" s="34">
        <v>1.0</v>
      </c>
      <c r="C261" s="34">
        <v>20.0</v>
      </c>
      <c r="D261" s="1" t="s">
        <v>92</v>
      </c>
      <c r="E261" s="1" t="s">
        <v>92</v>
      </c>
      <c r="F261" s="1" t="s">
        <v>1025</v>
      </c>
      <c r="G261" s="1">
        <v>11.0</v>
      </c>
      <c r="H261" s="1">
        <v>33.0</v>
      </c>
      <c r="I261" s="1" t="s">
        <v>92</v>
      </c>
      <c r="J261" s="1" t="s">
        <v>1026</v>
      </c>
      <c r="K261" s="1">
        <v>1.0</v>
      </c>
      <c r="L261" s="1" t="s">
        <v>1027</v>
      </c>
    </row>
    <row r="262" hidden="1">
      <c r="A262" s="34">
        <v>11.0</v>
      </c>
      <c r="B262" s="34">
        <v>1.0</v>
      </c>
      <c r="C262" s="34">
        <v>29.0</v>
      </c>
      <c r="D262" s="1" t="s">
        <v>92</v>
      </c>
      <c r="E262" s="1" t="s">
        <v>92</v>
      </c>
      <c r="F262" s="1" t="s">
        <v>1028</v>
      </c>
      <c r="G262" s="1">
        <v>11.0</v>
      </c>
      <c r="H262" s="1">
        <v>29.0</v>
      </c>
      <c r="I262" s="1" t="s">
        <v>92</v>
      </c>
      <c r="J262" s="1" t="s">
        <v>1029</v>
      </c>
      <c r="K262" s="1">
        <v>1.0</v>
      </c>
      <c r="L262" s="1" t="s">
        <v>1029</v>
      </c>
    </row>
    <row r="263" hidden="1">
      <c r="A263" s="34">
        <v>11.0</v>
      </c>
      <c r="B263" s="34">
        <v>1.0</v>
      </c>
      <c r="C263" s="34">
        <v>38.0</v>
      </c>
      <c r="D263" s="1" t="s">
        <v>92</v>
      </c>
      <c r="E263" s="1" t="s">
        <v>92</v>
      </c>
      <c r="F263" s="1" t="s">
        <v>1030</v>
      </c>
      <c r="G263" s="1">
        <v>11.0</v>
      </c>
      <c r="H263" s="1">
        <v>32.0</v>
      </c>
      <c r="I263" s="1" t="s">
        <v>92</v>
      </c>
      <c r="J263" s="1" t="s">
        <v>1031</v>
      </c>
      <c r="K263" s="1">
        <v>1.0</v>
      </c>
      <c r="L263" s="1" t="s">
        <v>1031</v>
      </c>
    </row>
    <row r="264" hidden="1">
      <c r="A264" s="34">
        <v>11.0</v>
      </c>
      <c r="B264" s="34">
        <v>1.0</v>
      </c>
      <c r="C264" s="34">
        <v>46.0</v>
      </c>
      <c r="D264" s="1" t="s">
        <v>92</v>
      </c>
      <c r="E264" s="1" t="s">
        <v>92</v>
      </c>
      <c r="F264" s="1" t="s">
        <v>1032</v>
      </c>
      <c r="G264" s="1">
        <v>11.0</v>
      </c>
      <c r="H264" s="1">
        <v>15.0</v>
      </c>
      <c r="I264" s="1" t="s">
        <v>92</v>
      </c>
      <c r="J264" s="1" t="s">
        <v>92</v>
      </c>
      <c r="K264" s="1">
        <v>1.0</v>
      </c>
      <c r="L264" s="1" t="s">
        <v>92</v>
      </c>
    </row>
    <row r="265" hidden="1">
      <c r="A265" s="34">
        <v>11.0</v>
      </c>
      <c r="B265" s="34">
        <v>1.0</v>
      </c>
      <c r="C265" s="34">
        <v>50.0</v>
      </c>
      <c r="D265" s="1" t="s">
        <v>92</v>
      </c>
      <c r="E265" s="1" t="s">
        <v>92</v>
      </c>
      <c r="F265" s="1" t="s">
        <v>1033</v>
      </c>
      <c r="G265" s="1">
        <v>11.0</v>
      </c>
      <c r="H265" s="1">
        <v>15.0</v>
      </c>
      <c r="I265" s="1" t="s">
        <v>92</v>
      </c>
      <c r="J265" s="1" t="s">
        <v>92</v>
      </c>
      <c r="K265" s="1">
        <v>1.0</v>
      </c>
      <c r="L265" s="1" t="s">
        <v>92</v>
      </c>
    </row>
    <row r="266" hidden="1">
      <c r="A266" s="34">
        <v>11.0</v>
      </c>
      <c r="B266" s="34">
        <v>5.0</v>
      </c>
      <c r="C266" s="34">
        <v>2.0</v>
      </c>
      <c r="D266" s="1" t="s">
        <v>92</v>
      </c>
      <c r="E266" s="1" t="s">
        <v>1034</v>
      </c>
      <c r="F266" s="1" t="s">
        <v>1035</v>
      </c>
      <c r="G266" s="1">
        <v>11.0</v>
      </c>
      <c r="H266" s="1">
        <v>17.0</v>
      </c>
      <c r="I266" s="1" t="s">
        <v>92</v>
      </c>
      <c r="J266" s="1" t="s">
        <v>1034</v>
      </c>
      <c r="K266" s="1">
        <v>1.0</v>
      </c>
      <c r="L266" s="1" t="s">
        <v>1034</v>
      </c>
    </row>
    <row r="267" hidden="1">
      <c r="A267" s="34">
        <v>11.0</v>
      </c>
      <c r="B267" s="34">
        <v>5.0</v>
      </c>
      <c r="C267" s="34">
        <v>9.0</v>
      </c>
      <c r="D267" s="1" t="s">
        <v>92</v>
      </c>
      <c r="E267" s="1" t="s">
        <v>1034</v>
      </c>
      <c r="F267" s="1" t="s">
        <v>1036</v>
      </c>
      <c r="G267" s="1">
        <v>11.0</v>
      </c>
      <c r="H267" s="1">
        <v>23.0</v>
      </c>
      <c r="I267" s="1" t="s">
        <v>92</v>
      </c>
      <c r="J267" s="1" t="s">
        <v>1037</v>
      </c>
      <c r="K267" s="1">
        <v>1.0</v>
      </c>
      <c r="L267" s="1" t="s">
        <v>1037</v>
      </c>
    </row>
    <row r="268" hidden="1">
      <c r="A268" s="34">
        <v>11.0</v>
      </c>
      <c r="B268" s="34">
        <v>5.0</v>
      </c>
      <c r="C268" s="34">
        <v>22.0</v>
      </c>
      <c r="D268" s="1" t="s">
        <v>92</v>
      </c>
      <c r="E268" s="1" t="s">
        <v>1034</v>
      </c>
      <c r="F268" s="1" t="s">
        <v>1038</v>
      </c>
      <c r="G268" s="1">
        <v>11.0</v>
      </c>
      <c r="H268" s="1">
        <v>1.0</v>
      </c>
      <c r="I268" s="1" t="s">
        <v>92</v>
      </c>
      <c r="J268" s="1" t="s">
        <v>1039</v>
      </c>
      <c r="K268" s="1">
        <v>1.0</v>
      </c>
      <c r="L268" s="1" t="s">
        <v>1039</v>
      </c>
    </row>
    <row r="269" hidden="1">
      <c r="A269" s="34">
        <v>11.0</v>
      </c>
      <c r="B269" s="34">
        <v>5.0</v>
      </c>
      <c r="C269" s="34">
        <v>32.0</v>
      </c>
      <c r="D269" s="1" t="s">
        <v>92</v>
      </c>
      <c r="E269" s="1" t="s">
        <v>1034</v>
      </c>
      <c r="F269" s="1" t="s">
        <v>1040</v>
      </c>
      <c r="G269" s="1">
        <v>11.0</v>
      </c>
      <c r="H269" s="1">
        <v>12.0</v>
      </c>
      <c r="I269" s="1" t="s">
        <v>92</v>
      </c>
      <c r="J269" s="1" t="s">
        <v>1041</v>
      </c>
      <c r="K269" s="1">
        <v>1.0</v>
      </c>
      <c r="L269" s="1" t="s">
        <v>1041</v>
      </c>
    </row>
    <row r="270" hidden="1">
      <c r="A270" s="34">
        <v>11.0</v>
      </c>
      <c r="B270" s="34">
        <v>5.0</v>
      </c>
      <c r="C270" s="34">
        <v>35.0</v>
      </c>
      <c r="D270" s="1" t="s">
        <v>92</v>
      </c>
      <c r="E270" s="1" t="s">
        <v>1034</v>
      </c>
      <c r="F270" s="1" t="s">
        <v>1042</v>
      </c>
      <c r="G270" s="1">
        <v>11.0</v>
      </c>
      <c r="H270" s="1">
        <v>24.0</v>
      </c>
      <c r="I270" s="1" t="s">
        <v>92</v>
      </c>
      <c r="J270" s="1" t="s">
        <v>942</v>
      </c>
      <c r="K270" s="1">
        <v>1.0</v>
      </c>
      <c r="L270" s="1" t="s">
        <v>942</v>
      </c>
    </row>
    <row r="271" hidden="1">
      <c r="A271" s="34">
        <v>11.0</v>
      </c>
      <c r="B271" s="34">
        <v>5.0</v>
      </c>
      <c r="C271" s="34">
        <v>44.0</v>
      </c>
      <c r="D271" s="1" t="s">
        <v>92</v>
      </c>
      <c r="E271" s="1" t="s">
        <v>1034</v>
      </c>
      <c r="F271" s="1" t="s">
        <v>1043</v>
      </c>
      <c r="G271" s="1">
        <v>11.0</v>
      </c>
      <c r="H271" s="1">
        <v>17.0</v>
      </c>
      <c r="I271" s="1" t="s">
        <v>92</v>
      </c>
      <c r="J271" s="1" t="s">
        <v>1034</v>
      </c>
      <c r="K271" s="1">
        <v>1.0</v>
      </c>
      <c r="L271" s="1" t="s">
        <v>1034</v>
      </c>
    </row>
    <row r="272" hidden="1">
      <c r="A272" s="34">
        <v>11.0</v>
      </c>
      <c r="B272" s="34">
        <v>5.0</v>
      </c>
      <c r="C272" s="34">
        <v>45.0</v>
      </c>
      <c r="D272" s="1" t="s">
        <v>92</v>
      </c>
      <c r="E272" s="1" t="s">
        <v>1034</v>
      </c>
      <c r="F272" s="1" t="s">
        <v>1044</v>
      </c>
      <c r="G272" s="1">
        <v>11.0</v>
      </c>
      <c r="H272" s="1">
        <v>17.0</v>
      </c>
      <c r="I272" s="1" t="s">
        <v>92</v>
      </c>
      <c r="J272" s="1" t="s">
        <v>1034</v>
      </c>
      <c r="K272" s="1">
        <v>1.0</v>
      </c>
      <c r="L272" s="1" t="s">
        <v>1034</v>
      </c>
    </row>
    <row r="273" hidden="1">
      <c r="A273" s="34">
        <v>11.0</v>
      </c>
      <c r="B273" s="34">
        <v>5.0</v>
      </c>
      <c r="C273" s="34">
        <v>57.0</v>
      </c>
      <c r="D273" s="1" t="s">
        <v>92</v>
      </c>
      <c r="E273" s="1" t="s">
        <v>1034</v>
      </c>
      <c r="F273" s="1" t="s">
        <v>1045</v>
      </c>
      <c r="G273" s="1">
        <v>11.0</v>
      </c>
      <c r="H273" s="1">
        <v>17.0</v>
      </c>
      <c r="I273" s="1" t="s">
        <v>92</v>
      </c>
      <c r="J273" s="1" t="s">
        <v>1034</v>
      </c>
      <c r="K273" s="1">
        <v>1.0</v>
      </c>
      <c r="L273" s="1" t="s">
        <v>1034</v>
      </c>
    </row>
    <row r="274" hidden="1">
      <c r="A274" s="34">
        <v>11.0</v>
      </c>
      <c r="B274" s="34">
        <v>8.0</v>
      </c>
      <c r="C274" s="34">
        <v>5.0</v>
      </c>
      <c r="D274" s="1" t="s">
        <v>92</v>
      </c>
      <c r="E274" s="1" t="s">
        <v>1046</v>
      </c>
      <c r="F274" s="1" t="s">
        <v>1047</v>
      </c>
      <c r="G274" s="1">
        <v>11.0</v>
      </c>
      <c r="H274" s="1">
        <v>9.0</v>
      </c>
      <c r="I274" s="1" t="s">
        <v>92</v>
      </c>
      <c r="J274" s="1" t="s">
        <v>1048</v>
      </c>
      <c r="K274" s="1">
        <v>1.0</v>
      </c>
      <c r="L274" s="1" t="s">
        <v>1048</v>
      </c>
    </row>
    <row r="275" hidden="1">
      <c r="A275" s="34">
        <v>11.0</v>
      </c>
      <c r="B275" s="34">
        <v>8.0</v>
      </c>
      <c r="C275" s="34">
        <v>6.0</v>
      </c>
      <c r="D275" s="1" t="s">
        <v>92</v>
      </c>
      <c r="E275" s="1" t="s">
        <v>1046</v>
      </c>
      <c r="F275" s="1" t="s">
        <v>1049</v>
      </c>
      <c r="G275" s="1">
        <v>11.0</v>
      </c>
      <c r="H275" s="1">
        <v>11.0</v>
      </c>
      <c r="I275" s="1" t="s">
        <v>92</v>
      </c>
      <c r="J275" s="1" t="s">
        <v>1050</v>
      </c>
      <c r="K275" s="1">
        <v>1.0</v>
      </c>
      <c r="L275" s="1" t="s">
        <v>1050</v>
      </c>
    </row>
    <row r="276" hidden="1">
      <c r="A276" s="34">
        <v>11.0</v>
      </c>
      <c r="B276" s="34">
        <v>8.0</v>
      </c>
      <c r="C276" s="34">
        <v>8.0</v>
      </c>
      <c r="D276" s="1" t="s">
        <v>92</v>
      </c>
      <c r="E276" s="1" t="s">
        <v>1046</v>
      </c>
      <c r="F276" s="1" t="s">
        <v>1051</v>
      </c>
      <c r="G276" s="1">
        <v>11.0</v>
      </c>
      <c r="H276" s="1">
        <v>28.0</v>
      </c>
      <c r="I276" s="1" t="s">
        <v>92</v>
      </c>
      <c r="J276" s="1" t="s">
        <v>1052</v>
      </c>
      <c r="K276" s="1">
        <v>1.0</v>
      </c>
      <c r="L276" s="1" t="s">
        <v>1052</v>
      </c>
    </row>
    <row r="277" hidden="1">
      <c r="A277" s="34">
        <v>11.0</v>
      </c>
      <c r="B277" s="34">
        <v>8.0</v>
      </c>
      <c r="C277" s="34">
        <v>13.0</v>
      </c>
      <c r="D277" s="1" t="s">
        <v>92</v>
      </c>
      <c r="E277" s="1" t="s">
        <v>1046</v>
      </c>
      <c r="F277" s="1" t="s">
        <v>1053</v>
      </c>
      <c r="G277" s="1">
        <v>11.0</v>
      </c>
      <c r="H277" s="1">
        <v>2.0</v>
      </c>
      <c r="I277" s="1" t="s">
        <v>92</v>
      </c>
      <c r="J277" s="1" t="s">
        <v>1054</v>
      </c>
      <c r="K277" s="1">
        <v>1.0</v>
      </c>
      <c r="L277" s="1" t="s">
        <v>1054</v>
      </c>
    </row>
    <row r="278" hidden="1">
      <c r="A278" s="34">
        <v>11.0</v>
      </c>
      <c r="B278" s="34">
        <v>8.0</v>
      </c>
      <c r="C278" s="34">
        <v>17.0</v>
      </c>
      <c r="D278" s="1" t="s">
        <v>92</v>
      </c>
      <c r="E278" s="1" t="s">
        <v>1046</v>
      </c>
      <c r="F278" s="1" t="s">
        <v>1055</v>
      </c>
      <c r="G278" s="1">
        <v>11.0</v>
      </c>
      <c r="H278" s="1">
        <v>9.0</v>
      </c>
      <c r="I278" s="1" t="s">
        <v>92</v>
      </c>
      <c r="J278" s="1" t="s">
        <v>1048</v>
      </c>
      <c r="K278" s="1">
        <v>246.0</v>
      </c>
      <c r="L278" s="1" t="s">
        <v>1056</v>
      </c>
    </row>
    <row r="279" hidden="1">
      <c r="A279" s="34">
        <v>11.0</v>
      </c>
      <c r="B279" s="34">
        <v>8.0</v>
      </c>
      <c r="C279" s="34">
        <v>18.0</v>
      </c>
      <c r="D279" s="1" t="s">
        <v>92</v>
      </c>
      <c r="E279" s="1" t="s">
        <v>1046</v>
      </c>
      <c r="F279" s="1" t="s">
        <v>1057</v>
      </c>
      <c r="G279" s="1">
        <v>11.0</v>
      </c>
      <c r="H279" s="1">
        <v>4.0</v>
      </c>
      <c r="I279" s="1" t="s">
        <v>92</v>
      </c>
      <c r="J279" s="1" t="s">
        <v>1058</v>
      </c>
      <c r="K279" s="1">
        <v>1.0</v>
      </c>
      <c r="L279" s="1" t="s">
        <v>1059</v>
      </c>
    </row>
    <row r="280" hidden="1">
      <c r="A280" s="34">
        <v>11.0</v>
      </c>
      <c r="B280" s="34">
        <v>8.0</v>
      </c>
      <c r="C280" s="34">
        <v>23.0</v>
      </c>
      <c r="D280" s="1" t="s">
        <v>92</v>
      </c>
      <c r="E280" s="1" t="s">
        <v>1046</v>
      </c>
      <c r="F280" s="1" t="s">
        <v>1060</v>
      </c>
      <c r="G280" s="1">
        <v>11.0</v>
      </c>
      <c r="H280" s="1">
        <v>5.0</v>
      </c>
      <c r="I280" s="1" t="s">
        <v>92</v>
      </c>
      <c r="J280" s="1" t="s">
        <v>1061</v>
      </c>
      <c r="K280" s="1">
        <v>1.0</v>
      </c>
      <c r="L280" s="1" t="s">
        <v>1062</v>
      </c>
    </row>
    <row r="281" hidden="1">
      <c r="A281" s="34">
        <v>11.0</v>
      </c>
      <c r="B281" s="34">
        <v>8.0</v>
      </c>
      <c r="C281" s="34">
        <v>40.0</v>
      </c>
      <c r="D281" s="1" t="s">
        <v>92</v>
      </c>
      <c r="E281" s="1" t="s">
        <v>1046</v>
      </c>
      <c r="F281" s="1" t="s">
        <v>1063</v>
      </c>
      <c r="G281" s="1">
        <v>11.0</v>
      </c>
      <c r="H281" s="1">
        <v>44.0</v>
      </c>
      <c r="I281" s="1" t="s">
        <v>92</v>
      </c>
      <c r="J281" s="1" t="s">
        <v>1064</v>
      </c>
      <c r="K281" s="1">
        <v>1.0</v>
      </c>
      <c r="L281" s="1" t="s">
        <v>1064</v>
      </c>
    </row>
    <row r="282" hidden="1">
      <c r="A282" s="34">
        <v>11.0</v>
      </c>
      <c r="B282" s="34">
        <v>8.0</v>
      </c>
      <c r="C282" s="34">
        <v>41.0</v>
      </c>
      <c r="D282" s="1" t="s">
        <v>92</v>
      </c>
      <c r="E282" s="1" t="s">
        <v>1046</v>
      </c>
      <c r="F282" s="1" t="s">
        <v>1065</v>
      </c>
      <c r="G282" s="1">
        <v>11.0</v>
      </c>
      <c r="H282" s="1">
        <v>39.0</v>
      </c>
      <c r="I282" s="1" t="s">
        <v>92</v>
      </c>
      <c r="J282" s="1" t="s">
        <v>1066</v>
      </c>
      <c r="K282" s="1">
        <v>1.0</v>
      </c>
      <c r="L282" s="1" t="s">
        <v>1066</v>
      </c>
    </row>
    <row r="283" hidden="1">
      <c r="A283" s="34">
        <v>11.0</v>
      </c>
      <c r="B283" s="34">
        <v>8.0</v>
      </c>
      <c r="C283" s="34">
        <v>49.0</v>
      </c>
      <c r="D283" s="1" t="s">
        <v>92</v>
      </c>
      <c r="E283" s="1" t="s">
        <v>1046</v>
      </c>
      <c r="F283" s="1" t="s">
        <v>1067</v>
      </c>
      <c r="G283" s="1">
        <v>11.0</v>
      </c>
      <c r="H283" s="1">
        <v>7.0</v>
      </c>
      <c r="I283" s="1" t="s">
        <v>92</v>
      </c>
      <c r="J283" s="1" t="s">
        <v>1046</v>
      </c>
      <c r="K283" s="1">
        <v>1.0</v>
      </c>
      <c r="L283" s="1" t="s">
        <v>1046</v>
      </c>
    </row>
    <row r="284" hidden="1">
      <c r="A284" s="34">
        <v>11.0</v>
      </c>
      <c r="B284" s="34">
        <v>8.0</v>
      </c>
      <c r="C284" s="34">
        <v>59.0</v>
      </c>
      <c r="D284" s="1" t="s">
        <v>92</v>
      </c>
      <c r="E284" s="1" t="s">
        <v>1046</v>
      </c>
      <c r="F284" s="1" t="s">
        <v>1068</v>
      </c>
      <c r="G284" s="1">
        <v>11.0</v>
      </c>
      <c r="H284" s="1">
        <v>7.0</v>
      </c>
      <c r="I284" s="1" t="s">
        <v>92</v>
      </c>
      <c r="J284" s="1" t="s">
        <v>1046</v>
      </c>
      <c r="K284" s="1">
        <v>1.0</v>
      </c>
      <c r="L284" s="1" t="s">
        <v>1046</v>
      </c>
    </row>
    <row r="285" hidden="1">
      <c r="A285" s="34">
        <v>11.0</v>
      </c>
      <c r="B285" s="34">
        <v>14.0</v>
      </c>
      <c r="C285" s="34">
        <v>3.0</v>
      </c>
      <c r="D285" s="1" t="s">
        <v>92</v>
      </c>
      <c r="E285" s="1" t="s">
        <v>1069</v>
      </c>
      <c r="F285" s="1" t="s">
        <v>1070</v>
      </c>
      <c r="G285" s="1">
        <v>11.0</v>
      </c>
      <c r="H285" s="1">
        <v>27.0</v>
      </c>
      <c r="I285" s="1" t="s">
        <v>92</v>
      </c>
      <c r="J285" s="1" t="s">
        <v>1069</v>
      </c>
      <c r="K285" s="1">
        <v>1.0</v>
      </c>
      <c r="L285" s="1" t="s">
        <v>1069</v>
      </c>
    </row>
    <row r="286" hidden="1">
      <c r="A286" s="34">
        <v>11.0</v>
      </c>
      <c r="B286" s="34">
        <v>14.0</v>
      </c>
      <c r="C286" s="34">
        <v>15.0</v>
      </c>
      <c r="D286" s="1" t="s">
        <v>92</v>
      </c>
      <c r="E286" s="1" t="s">
        <v>1069</v>
      </c>
      <c r="F286" s="1" t="s">
        <v>1074</v>
      </c>
      <c r="G286" s="1">
        <v>11.0</v>
      </c>
      <c r="H286" s="1">
        <v>21.0</v>
      </c>
      <c r="I286" s="1" t="s">
        <v>92</v>
      </c>
      <c r="J286" s="1" t="s">
        <v>1076</v>
      </c>
      <c r="K286" s="1">
        <v>1.0</v>
      </c>
      <c r="L286" s="1" t="s">
        <v>1076</v>
      </c>
    </row>
    <row r="287" hidden="1">
      <c r="A287" s="34">
        <v>11.0</v>
      </c>
      <c r="B287" s="34">
        <v>14.0</v>
      </c>
      <c r="C287" s="34">
        <v>16.0</v>
      </c>
      <c r="D287" s="1" t="s">
        <v>92</v>
      </c>
      <c r="E287" s="1" t="s">
        <v>1069</v>
      </c>
      <c r="F287" s="1" t="s">
        <v>1077</v>
      </c>
      <c r="G287" s="1">
        <v>11.0</v>
      </c>
      <c r="H287" s="1">
        <v>35.0</v>
      </c>
      <c r="I287" s="1" t="s">
        <v>92</v>
      </c>
      <c r="J287" s="1" t="s">
        <v>1078</v>
      </c>
      <c r="K287" s="1">
        <v>1.0</v>
      </c>
      <c r="L287" s="1" t="s">
        <v>1079</v>
      </c>
    </row>
    <row r="288" hidden="1">
      <c r="A288" s="34">
        <v>11.0</v>
      </c>
      <c r="B288" s="34">
        <v>14.0</v>
      </c>
      <c r="C288" s="34">
        <v>19.0</v>
      </c>
      <c r="D288" s="1" t="s">
        <v>92</v>
      </c>
      <c r="E288" s="1" t="s">
        <v>1069</v>
      </c>
      <c r="F288" s="1" t="s">
        <v>1080</v>
      </c>
      <c r="G288" s="1">
        <v>11.0</v>
      </c>
      <c r="H288" s="1">
        <v>42.0</v>
      </c>
      <c r="I288" s="1" t="s">
        <v>92</v>
      </c>
      <c r="J288" s="1" t="s">
        <v>1081</v>
      </c>
      <c r="K288" s="1">
        <v>1.0</v>
      </c>
      <c r="L288" s="1" t="s">
        <v>1081</v>
      </c>
    </row>
    <row r="289" hidden="1">
      <c r="A289" s="34">
        <v>11.0</v>
      </c>
      <c r="B289" s="34">
        <v>14.0</v>
      </c>
      <c r="C289" s="34">
        <v>34.0</v>
      </c>
      <c r="D289" s="1" t="s">
        <v>92</v>
      </c>
      <c r="E289" s="1" t="s">
        <v>1069</v>
      </c>
      <c r="F289" s="1" t="s">
        <v>1082</v>
      </c>
      <c r="G289" s="1">
        <v>11.0</v>
      </c>
      <c r="H289" s="1">
        <v>18.0</v>
      </c>
      <c r="I289" s="1" t="s">
        <v>92</v>
      </c>
      <c r="J289" s="1" t="s">
        <v>1083</v>
      </c>
      <c r="K289" s="1">
        <v>1.0</v>
      </c>
      <c r="L289" s="1" t="s">
        <v>1083</v>
      </c>
    </row>
    <row r="290" hidden="1">
      <c r="A290" s="34">
        <v>11.0</v>
      </c>
      <c r="B290" s="34">
        <v>14.0</v>
      </c>
      <c r="C290" s="34">
        <v>36.0</v>
      </c>
      <c r="D290" s="1" t="s">
        <v>92</v>
      </c>
      <c r="E290" s="1" t="s">
        <v>1069</v>
      </c>
      <c r="F290" s="1" t="s">
        <v>1084</v>
      </c>
      <c r="G290" s="1">
        <v>11.0</v>
      </c>
      <c r="H290" s="1">
        <v>46.0</v>
      </c>
      <c r="I290" s="1" t="s">
        <v>92</v>
      </c>
      <c r="J290" s="1" t="s">
        <v>1085</v>
      </c>
      <c r="K290" s="1">
        <v>1.0</v>
      </c>
      <c r="L290" s="1" t="s">
        <v>1085</v>
      </c>
    </row>
    <row r="291" hidden="1">
      <c r="A291" s="34">
        <v>11.0</v>
      </c>
      <c r="B291" s="34">
        <v>17.0</v>
      </c>
      <c r="C291" s="34">
        <v>14.0</v>
      </c>
      <c r="D291" s="1" t="s">
        <v>92</v>
      </c>
      <c r="E291" s="1" t="s">
        <v>1086</v>
      </c>
      <c r="F291" s="1" t="s">
        <v>1087</v>
      </c>
      <c r="G291" s="1">
        <v>11.0</v>
      </c>
      <c r="H291" s="1">
        <v>37.0</v>
      </c>
      <c r="I291" s="1" t="s">
        <v>92</v>
      </c>
      <c r="J291" s="1" t="s">
        <v>1088</v>
      </c>
      <c r="K291" s="1">
        <v>1.0</v>
      </c>
      <c r="L291" s="1" t="s">
        <v>1089</v>
      </c>
    </row>
    <row r="292" hidden="1">
      <c r="A292" s="34">
        <v>11.0</v>
      </c>
      <c r="B292" s="34">
        <v>17.0</v>
      </c>
      <c r="C292" s="34">
        <v>21.0</v>
      </c>
      <c r="D292" s="1" t="s">
        <v>92</v>
      </c>
      <c r="E292" s="1" t="s">
        <v>1086</v>
      </c>
      <c r="F292" s="1" t="s">
        <v>1090</v>
      </c>
      <c r="G292" s="1">
        <v>11.0</v>
      </c>
      <c r="H292" s="1">
        <v>20.0</v>
      </c>
      <c r="I292" s="1" t="s">
        <v>92</v>
      </c>
      <c r="J292" s="1" t="s">
        <v>1086</v>
      </c>
      <c r="K292" s="1">
        <v>1.0</v>
      </c>
      <c r="L292" s="1" t="s">
        <v>1091</v>
      </c>
    </row>
    <row r="293" hidden="1">
      <c r="A293" s="34">
        <v>11.0</v>
      </c>
      <c r="B293" s="34">
        <v>17.0</v>
      </c>
      <c r="C293" s="34">
        <v>24.0</v>
      </c>
      <c r="D293" s="1" t="s">
        <v>92</v>
      </c>
      <c r="E293" s="1" t="s">
        <v>1086</v>
      </c>
      <c r="F293" s="1" t="s">
        <v>1092</v>
      </c>
      <c r="G293" s="1">
        <v>11.0</v>
      </c>
      <c r="H293" s="1">
        <v>8.0</v>
      </c>
      <c r="I293" s="1" t="s">
        <v>92</v>
      </c>
      <c r="J293" s="1" t="s">
        <v>1093</v>
      </c>
      <c r="K293" s="1">
        <v>1.0</v>
      </c>
      <c r="L293" s="1" t="s">
        <v>1094</v>
      </c>
    </row>
    <row r="294" hidden="1">
      <c r="A294" s="34">
        <v>11.0</v>
      </c>
      <c r="B294" s="34">
        <v>17.0</v>
      </c>
      <c r="C294" s="34">
        <v>25.0</v>
      </c>
      <c r="D294" s="1" t="s">
        <v>92</v>
      </c>
      <c r="E294" s="1" t="s">
        <v>1086</v>
      </c>
      <c r="F294" s="1" t="s">
        <v>1095</v>
      </c>
      <c r="G294" s="1">
        <v>11.0</v>
      </c>
      <c r="H294" s="1">
        <v>30.0</v>
      </c>
      <c r="I294" s="1" t="s">
        <v>92</v>
      </c>
      <c r="J294" s="1" t="s">
        <v>496</v>
      </c>
      <c r="K294" s="1">
        <v>109.0</v>
      </c>
      <c r="L294" s="1" t="s">
        <v>496</v>
      </c>
    </row>
    <row r="295" hidden="1">
      <c r="A295" s="34">
        <v>11.0</v>
      </c>
      <c r="B295" s="34">
        <v>17.0</v>
      </c>
      <c r="C295" s="34">
        <v>26.0</v>
      </c>
      <c r="D295" s="1" t="s">
        <v>92</v>
      </c>
      <c r="E295" s="1" t="s">
        <v>1086</v>
      </c>
      <c r="F295" s="1" t="s">
        <v>1096</v>
      </c>
      <c r="G295" s="1">
        <v>11.0</v>
      </c>
      <c r="H295" s="1">
        <v>22.0</v>
      </c>
      <c r="I295" s="1" t="s">
        <v>92</v>
      </c>
      <c r="J295" s="1" t="s">
        <v>703</v>
      </c>
      <c r="K295" s="1">
        <v>1.0</v>
      </c>
      <c r="L295" s="1" t="s">
        <v>703</v>
      </c>
    </row>
    <row r="296" hidden="1">
      <c r="A296" s="34">
        <v>11.0</v>
      </c>
      <c r="B296" s="34">
        <v>17.0</v>
      </c>
      <c r="C296" s="34">
        <v>27.0</v>
      </c>
      <c r="D296" s="1" t="s">
        <v>92</v>
      </c>
      <c r="E296" s="1" t="s">
        <v>1086</v>
      </c>
      <c r="F296" s="1" t="s">
        <v>1097</v>
      </c>
      <c r="G296" s="1">
        <v>11.0</v>
      </c>
      <c r="H296" s="1">
        <v>25.0</v>
      </c>
      <c r="I296" s="1" t="s">
        <v>92</v>
      </c>
      <c r="J296" s="1" t="s">
        <v>1098</v>
      </c>
      <c r="K296" s="1">
        <v>1.0</v>
      </c>
      <c r="L296" s="1" t="s">
        <v>1099</v>
      </c>
    </row>
    <row r="297" hidden="1">
      <c r="A297" s="34">
        <v>11.0</v>
      </c>
      <c r="B297" s="34">
        <v>17.0</v>
      </c>
      <c r="C297" s="34">
        <v>28.0</v>
      </c>
      <c r="D297" s="1" t="s">
        <v>92</v>
      </c>
      <c r="E297" s="1" t="s">
        <v>1086</v>
      </c>
      <c r="F297" s="1" t="s">
        <v>1100</v>
      </c>
      <c r="G297" s="1">
        <v>11.0</v>
      </c>
      <c r="H297" s="1">
        <v>26.0</v>
      </c>
      <c r="I297" s="1" t="s">
        <v>92</v>
      </c>
      <c r="J297" s="1" t="s">
        <v>1101</v>
      </c>
      <c r="K297" s="1">
        <v>1.0</v>
      </c>
      <c r="L297" s="1" t="s">
        <v>1101</v>
      </c>
    </row>
    <row r="298" hidden="1">
      <c r="A298" s="34">
        <v>11.0</v>
      </c>
      <c r="B298" s="34">
        <v>17.0</v>
      </c>
      <c r="C298" s="34">
        <v>30.0</v>
      </c>
      <c r="D298" s="1" t="s">
        <v>92</v>
      </c>
      <c r="E298" s="1" t="s">
        <v>1086</v>
      </c>
      <c r="F298" s="1" t="s">
        <v>1102</v>
      </c>
      <c r="G298" s="1">
        <v>11.0</v>
      </c>
      <c r="H298" s="1">
        <v>30.0</v>
      </c>
      <c r="I298" s="1" t="s">
        <v>92</v>
      </c>
      <c r="J298" s="1" t="s">
        <v>496</v>
      </c>
      <c r="K298" s="1">
        <v>1.0</v>
      </c>
      <c r="L298" s="1" t="s">
        <v>496</v>
      </c>
    </row>
    <row r="299" hidden="1">
      <c r="A299" s="34">
        <v>11.0</v>
      </c>
      <c r="B299" s="34">
        <v>17.0</v>
      </c>
      <c r="C299" s="34">
        <v>47.0</v>
      </c>
      <c r="D299" s="1" t="s">
        <v>92</v>
      </c>
      <c r="E299" s="1" t="s">
        <v>1086</v>
      </c>
      <c r="F299" s="1" t="s">
        <v>62</v>
      </c>
      <c r="G299" s="1">
        <v>11.0</v>
      </c>
      <c r="H299" s="1">
        <v>20.0</v>
      </c>
      <c r="I299" s="1" t="s">
        <v>92</v>
      </c>
      <c r="J299" s="1" t="s">
        <v>1086</v>
      </c>
      <c r="K299" s="1">
        <v>1.0</v>
      </c>
      <c r="L299" s="1" t="s">
        <v>1091</v>
      </c>
    </row>
    <row r="300" hidden="1">
      <c r="A300" s="34">
        <v>11.0</v>
      </c>
      <c r="B300" s="34">
        <v>17.0</v>
      </c>
      <c r="C300" s="34">
        <v>51.0</v>
      </c>
      <c r="D300" s="1" t="s">
        <v>92</v>
      </c>
      <c r="E300" s="1" t="s">
        <v>1086</v>
      </c>
      <c r="F300" s="1" t="s">
        <v>1103</v>
      </c>
      <c r="G300" s="1">
        <v>11.0</v>
      </c>
      <c r="H300" s="1">
        <v>20.0</v>
      </c>
      <c r="I300" s="1" t="s">
        <v>92</v>
      </c>
      <c r="J300" s="1" t="s">
        <v>1086</v>
      </c>
      <c r="K300" s="1">
        <v>1.0</v>
      </c>
      <c r="L300" s="1" t="s">
        <v>1091</v>
      </c>
    </row>
    <row r="301" hidden="1">
      <c r="A301" s="34">
        <v>11.0</v>
      </c>
      <c r="B301" s="34">
        <v>17.0</v>
      </c>
      <c r="C301" s="34">
        <v>52.0</v>
      </c>
      <c r="D301" s="1" t="s">
        <v>92</v>
      </c>
      <c r="E301" s="1" t="s">
        <v>1086</v>
      </c>
      <c r="F301" s="1" t="s">
        <v>1104</v>
      </c>
      <c r="G301" s="1">
        <v>11.0</v>
      </c>
      <c r="H301" s="1">
        <v>31.0</v>
      </c>
      <c r="I301" s="1" t="s">
        <v>92</v>
      </c>
      <c r="J301" s="1" t="s">
        <v>1105</v>
      </c>
      <c r="K301" s="1">
        <v>1.0</v>
      </c>
      <c r="L301" s="1" t="s">
        <v>1105</v>
      </c>
    </row>
    <row r="302" hidden="1">
      <c r="A302" s="34">
        <v>11.0</v>
      </c>
      <c r="B302" s="34">
        <v>17.0</v>
      </c>
      <c r="C302" s="34">
        <v>53.0</v>
      </c>
      <c r="D302" s="1" t="s">
        <v>92</v>
      </c>
      <c r="E302" s="1" t="s">
        <v>1086</v>
      </c>
      <c r="F302" s="1" t="s">
        <v>1106</v>
      </c>
      <c r="G302" s="1">
        <v>11.0</v>
      </c>
      <c r="H302" s="1">
        <v>20.0</v>
      </c>
      <c r="I302" s="1" t="s">
        <v>92</v>
      </c>
      <c r="J302" s="1" t="s">
        <v>1086</v>
      </c>
      <c r="K302" s="1">
        <v>1.0</v>
      </c>
      <c r="L302" s="1" t="s">
        <v>1091</v>
      </c>
    </row>
    <row r="303" hidden="1">
      <c r="A303" s="34">
        <v>11.0</v>
      </c>
      <c r="B303" s="34">
        <v>17.0</v>
      </c>
      <c r="C303" s="34">
        <v>56.0</v>
      </c>
      <c r="D303" s="1" t="s">
        <v>92</v>
      </c>
      <c r="E303" s="1" t="s">
        <v>1086</v>
      </c>
      <c r="F303" s="1" t="s">
        <v>1107</v>
      </c>
      <c r="G303" s="1">
        <v>11.0</v>
      </c>
      <c r="H303" s="1">
        <v>20.0</v>
      </c>
      <c r="I303" s="1" t="s">
        <v>92</v>
      </c>
      <c r="J303" s="1" t="s">
        <v>1086</v>
      </c>
      <c r="K303" s="1">
        <v>1.0</v>
      </c>
      <c r="L303" s="1" t="s">
        <v>1091</v>
      </c>
    </row>
    <row r="304" hidden="1">
      <c r="A304" s="34">
        <v>11.0</v>
      </c>
      <c r="B304" s="34">
        <v>17.0</v>
      </c>
      <c r="C304" s="34">
        <v>60.0</v>
      </c>
      <c r="D304" s="1" t="s">
        <v>92</v>
      </c>
      <c r="E304" s="1" t="s">
        <v>1086</v>
      </c>
      <c r="F304" s="1" t="s">
        <v>1108</v>
      </c>
      <c r="G304" s="1">
        <v>11.0</v>
      </c>
      <c r="H304" s="1">
        <v>20.0</v>
      </c>
      <c r="I304" s="1" t="s">
        <v>92</v>
      </c>
      <c r="J304" s="1" t="s">
        <v>1086</v>
      </c>
      <c r="K304" s="1">
        <v>1.0</v>
      </c>
      <c r="L304" s="1" t="s">
        <v>1109</v>
      </c>
    </row>
    <row r="305" hidden="1">
      <c r="A305" s="34">
        <v>12.0</v>
      </c>
      <c r="B305" s="34">
        <v>1.0</v>
      </c>
      <c r="C305" s="34">
        <v>3.0</v>
      </c>
      <c r="D305" s="1" t="s">
        <v>94</v>
      </c>
      <c r="E305" s="1" t="s">
        <v>1110</v>
      </c>
      <c r="F305" s="1" t="s">
        <v>1111</v>
      </c>
      <c r="G305" s="1">
        <v>12.0</v>
      </c>
      <c r="H305" s="1">
        <v>29.0</v>
      </c>
      <c r="I305" s="1" t="s">
        <v>94</v>
      </c>
      <c r="J305" s="1" t="s">
        <v>1112</v>
      </c>
      <c r="K305" s="1">
        <v>1.0</v>
      </c>
      <c r="L305" s="1" t="s">
        <v>1113</v>
      </c>
    </row>
    <row r="306" hidden="1">
      <c r="A306" s="34">
        <v>12.0</v>
      </c>
      <c r="B306" s="34">
        <v>1.0</v>
      </c>
      <c r="C306" s="34">
        <v>7.0</v>
      </c>
      <c r="D306" s="1" t="s">
        <v>94</v>
      </c>
      <c r="E306" s="1" t="s">
        <v>1110</v>
      </c>
      <c r="F306" s="1" t="s">
        <v>1114</v>
      </c>
      <c r="G306" s="1">
        <v>12.0</v>
      </c>
      <c r="H306" s="1">
        <v>39.0</v>
      </c>
      <c r="I306" s="1" t="s">
        <v>94</v>
      </c>
      <c r="J306" s="1" t="s">
        <v>1115</v>
      </c>
      <c r="K306" s="1">
        <v>1.0</v>
      </c>
      <c r="L306" s="1" t="s">
        <v>1116</v>
      </c>
    </row>
    <row r="307" hidden="1">
      <c r="A307" s="34">
        <v>12.0</v>
      </c>
      <c r="B307" s="34">
        <v>1.0</v>
      </c>
      <c r="C307" s="34">
        <v>23.0</v>
      </c>
      <c r="D307" s="1" t="s">
        <v>94</v>
      </c>
      <c r="E307" s="1" t="s">
        <v>1110</v>
      </c>
      <c r="F307" s="1" t="s">
        <v>1117</v>
      </c>
      <c r="G307" s="1">
        <v>12.0</v>
      </c>
      <c r="H307" s="1">
        <v>28.0</v>
      </c>
      <c r="I307" s="1" t="s">
        <v>94</v>
      </c>
      <c r="J307" s="1" t="s">
        <v>1118</v>
      </c>
      <c r="K307" s="1">
        <v>1.0</v>
      </c>
      <c r="L307" s="1" t="s">
        <v>1118</v>
      </c>
    </row>
    <row r="308" hidden="1">
      <c r="A308" s="34">
        <v>12.0</v>
      </c>
      <c r="B308" s="34">
        <v>1.0</v>
      </c>
      <c r="C308" s="34">
        <v>30.0</v>
      </c>
      <c r="D308" s="1" t="s">
        <v>94</v>
      </c>
      <c r="E308" s="1" t="s">
        <v>1110</v>
      </c>
      <c r="F308" s="1" t="s">
        <v>1119</v>
      </c>
      <c r="G308" s="1">
        <v>12.0</v>
      </c>
      <c r="H308" s="1">
        <v>66.0</v>
      </c>
      <c r="I308" s="1" t="s">
        <v>94</v>
      </c>
      <c r="J308" s="1" t="s">
        <v>1120</v>
      </c>
      <c r="K308" s="1">
        <v>1.0</v>
      </c>
      <c r="L308" s="1" t="s">
        <v>1120</v>
      </c>
    </row>
    <row r="309" hidden="1">
      <c r="A309" s="34">
        <v>12.0</v>
      </c>
      <c r="B309" s="34">
        <v>1.0</v>
      </c>
      <c r="C309" s="34">
        <v>31.0</v>
      </c>
      <c r="D309" s="1" t="s">
        <v>94</v>
      </c>
      <c r="E309" s="1" t="s">
        <v>1110</v>
      </c>
      <c r="F309" s="1" t="s">
        <v>1121</v>
      </c>
      <c r="G309" s="1">
        <v>12.0</v>
      </c>
      <c r="H309" s="1">
        <v>75.0</v>
      </c>
      <c r="I309" s="1" t="s">
        <v>94</v>
      </c>
      <c r="J309" s="1" t="s">
        <v>1122</v>
      </c>
      <c r="K309" s="1">
        <v>13.0</v>
      </c>
      <c r="L309" s="1" t="s">
        <v>1123</v>
      </c>
    </row>
    <row r="310" hidden="1">
      <c r="A310" s="34">
        <v>12.0</v>
      </c>
      <c r="B310" s="34">
        <v>2.0</v>
      </c>
      <c r="C310" s="34">
        <v>2.0</v>
      </c>
      <c r="D310" s="1" t="s">
        <v>94</v>
      </c>
      <c r="E310" s="1" t="s">
        <v>1124</v>
      </c>
      <c r="F310" s="1" t="s">
        <v>1125</v>
      </c>
      <c r="G310" s="1">
        <v>12.0</v>
      </c>
      <c r="H310" s="1">
        <v>1.0</v>
      </c>
      <c r="I310" s="1" t="s">
        <v>94</v>
      </c>
      <c r="J310" s="1" t="s">
        <v>1126</v>
      </c>
      <c r="K310" s="1">
        <v>1.0</v>
      </c>
      <c r="L310" s="1" t="s">
        <v>1126</v>
      </c>
    </row>
    <row r="311" hidden="1">
      <c r="A311" s="34">
        <v>12.0</v>
      </c>
      <c r="B311" s="34">
        <v>2.0</v>
      </c>
      <c r="C311" s="34">
        <v>9.0</v>
      </c>
      <c r="D311" s="1" t="s">
        <v>94</v>
      </c>
      <c r="E311" s="1" t="s">
        <v>1124</v>
      </c>
      <c r="F311" s="1" t="s">
        <v>1127</v>
      </c>
      <c r="G311" s="1">
        <v>12.0</v>
      </c>
      <c r="H311" s="1">
        <v>1.0</v>
      </c>
      <c r="I311" s="1" t="s">
        <v>94</v>
      </c>
      <c r="J311" s="1" t="s">
        <v>1126</v>
      </c>
      <c r="K311" s="1">
        <v>1.0</v>
      </c>
      <c r="L311" s="1" t="s">
        <v>1126</v>
      </c>
    </row>
    <row r="312" hidden="1">
      <c r="A312" s="34">
        <v>12.0</v>
      </c>
      <c r="B312" s="34">
        <v>2.0</v>
      </c>
      <c r="C312" s="34">
        <v>11.0</v>
      </c>
      <c r="D312" s="1" t="s">
        <v>94</v>
      </c>
      <c r="E312" s="1" t="s">
        <v>1124</v>
      </c>
      <c r="F312" s="1" t="s">
        <v>1128</v>
      </c>
      <c r="G312" s="1">
        <v>12.0</v>
      </c>
      <c r="H312" s="1">
        <v>11.0</v>
      </c>
      <c r="I312" s="1" t="s">
        <v>94</v>
      </c>
      <c r="J312" s="1" t="s">
        <v>1129</v>
      </c>
      <c r="K312" s="1">
        <v>1.0</v>
      </c>
      <c r="L312" s="1" t="s">
        <v>1129</v>
      </c>
    </row>
    <row r="313" hidden="1">
      <c r="A313" s="34">
        <v>12.0</v>
      </c>
      <c r="B313" s="34">
        <v>2.0</v>
      </c>
      <c r="C313" s="34">
        <v>12.0</v>
      </c>
      <c r="D313" s="1" t="s">
        <v>94</v>
      </c>
      <c r="E313" s="1" t="s">
        <v>1124</v>
      </c>
      <c r="F313" s="1" t="s">
        <v>1130</v>
      </c>
      <c r="G313" s="1">
        <v>12.0</v>
      </c>
      <c r="H313" s="1">
        <v>53.0</v>
      </c>
      <c r="I313" s="1" t="s">
        <v>94</v>
      </c>
      <c r="J313" s="1" t="s">
        <v>1131</v>
      </c>
      <c r="K313" s="1">
        <v>1.0</v>
      </c>
      <c r="L313" s="1" t="s">
        <v>1131</v>
      </c>
    </row>
    <row r="314" hidden="1">
      <c r="A314" s="34">
        <v>12.0</v>
      </c>
      <c r="B314" s="34">
        <v>2.0</v>
      </c>
      <c r="C314" s="34">
        <v>14.0</v>
      </c>
      <c r="D314" s="1" t="s">
        <v>94</v>
      </c>
      <c r="E314" s="1" t="s">
        <v>1124</v>
      </c>
      <c r="F314" s="1" t="s">
        <v>1132</v>
      </c>
      <c r="G314" s="1">
        <v>12.0</v>
      </c>
      <c r="H314" s="1">
        <v>57.0</v>
      </c>
      <c r="I314" s="1" t="s">
        <v>94</v>
      </c>
      <c r="J314" s="1" t="s">
        <v>1133</v>
      </c>
      <c r="K314" s="1">
        <v>1.0</v>
      </c>
      <c r="L314" s="1" t="s">
        <v>1133</v>
      </c>
    </row>
    <row r="315" hidden="1">
      <c r="A315" s="34">
        <v>12.0</v>
      </c>
      <c r="B315" s="34">
        <v>2.0</v>
      </c>
      <c r="C315" s="34">
        <v>16.0</v>
      </c>
      <c r="D315" s="1" t="s">
        <v>94</v>
      </c>
      <c r="E315" s="1" t="s">
        <v>1124</v>
      </c>
      <c r="F315" s="1" t="s">
        <v>1134</v>
      </c>
      <c r="G315" s="1">
        <v>12.0</v>
      </c>
      <c r="H315" s="1">
        <v>21.0</v>
      </c>
      <c r="I315" s="1" t="s">
        <v>94</v>
      </c>
      <c r="J315" s="1" t="s">
        <v>1135</v>
      </c>
      <c r="K315" s="1">
        <v>1.0</v>
      </c>
      <c r="L315" s="1" t="s">
        <v>1135</v>
      </c>
    </row>
    <row r="316" hidden="1">
      <c r="A316" s="34">
        <v>12.0</v>
      </c>
      <c r="B316" s="34">
        <v>2.0</v>
      </c>
      <c r="C316" s="34">
        <v>25.0</v>
      </c>
      <c r="D316" s="1" t="s">
        <v>94</v>
      </c>
      <c r="E316" s="1" t="s">
        <v>1124</v>
      </c>
      <c r="F316" s="1" t="s">
        <v>1136</v>
      </c>
      <c r="G316" s="1">
        <v>12.0</v>
      </c>
      <c r="H316" s="1">
        <v>46.0</v>
      </c>
      <c r="I316" s="1" t="s">
        <v>94</v>
      </c>
      <c r="J316" s="1" t="s">
        <v>1137</v>
      </c>
      <c r="K316" s="1">
        <v>1.0</v>
      </c>
      <c r="L316" s="1" t="s">
        <v>1137</v>
      </c>
    </row>
    <row r="317" hidden="1">
      <c r="A317" s="34">
        <v>12.0</v>
      </c>
      <c r="B317" s="34">
        <v>2.0</v>
      </c>
      <c r="C317" s="34">
        <v>26.0</v>
      </c>
      <c r="D317" s="1" t="s">
        <v>94</v>
      </c>
      <c r="E317" s="1" t="s">
        <v>1124</v>
      </c>
      <c r="F317" s="1" t="s">
        <v>1138</v>
      </c>
      <c r="G317" s="1">
        <v>12.0</v>
      </c>
      <c r="H317" s="1">
        <v>1.0</v>
      </c>
      <c r="I317" s="1" t="s">
        <v>94</v>
      </c>
      <c r="J317" s="1" t="s">
        <v>1126</v>
      </c>
      <c r="K317" s="1">
        <v>1.0</v>
      </c>
      <c r="L317" s="1" t="s">
        <v>1126</v>
      </c>
    </row>
    <row r="318" hidden="1">
      <c r="A318" s="34">
        <v>12.0</v>
      </c>
      <c r="B318" s="34">
        <v>2.0</v>
      </c>
      <c r="C318" s="34">
        <v>28.0</v>
      </c>
      <c r="D318" s="1" t="s">
        <v>94</v>
      </c>
      <c r="E318" s="1" t="s">
        <v>1124</v>
      </c>
      <c r="F318" s="1" t="s">
        <v>1139</v>
      </c>
      <c r="G318" s="1">
        <v>12.0</v>
      </c>
      <c r="H318" s="1">
        <v>1.0</v>
      </c>
      <c r="I318" s="1" t="s">
        <v>94</v>
      </c>
      <c r="J318" s="1" t="s">
        <v>1126</v>
      </c>
      <c r="K318" s="1">
        <v>1.0</v>
      </c>
      <c r="L318" s="1" t="s">
        <v>1126</v>
      </c>
    </row>
    <row r="319" hidden="1">
      <c r="A319" s="34">
        <v>12.0</v>
      </c>
      <c r="B319" s="34">
        <v>2.0</v>
      </c>
      <c r="C319" s="34">
        <v>29.0</v>
      </c>
      <c r="D319" s="1" t="s">
        <v>94</v>
      </c>
      <c r="E319" s="1" t="s">
        <v>1124</v>
      </c>
      <c r="F319" s="1" t="s">
        <v>1140</v>
      </c>
      <c r="G319" s="1">
        <v>12.0</v>
      </c>
      <c r="H319" s="1">
        <v>1.0</v>
      </c>
      <c r="I319" s="1" t="s">
        <v>94</v>
      </c>
      <c r="J319" s="1" t="s">
        <v>1126</v>
      </c>
      <c r="K319" s="1">
        <v>1.0</v>
      </c>
      <c r="L319" s="1" t="s">
        <v>1126</v>
      </c>
    </row>
    <row r="320" hidden="1">
      <c r="A320" s="34">
        <v>12.0</v>
      </c>
      <c r="B320" s="34">
        <v>3.0</v>
      </c>
      <c r="C320" s="34">
        <v>4.0</v>
      </c>
      <c r="D320" s="1" t="s">
        <v>94</v>
      </c>
      <c r="E320" s="1" t="s">
        <v>1141</v>
      </c>
      <c r="F320" s="1" t="s">
        <v>1142</v>
      </c>
      <c r="G320" s="1">
        <v>12.0</v>
      </c>
      <c r="H320" s="1">
        <v>35.0</v>
      </c>
      <c r="I320" s="1" t="s">
        <v>94</v>
      </c>
      <c r="J320" s="1" t="s">
        <v>1143</v>
      </c>
      <c r="K320" s="1">
        <v>1.0</v>
      </c>
      <c r="L320" s="1" t="s">
        <v>1144</v>
      </c>
    </row>
    <row r="321" hidden="1">
      <c r="A321" s="34">
        <v>12.0</v>
      </c>
      <c r="B321" s="34">
        <v>3.0</v>
      </c>
      <c r="C321" s="34">
        <v>5.0</v>
      </c>
      <c r="D321" s="1" t="s">
        <v>94</v>
      </c>
      <c r="E321" s="1" t="s">
        <v>1141</v>
      </c>
      <c r="F321" s="1" t="s">
        <v>1145</v>
      </c>
      <c r="G321" s="1">
        <v>12.0</v>
      </c>
      <c r="H321" s="1">
        <v>55.0</v>
      </c>
      <c r="I321" s="1" t="s">
        <v>94</v>
      </c>
      <c r="J321" s="1" t="s">
        <v>1146</v>
      </c>
      <c r="K321" s="1">
        <v>1.0</v>
      </c>
      <c r="L321" s="1" t="s">
        <v>1146</v>
      </c>
    </row>
    <row r="322" hidden="1">
      <c r="A322" s="34">
        <v>12.0</v>
      </c>
      <c r="B322" s="34">
        <v>3.0</v>
      </c>
      <c r="C322" s="34">
        <v>19.0</v>
      </c>
      <c r="D322" s="1" t="s">
        <v>94</v>
      </c>
      <c r="E322" s="1" t="s">
        <v>1141</v>
      </c>
      <c r="F322" s="1" t="s">
        <v>1147</v>
      </c>
      <c r="G322" s="1">
        <v>12.0</v>
      </c>
      <c r="H322" s="1">
        <v>50.0</v>
      </c>
      <c r="I322" s="1" t="s">
        <v>94</v>
      </c>
      <c r="J322" s="1" t="s">
        <v>1148</v>
      </c>
      <c r="K322" s="1">
        <v>1.0</v>
      </c>
      <c r="L322" s="1" t="s">
        <v>1149</v>
      </c>
    </row>
    <row r="323" hidden="1">
      <c r="A323" s="34">
        <v>12.0</v>
      </c>
      <c r="B323" s="34">
        <v>3.0</v>
      </c>
      <c r="C323" s="34">
        <v>20.0</v>
      </c>
      <c r="D323" s="1" t="s">
        <v>94</v>
      </c>
      <c r="E323" s="1" t="s">
        <v>1141</v>
      </c>
      <c r="F323" s="1" t="s">
        <v>1150</v>
      </c>
      <c r="G323" s="1">
        <v>12.0</v>
      </c>
      <c r="H323" s="1">
        <v>22.0</v>
      </c>
      <c r="I323" s="1" t="s">
        <v>94</v>
      </c>
      <c r="J323" s="1" t="s">
        <v>1151</v>
      </c>
      <c r="K323" s="1">
        <v>1.0</v>
      </c>
      <c r="L323" s="1" t="s">
        <v>1152</v>
      </c>
    </row>
    <row r="324" hidden="1">
      <c r="A324" s="34">
        <v>12.0</v>
      </c>
      <c r="B324" s="34">
        <v>3.0</v>
      </c>
      <c r="C324" s="34">
        <v>21.0</v>
      </c>
      <c r="D324" s="1" t="s">
        <v>94</v>
      </c>
      <c r="E324" s="1" t="s">
        <v>1141</v>
      </c>
      <c r="F324" s="1" t="s">
        <v>1153</v>
      </c>
      <c r="G324" s="1">
        <v>12.0</v>
      </c>
      <c r="H324" s="1">
        <v>27.0</v>
      </c>
      <c r="I324" s="1" t="s">
        <v>94</v>
      </c>
      <c r="J324" s="1" t="s">
        <v>1154</v>
      </c>
      <c r="K324" s="1">
        <v>1.0</v>
      </c>
      <c r="L324" s="1" t="s">
        <v>1154</v>
      </c>
    </row>
    <row r="325" hidden="1">
      <c r="A325" s="34">
        <v>12.0</v>
      </c>
      <c r="B325" s="34">
        <v>3.0</v>
      </c>
      <c r="C325" s="34">
        <v>22.0</v>
      </c>
      <c r="D325" s="1" t="s">
        <v>94</v>
      </c>
      <c r="E325" s="1" t="s">
        <v>1141</v>
      </c>
      <c r="F325" s="1" t="s">
        <v>1155</v>
      </c>
      <c r="G325" s="1">
        <v>12.0</v>
      </c>
      <c r="H325" s="1">
        <v>58.0</v>
      </c>
      <c r="I325" s="1" t="s">
        <v>94</v>
      </c>
      <c r="J325" s="1" t="s">
        <v>1156</v>
      </c>
      <c r="K325" s="1">
        <v>1.0</v>
      </c>
      <c r="L325" s="1" t="s">
        <v>1156</v>
      </c>
    </row>
    <row r="326" hidden="1">
      <c r="A326" s="34">
        <v>12.0</v>
      </c>
      <c r="B326" s="34">
        <v>13.0</v>
      </c>
      <c r="C326" s="34">
        <v>8.0</v>
      </c>
      <c r="D326" s="1" t="s">
        <v>94</v>
      </c>
      <c r="E326" s="1" t="s">
        <v>1157</v>
      </c>
      <c r="F326" s="1" t="s">
        <v>1158</v>
      </c>
      <c r="G326" s="1">
        <v>12.0</v>
      </c>
      <c r="H326" s="1">
        <v>38.0</v>
      </c>
      <c r="I326" s="1" t="s">
        <v>94</v>
      </c>
      <c r="J326" s="1" t="s">
        <v>1159</v>
      </c>
      <c r="K326" s="1">
        <v>1.0</v>
      </c>
      <c r="L326" s="1" t="s">
        <v>1157</v>
      </c>
    </row>
    <row r="327" hidden="1">
      <c r="A327" s="34">
        <v>12.0</v>
      </c>
      <c r="B327" s="34">
        <v>13.0</v>
      </c>
      <c r="C327" s="34">
        <v>15.0</v>
      </c>
      <c r="D327" s="1" t="s">
        <v>94</v>
      </c>
      <c r="E327" s="1" t="s">
        <v>1157</v>
      </c>
      <c r="F327" s="1" t="s">
        <v>1160</v>
      </c>
      <c r="G327" s="1">
        <v>12.0</v>
      </c>
      <c r="H327" s="1">
        <v>48.0</v>
      </c>
      <c r="I327" s="1" t="s">
        <v>94</v>
      </c>
      <c r="J327" s="1" t="s">
        <v>1161</v>
      </c>
      <c r="K327" s="1">
        <v>1.0</v>
      </c>
      <c r="L327" s="1" t="s">
        <v>1161</v>
      </c>
    </row>
    <row r="328" hidden="1">
      <c r="A328" s="34">
        <v>12.0</v>
      </c>
      <c r="B328" s="34">
        <v>13.0</v>
      </c>
      <c r="C328" s="34">
        <v>17.0</v>
      </c>
      <c r="D328" s="1" t="s">
        <v>94</v>
      </c>
      <c r="E328" s="1" t="s">
        <v>1157</v>
      </c>
      <c r="F328" s="1" t="s">
        <v>1162</v>
      </c>
      <c r="G328" s="1">
        <v>12.0</v>
      </c>
      <c r="H328" s="1">
        <v>68.0</v>
      </c>
      <c r="I328" s="1" t="s">
        <v>94</v>
      </c>
      <c r="J328" s="1" t="s">
        <v>1163</v>
      </c>
      <c r="K328" s="1">
        <v>1.0</v>
      </c>
      <c r="L328" s="1" t="s">
        <v>1164</v>
      </c>
    </row>
    <row r="329" hidden="1">
      <c r="A329" s="34">
        <v>12.0</v>
      </c>
      <c r="B329" s="34">
        <v>13.0</v>
      </c>
      <c r="C329" s="34">
        <v>27.0</v>
      </c>
      <c r="D329" s="1" t="s">
        <v>94</v>
      </c>
      <c r="E329" s="1" t="s">
        <v>1157</v>
      </c>
      <c r="F329" s="1" t="s">
        <v>1165</v>
      </c>
      <c r="G329" s="1">
        <v>12.0</v>
      </c>
      <c r="H329" s="1">
        <v>68.0</v>
      </c>
      <c r="I329" s="1" t="s">
        <v>94</v>
      </c>
      <c r="J329" s="1" t="s">
        <v>1163</v>
      </c>
      <c r="K329" s="1">
        <v>1.0</v>
      </c>
      <c r="L329" s="1" t="s">
        <v>1166</v>
      </c>
    </row>
    <row r="330" hidden="1">
      <c r="A330" s="34">
        <v>13.0</v>
      </c>
      <c r="B330" s="34">
        <v>1.0</v>
      </c>
      <c r="C330" s="34">
        <v>1.0</v>
      </c>
      <c r="D330" s="1" t="s">
        <v>96</v>
      </c>
      <c r="E330" s="1" t="s">
        <v>1167</v>
      </c>
      <c r="F330" s="1" t="s">
        <v>1168</v>
      </c>
      <c r="G330" s="1">
        <v>13.0</v>
      </c>
      <c r="H330" s="1">
        <v>48.0</v>
      </c>
      <c r="I330" s="1" t="s">
        <v>96</v>
      </c>
      <c r="J330" s="1" t="s">
        <v>1169</v>
      </c>
      <c r="K330" s="1">
        <v>1.0</v>
      </c>
      <c r="L330" s="1" t="s">
        <v>1169</v>
      </c>
    </row>
    <row r="331" hidden="1">
      <c r="A331" s="34">
        <v>13.0</v>
      </c>
      <c r="B331" s="34">
        <v>1.0</v>
      </c>
      <c r="C331" s="34">
        <v>16.0</v>
      </c>
      <c r="D331" s="1" t="s">
        <v>96</v>
      </c>
      <c r="E331" s="1" t="s">
        <v>1167</v>
      </c>
      <c r="F331" s="1" t="s">
        <v>1170</v>
      </c>
      <c r="G331" s="1">
        <v>13.0</v>
      </c>
      <c r="H331" s="1">
        <v>3.0</v>
      </c>
      <c r="I331" s="1" t="s">
        <v>96</v>
      </c>
      <c r="J331" s="1" t="s">
        <v>1171</v>
      </c>
      <c r="K331" s="1">
        <v>1.0</v>
      </c>
      <c r="L331" s="1" t="s">
        <v>1171</v>
      </c>
    </row>
    <row r="332" hidden="1">
      <c r="A332" s="34">
        <v>13.0</v>
      </c>
      <c r="B332" s="34">
        <v>1.0</v>
      </c>
      <c r="C332" s="34">
        <v>18.0</v>
      </c>
      <c r="D332" s="1" t="s">
        <v>96</v>
      </c>
      <c r="E332" s="1" t="s">
        <v>1167</v>
      </c>
      <c r="F332" s="1" t="s">
        <v>1172</v>
      </c>
      <c r="G332" s="1">
        <v>13.0</v>
      </c>
      <c r="H332" s="1">
        <v>69.0</v>
      </c>
      <c r="I332" s="1" t="s">
        <v>96</v>
      </c>
      <c r="J332" s="1" t="s">
        <v>1173</v>
      </c>
      <c r="K332" s="1">
        <v>1.0</v>
      </c>
      <c r="L332" s="1" t="s">
        <v>1173</v>
      </c>
    </row>
    <row r="333" hidden="1">
      <c r="A333" s="34">
        <v>13.0</v>
      </c>
      <c r="B333" s="34">
        <v>1.0</v>
      </c>
      <c r="C333" s="34">
        <v>25.0</v>
      </c>
      <c r="D333" s="1" t="s">
        <v>96</v>
      </c>
      <c r="E333" s="1" t="s">
        <v>1167</v>
      </c>
      <c r="F333" s="1" t="s">
        <v>1174</v>
      </c>
      <c r="G333" s="1">
        <v>13.0</v>
      </c>
      <c r="H333" s="1">
        <v>39.0</v>
      </c>
      <c r="I333" s="1" t="s">
        <v>96</v>
      </c>
      <c r="J333" s="1" t="s">
        <v>1175</v>
      </c>
      <c r="K333" s="1">
        <v>1.0</v>
      </c>
      <c r="L333" s="1" t="s">
        <v>1175</v>
      </c>
    </row>
    <row r="334" hidden="1">
      <c r="A334" s="34">
        <v>13.0</v>
      </c>
      <c r="B334" s="34">
        <v>1.0</v>
      </c>
      <c r="C334" s="34">
        <v>29.0</v>
      </c>
      <c r="D334" s="1" t="s">
        <v>96</v>
      </c>
      <c r="E334" s="1" t="s">
        <v>1167</v>
      </c>
      <c r="F334" s="1" t="s">
        <v>1176</v>
      </c>
      <c r="G334" s="1">
        <v>13.0</v>
      </c>
      <c r="H334" s="1">
        <v>29.0</v>
      </c>
      <c r="I334" s="1" t="s">
        <v>96</v>
      </c>
      <c r="J334" s="1" t="s">
        <v>1177</v>
      </c>
      <c r="K334" s="1">
        <v>1.0</v>
      </c>
      <c r="L334" s="1" t="s">
        <v>1177</v>
      </c>
    </row>
    <row r="335" hidden="1">
      <c r="A335" s="34">
        <v>13.0</v>
      </c>
      <c r="B335" s="34">
        <v>1.0</v>
      </c>
      <c r="C335" s="34">
        <v>31.0</v>
      </c>
      <c r="D335" s="1" t="s">
        <v>96</v>
      </c>
      <c r="E335" s="1" t="s">
        <v>1167</v>
      </c>
      <c r="F335" s="1" t="s">
        <v>1178</v>
      </c>
      <c r="G335" s="1">
        <v>13.0</v>
      </c>
      <c r="H335" s="1">
        <v>84.0</v>
      </c>
      <c r="I335" s="1" t="s">
        <v>96</v>
      </c>
      <c r="J335" s="1" t="s">
        <v>1179</v>
      </c>
      <c r="K335" s="1">
        <v>1.0</v>
      </c>
      <c r="L335" s="1" t="s">
        <v>1179</v>
      </c>
    </row>
    <row r="336" hidden="1">
      <c r="A336" s="34">
        <v>13.0</v>
      </c>
      <c r="B336" s="34">
        <v>1.0</v>
      </c>
      <c r="C336" s="34">
        <v>32.0</v>
      </c>
      <c r="D336" s="1" t="s">
        <v>96</v>
      </c>
      <c r="E336" s="1" t="s">
        <v>1167</v>
      </c>
      <c r="F336" s="1" t="s">
        <v>1180</v>
      </c>
      <c r="G336" s="1">
        <v>13.0</v>
      </c>
      <c r="H336" s="1">
        <v>48.0</v>
      </c>
      <c r="I336" s="1" t="s">
        <v>96</v>
      </c>
      <c r="J336" s="1" t="s">
        <v>1169</v>
      </c>
      <c r="K336" s="1">
        <v>1.0</v>
      </c>
      <c r="L336" s="1" t="s">
        <v>1169</v>
      </c>
    </row>
    <row r="337" hidden="1">
      <c r="A337" s="34">
        <v>13.0</v>
      </c>
      <c r="B337" s="34">
        <v>1.0</v>
      </c>
      <c r="C337" s="34">
        <v>35.0</v>
      </c>
      <c r="D337" s="1" t="s">
        <v>96</v>
      </c>
      <c r="E337" s="1" t="s">
        <v>1167</v>
      </c>
      <c r="F337" s="1" t="s">
        <v>1181</v>
      </c>
      <c r="G337" s="1">
        <v>13.0</v>
      </c>
      <c r="H337" s="1">
        <v>48.0</v>
      </c>
      <c r="I337" s="1" t="s">
        <v>96</v>
      </c>
      <c r="J337" s="1" t="s">
        <v>1169</v>
      </c>
      <c r="K337" s="1">
        <v>1.0</v>
      </c>
      <c r="L337" s="1" t="s">
        <v>1169</v>
      </c>
    </row>
    <row r="338" hidden="1">
      <c r="A338" s="34">
        <v>13.0</v>
      </c>
      <c r="B338" s="34">
        <v>5.0</v>
      </c>
      <c r="C338" s="34">
        <v>3.0</v>
      </c>
      <c r="D338" s="1" t="s">
        <v>96</v>
      </c>
      <c r="E338" s="1" t="s">
        <v>1182</v>
      </c>
      <c r="F338" s="1" t="s">
        <v>1183</v>
      </c>
      <c r="G338" s="1">
        <v>13.0</v>
      </c>
      <c r="H338" s="1">
        <v>16.0</v>
      </c>
      <c r="I338" s="1" t="s">
        <v>96</v>
      </c>
      <c r="J338" s="1" t="s">
        <v>1184</v>
      </c>
      <c r="K338" s="1">
        <v>1.0</v>
      </c>
      <c r="L338" s="1" t="s">
        <v>1184</v>
      </c>
    </row>
    <row r="339" hidden="1">
      <c r="A339" s="34">
        <v>13.0</v>
      </c>
      <c r="B339" s="34">
        <v>5.0</v>
      </c>
      <c r="C339" s="34">
        <v>4.0</v>
      </c>
      <c r="D339" s="1" t="s">
        <v>96</v>
      </c>
      <c r="E339" s="1" t="s">
        <v>1182</v>
      </c>
      <c r="F339" s="1" t="s">
        <v>1185</v>
      </c>
      <c r="G339" s="1">
        <v>13.0</v>
      </c>
      <c r="H339" s="1">
        <v>56.0</v>
      </c>
      <c r="I339" s="1" t="s">
        <v>96</v>
      </c>
      <c r="J339" s="1" t="s">
        <v>1186</v>
      </c>
      <c r="K339" s="1">
        <v>1.0</v>
      </c>
      <c r="L339" s="1" t="s">
        <v>1187</v>
      </c>
    </row>
    <row r="340" hidden="1">
      <c r="A340" s="34">
        <v>13.0</v>
      </c>
      <c r="B340" s="34">
        <v>5.0</v>
      </c>
      <c r="C340" s="34">
        <v>34.0</v>
      </c>
      <c r="D340" s="1" t="s">
        <v>96</v>
      </c>
      <c r="E340" s="1" t="s">
        <v>1182</v>
      </c>
      <c r="F340" s="1" t="s">
        <v>1188</v>
      </c>
      <c r="G340" s="1">
        <v>13.0</v>
      </c>
      <c r="H340" s="1">
        <v>77.0</v>
      </c>
      <c r="I340" s="1" t="s">
        <v>96</v>
      </c>
      <c r="J340" s="1" t="s">
        <v>1189</v>
      </c>
      <c r="K340" s="1">
        <v>1.0</v>
      </c>
      <c r="L340" s="1" t="s">
        <v>1182</v>
      </c>
    </row>
    <row r="341" hidden="1">
      <c r="A341" s="34">
        <v>13.0</v>
      </c>
      <c r="B341" s="34">
        <v>7.0</v>
      </c>
      <c r="C341" s="34">
        <v>8.0</v>
      </c>
      <c r="D341" s="1" t="s">
        <v>96</v>
      </c>
      <c r="E341" s="1" t="s">
        <v>1190</v>
      </c>
      <c r="F341" s="1" t="s">
        <v>1191</v>
      </c>
      <c r="G341" s="1">
        <v>13.0</v>
      </c>
      <c r="H341" s="1">
        <v>61.0</v>
      </c>
      <c r="I341" s="1" t="s">
        <v>96</v>
      </c>
      <c r="J341" s="1" t="s">
        <v>1192</v>
      </c>
      <c r="K341" s="1">
        <v>2.0</v>
      </c>
      <c r="L341" s="1" t="s">
        <v>1193</v>
      </c>
    </row>
    <row r="342" hidden="1">
      <c r="A342" s="34">
        <v>13.0</v>
      </c>
      <c r="B342" s="34">
        <v>7.0</v>
      </c>
      <c r="C342" s="34">
        <v>15.0</v>
      </c>
      <c r="D342" s="1" t="s">
        <v>96</v>
      </c>
      <c r="E342" s="1" t="s">
        <v>1190</v>
      </c>
      <c r="F342" s="1" t="s">
        <v>1194</v>
      </c>
      <c r="G342" s="1">
        <v>13.0</v>
      </c>
      <c r="H342" s="1">
        <v>8.0</v>
      </c>
      <c r="I342" s="1" t="s">
        <v>96</v>
      </c>
      <c r="J342" s="1" t="s">
        <v>1195</v>
      </c>
      <c r="K342" s="1">
        <v>1.0</v>
      </c>
      <c r="L342" s="1" t="s">
        <v>1195</v>
      </c>
    </row>
    <row r="343" hidden="1">
      <c r="A343" s="34">
        <v>13.0</v>
      </c>
      <c r="B343" s="34">
        <v>10.0</v>
      </c>
      <c r="C343" s="34">
        <v>5.0</v>
      </c>
      <c r="D343" s="1" t="s">
        <v>96</v>
      </c>
      <c r="E343" s="1" t="s">
        <v>1196</v>
      </c>
      <c r="F343" s="1" t="s">
        <v>1197</v>
      </c>
      <c r="G343" s="1">
        <v>13.0</v>
      </c>
      <c r="H343" s="1">
        <v>76.0</v>
      </c>
      <c r="I343" s="1" t="s">
        <v>96</v>
      </c>
      <c r="J343" s="1" t="s">
        <v>1196</v>
      </c>
      <c r="K343" s="1">
        <v>1.0</v>
      </c>
      <c r="L343" s="1" t="s">
        <v>1196</v>
      </c>
    </row>
    <row r="344" hidden="1">
      <c r="A344" s="34">
        <v>13.0</v>
      </c>
      <c r="B344" s="34">
        <v>10.0</v>
      </c>
      <c r="C344" s="34">
        <v>6.0</v>
      </c>
      <c r="D344" s="1" t="s">
        <v>96</v>
      </c>
      <c r="E344" s="1" t="s">
        <v>1196</v>
      </c>
      <c r="F344" s="1" t="s">
        <v>1198</v>
      </c>
      <c r="G344" s="1">
        <v>13.0</v>
      </c>
      <c r="H344" s="1">
        <v>63.0</v>
      </c>
      <c r="I344" s="1" t="s">
        <v>96</v>
      </c>
      <c r="J344" s="1" t="s">
        <v>1199</v>
      </c>
      <c r="K344" s="1">
        <v>1.0</v>
      </c>
      <c r="L344" s="1" t="s">
        <v>1200</v>
      </c>
    </row>
    <row r="345" hidden="1">
      <c r="A345" s="34">
        <v>13.0</v>
      </c>
      <c r="B345" s="34">
        <v>10.0</v>
      </c>
      <c r="C345" s="34">
        <v>7.0</v>
      </c>
      <c r="D345" s="1" t="s">
        <v>96</v>
      </c>
      <c r="E345" s="1" t="s">
        <v>1196</v>
      </c>
      <c r="F345" s="1" t="s">
        <v>1201</v>
      </c>
      <c r="G345" s="1">
        <v>13.0</v>
      </c>
      <c r="H345" s="1">
        <v>13.0</v>
      </c>
      <c r="I345" s="1" t="s">
        <v>96</v>
      </c>
      <c r="J345" s="1" t="s">
        <v>1202</v>
      </c>
      <c r="K345" s="1">
        <v>1.0</v>
      </c>
      <c r="L345" s="1" t="s">
        <v>1202</v>
      </c>
    </row>
    <row r="346" hidden="1">
      <c r="A346" s="34">
        <v>13.0</v>
      </c>
      <c r="B346" s="34">
        <v>10.0</v>
      </c>
      <c r="C346" s="34">
        <v>9.0</v>
      </c>
      <c r="D346" s="1" t="s">
        <v>96</v>
      </c>
      <c r="E346" s="1" t="s">
        <v>1196</v>
      </c>
      <c r="F346" s="1" t="s">
        <v>1203</v>
      </c>
      <c r="G346" s="1">
        <v>13.0</v>
      </c>
      <c r="H346" s="1">
        <v>76.0</v>
      </c>
      <c r="I346" s="1" t="s">
        <v>96</v>
      </c>
      <c r="J346" s="1" t="s">
        <v>1196</v>
      </c>
      <c r="K346" s="1">
        <v>24.0</v>
      </c>
      <c r="L346" s="1" t="s">
        <v>1204</v>
      </c>
    </row>
    <row r="347" hidden="1">
      <c r="A347" s="34">
        <v>13.0</v>
      </c>
      <c r="B347" s="34">
        <v>10.0</v>
      </c>
      <c r="C347" s="34">
        <v>26.0</v>
      </c>
      <c r="D347" s="1" t="s">
        <v>96</v>
      </c>
      <c r="E347" s="1" t="s">
        <v>1196</v>
      </c>
      <c r="F347" s="1" t="s">
        <v>1205</v>
      </c>
      <c r="G347" s="1">
        <v>13.0</v>
      </c>
      <c r="H347" s="1">
        <v>41.0</v>
      </c>
      <c r="I347" s="1" t="s">
        <v>96</v>
      </c>
      <c r="J347" s="1" t="s">
        <v>1206</v>
      </c>
      <c r="K347" s="1">
        <v>1.0</v>
      </c>
      <c r="L347" s="1" t="s">
        <v>1207</v>
      </c>
    </row>
    <row r="348" hidden="1">
      <c r="A348" s="34">
        <v>13.0</v>
      </c>
      <c r="B348" s="34">
        <v>10.0</v>
      </c>
      <c r="C348" s="34">
        <v>27.0</v>
      </c>
      <c r="D348" s="1" t="s">
        <v>96</v>
      </c>
      <c r="E348" s="1" t="s">
        <v>1196</v>
      </c>
      <c r="F348" s="1" t="s">
        <v>1208</v>
      </c>
      <c r="G348" s="1">
        <v>13.0</v>
      </c>
      <c r="H348" s="1">
        <v>74.0</v>
      </c>
      <c r="I348" s="1" t="s">
        <v>96</v>
      </c>
      <c r="J348" s="1" t="s">
        <v>1209</v>
      </c>
      <c r="K348" s="1">
        <v>1.0</v>
      </c>
      <c r="L348" s="1" t="s">
        <v>1209</v>
      </c>
    </row>
    <row r="349" hidden="1">
      <c r="A349" s="34">
        <v>13.0</v>
      </c>
      <c r="B349" s="34">
        <v>10.0</v>
      </c>
      <c r="C349" s="34">
        <v>37.0</v>
      </c>
      <c r="D349" s="1" t="s">
        <v>96</v>
      </c>
      <c r="E349" s="1" t="s">
        <v>1196</v>
      </c>
      <c r="F349" s="1" t="s">
        <v>1210</v>
      </c>
      <c r="G349" s="1">
        <v>13.0</v>
      </c>
      <c r="H349" s="1">
        <v>74.0</v>
      </c>
      <c r="I349" s="1" t="s">
        <v>96</v>
      </c>
      <c r="J349" s="1" t="s">
        <v>1209</v>
      </c>
      <c r="K349" s="1">
        <v>2.0</v>
      </c>
      <c r="L349" s="1" t="s">
        <v>1211</v>
      </c>
    </row>
    <row r="350" hidden="1">
      <c r="A350" s="34">
        <v>14.0</v>
      </c>
      <c r="B350" s="34">
        <v>12.0</v>
      </c>
      <c r="C350" s="34">
        <v>41.0</v>
      </c>
      <c r="D350" s="1" t="s">
        <v>98</v>
      </c>
      <c r="E350" s="1" t="s">
        <v>1212</v>
      </c>
      <c r="F350" s="1" t="s">
        <v>1213</v>
      </c>
      <c r="G350" s="1">
        <v>14.0</v>
      </c>
      <c r="H350" s="1">
        <v>73.0</v>
      </c>
      <c r="I350" s="1" t="s">
        <v>98</v>
      </c>
      <c r="J350" s="1" t="s">
        <v>1214</v>
      </c>
      <c r="K350" s="1">
        <v>1.0</v>
      </c>
      <c r="L350" s="1" t="s">
        <v>1215</v>
      </c>
    </row>
    <row r="351" hidden="1">
      <c r="A351" s="34">
        <v>14.0</v>
      </c>
      <c r="B351" s="34">
        <v>12.0</v>
      </c>
      <c r="C351" s="34">
        <v>44.0</v>
      </c>
      <c r="D351" s="1" t="s">
        <v>98</v>
      </c>
      <c r="E351" s="1" t="s">
        <v>1212</v>
      </c>
      <c r="F351" s="1" t="s">
        <v>1216</v>
      </c>
      <c r="G351" s="1">
        <v>14.0</v>
      </c>
      <c r="H351" s="1">
        <v>8.0</v>
      </c>
      <c r="I351" s="1" t="s">
        <v>98</v>
      </c>
      <c r="J351" s="1" t="s">
        <v>1217</v>
      </c>
      <c r="K351" s="1">
        <v>1.0</v>
      </c>
      <c r="L351" s="1" t="s">
        <v>1217</v>
      </c>
    </row>
    <row r="352" hidden="1">
      <c r="A352" s="34">
        <v>14.0</v>
      </c>
      <c r="B352" s="34">
        <v>12.0</v>
      </c>
      <c r="C352" s="34">
        <v>47.0</v>
      </c>
      <c r="D352" s="1" t="s">
        <v>98</v>
      </c>
      <c r="E352" s="1" t="s">
        <v>1212</v>
      </c>
      <c r="F352" s="1" t="s">
        <v>1218</v>
      </c>
      <c r="G352" s="1">
        <v>14.0</v>
      </c>
      <c r="H352" s="1">
        <v>124.0</v>
      </c>
      <c r="I352" s="1" t="s">
        <v>98</v>
      </c>
      <c r="J352" s="1" t="s">
        <v>1219</v>
      </c>
      <c r="K352" s="1">
        <v>1.0</v>
      </c>
      <c r="L352" s="1" t="s">
        <v>1219</v>
      </c>
    </row>
    <row r="353" hidden="1">
      <c r="A353" s="34">
        <v>14.0</v>
      </c>
      <c r="B353" s="34">
        <v>12.0</v>
      </c>
      <c r="C353" s="34">
        <v>84.0</v>
      </c>
      <c r="D353" s="1" t="s">
        <v>98</v>
      </c>
      <c r="E353" s="1" t="s">
        <v>1212</v>
      </c>
      <c r="F353" s="1" t="s">
        <v>1220</v>
      </c>
      <c r="G353" s="1">
        <v>14.0</v>
      </c>
      <c r="H353" s="1">
        <v>35.0</v>
      </c>
      <c r="I353" s="1" t="s">
        <v>98</v>
      </c>
      <c r="J353" s="1" t="s">
        <v>1221</v>
      </c>
      <c r="K353" s="1">
        <v>1.0</v>
      </c>
      <c r="L353" s="1" t="s">
        <v>1221</v>
      </c>
    </row>
    <row r="354" hidden="1">
      <c r="A354" s="34">
        <v>14.0</v>
      </c>
      <c r="B354" s="34">
        <v>12.0</v>
      </c>
      <c r="C354" s="34">
        <v>85.0</v>
      </c>
      <c r="D354" s="1" t="s">
        <v>98</v>
      </c>
      <c r="E354" s="1" t="s">
        <v>1212</v>
      </c>
      <c r="F354" s="1" t="s">
        <v>1222</v>
      </c>
      <c r="G354" s="1">
        <v>14.0</v>
      </c>
      <c r="H354" s="1">
        <v>46.0</v>
      </c>
      <c r="I354" s="1" t="s">
        <v>98</v>
      </c>
      <c r="J354" s="1" t="s">
        <v>1223</v>
      </c>
      <c r="K354" s="1">
        <v>1.0</v>
      </c>
      <c r="L354" s="1" t="s">
        <v>1223</v>
      </c>
    </row>
    <row r="355" hidden="1">
      <c r="A355" s="34">
        <v>14.0</v>
      </c>
      <c r="B355" s="34">
        <v>12.0</v>
      </c>
      <c r="C355" s="34">
        <v>86.0</v>
      </c>
      <c r="D355" s="1" t="s">
        <v>98</v>
      </c>
      <c r="E355" s="1" t="s">
        <v>1212</v>
      </c>
      <c r="F355" s="1" t="s">
        <v>1225</v>
      </c>
      <c r="G355" s="1">
        <v>14.0</v>
      </c>
      <c r="H355" s="1">
        <v>78.0</v>
      </c>
      <c r="I355" s="1" t="s">
        <v>98</v>
      </c>
      <c r="J355" s="1" t="s">
        <v>1226</v>
      </c>
      <c r="K355" s="1">
        <v>1.0</v>
      </c>
      <c r="L355" s="1" t="s">
        <v>1227</v>
      </c>
    </row>
    <row r="356" hidden="1">
      <c r="A356" s="34">
        <v>14.0</v>
      </c>
      <c r="B356" s="34">
        <v>12.0</v>
      </c>
      <c r="C356" s="34">
        <v>87.0</v>
      </c>
      <c r="D356" s="1" t="s">
        <v>98</v>
      </c>
      <c r="E356" s="1" t="s">
        <v>1212</v>
      </c>
      <c r="F356" s="1" t="s">
        <v>1233</v>
      </c>
      <c r="G356" s="1">
        <v>14.0</v>
      </c>
      <c r="H356" s="1">
        <v>91.0</v>
      </c>
      <c r="I356" s="1" t="s">
        <v>98</v>
      </c>
      <c r="J356" s="1" t="s">
        <v>1234</v>
      </c>
      <c r="K356" s="1">
        <v>1.0</v>
      </c>
      <c r="L356" s="1" t="s">
        <v>1234</v>
      </c>
    </row>
    <row r="357" hidden="1">
      <c r="A357" s="34">
        <v>14.0</v>
      </c>
      <c r="B357" s="34">
        <v>12.0</v>
      </c>
      <c r="C357" s="34">
        <v>94.0</v>
      </c>
      <c r="D357" s="1" t="s">
        <v>98</v>
      </c>
      <c r="E357" s="1" t="s">
        <v>1212</v>
      </c>
      <c r="F357" s="1" t="s">
        <v>1236</v>
      </c>
      <c r="G357" s="1">
        <v>14.0</v>
      </c>
      <c r="H357" s="1">
        <v>118.0</v>
      </c>
      <c r="I357" s="1" t="s">
        <v>98</v>
      </c>
      <c r="J357" s="1" t="s">
        <v>1237</v>
      </c>
      <c r="K357" s="1">
        <v>1.0</v>
      </c>
      <c r="L357" s="1" t="s">
        <v>1238</v>
      </c>
    </row>
    <row r="358" hidden="1">
      <c r="A358" s="34">
        <v>14.0</v>
      </c>
      <c r="B358" s="34">
        <v>12.0</v>
      </c>
      <c r="C358" s="34">
        <v>128.0</v>
      </c>
      <c r="D358" s="1" t="s">
        <v>98</v>
      </c>
      <c r="E358" s="1" t="s">
        <v>1212</v>
      </c>
      <c r="F358" s="1" t="s">
        <v>1239</v>
      </c>
      <c r="G358" s="1">
        <v>14.0</v>
      </c>
      <c r="H358" s="1">
        <v>1.0</v>
      </c>
      <c r="I358" s="1" t="s">
        <v>98</v>
      </c>
      <c r="J358" s="1" t="s">
        <v>1240</v>
      </c>
      <c r="K358" s="1">
        <v>1.0</v>
      </c>
      <c r="L358" s="1" t="s">
        <v>1240</v>
      </c>
    </row>
    <row r="359" hidden="1">
      <c r="A359" s="34">
        <v>14.0</v>
      </c>
      <c r="B359" s="34">
        <v>12.0</v>
      </c>
      <c r="C359" s="34">
        <v>130.0</v>
      </c>
      <c r="D359" s="1" t="s">
        <v>98</v>
      </c>
      <c r="E359" s="1" t="s">
        <v>1212</v>
      </c>
      <c r="F359" s="1" t="s">
        <v>1241</v>
      </c>
      <c r="G359" s="1">
        <v>14.0</v>
      </c>
      <c r="H359" s="1">
        <v>64.0</v>
      </c>
      <c r="I359" s="1" t="s">
        <v>98</v>
      </c>
      <c r="J359" s="1" t="s">
        <v>1242</v>
      </c>
      <c r="K359" s="1">
        <v>1.0</v>
      </c>
      <c r="L359" s="1" t="s">
        <v>1242</v>
      </c>
    </row>
    <row r="360" hidden="1">
      <c r="A360" s="34">
        <v>14.0</v>
      </c>
      <c r="B360" s="34">
        <v>12.0</v>
      </c>
      <c r="C360" s="34">
        <v>132.0</v>
      </c>
      <c r="D360" s="1" t="s">
        <v>98</v>
      </c>
      <c r="E360" s="1" t="s">
        <v>1212</v>
      </c>
      <c r="F360" s="1" t="s">
        <v>1243</v>
      </c>
      <c r="G360" s="1">
        <v>14.0</v>
      </c>
      <c r="H360" s="1">
        <v>74.0</v>
      </c>
      <c r="I360" s="1" t="s">
        <v>98</v>
      </c>
      <c r="J360" s="1" t="s">
        <v>1244</v>
      </c>
      <c r="K360" s="1">
        <v>1.0</v>
      </c>
      <c r="L360" s="1" t="s">
        <v>1244</v>
      </c>
    </row>
    <row r="361" hidden="1">
      <c r="A361" s="34">
        <v>14.0</v>
      </c>
      <c r="B361" s="34">
        <v>12.0</v>
      </c>
      <c r="C361" s="34">
        <v>133.0</v>
      </c>
      <c r="D361" s="1" t="s">
        <v>98</v>
      </c>
      <c r="E361" s="1" t="s">
        <v>1212</v>
      </c>
      <c r="F361" s="1" t="s">
        <v>1245</v>
      </c>
      <c r="G361" s="1">
        <v>14.0</v>
      </c>
      <c r="H361" s="1">
        <v>109.0</v>
      </c>
      <c r="I361" s="1" t="s">
        <v>98</v>
      </c>
      <c r="J361" s="1" t="s">
        <v>1246</v>
      </c>
      <c r="K361" s="1">
        <v>1.0</v>
      </c>
      <c r="L361" s="1" t="s">
        <v>1246</v>
      </c>
    </row>
    <row r="362" hidden="1">
      <c r="A362" s="34">
        <v>14.0</v>
      </c>
      <c r="B362" s="34">
        <v>12.0</v>
      </c>
      <c r="C362" s="34">
        <v>134.0</v>
      </c>
      <c r="D362" s="1" t="s">
        <v>98</v>
      </c>
      <c r="E362" s="1" t="s">
        <v>1212</v>
      </c>
      <c r="F362" s="1" t="s">
        <v>1247</v>
      </c>
      <c r="G362" s="1">
        <v>14.0</v>
      </c>
      <c r="H362" s="1">
        <v>111.0</v>
      </c>
      <c r="I362" s="1" t="s">
        <v>98</v>
      </c>
      <c r="J362" s="1" t="s">
        <v>1248</v>
      </c>
      <c r="K362" s="1">
        <v>1.0</v>
      </c>
      <c r="L362" s="1" t="s">
        <v>1248</v>
      </c>
    </row>
    <row r="363" hidden="1">
      <c r="A363" s="34">
        <v>14.0</v>
      </c>
      <c r="B363" s="34">
        <v>12.0</v>
      </c>
      <c r="C363" s="34">
        <v>135.0</v>
      </c>
      <c r="D363" s="1" t="s">
        <v>98</v>
      </c>
      <c r="E363" s="1" t="s">
        <v>1212</v>
      </c>
      <c r="F363" s="1" t="s">
        <v>1249</v>
      </c>
      <c r="G363" s="1">
        <v>14.0</v>
      </c>
      <c r="H363" s="1">
        <v>116.0</v>
      </c>
      <c r="I363" s="1" t="s">
        <v>98</v>
      </c>
      <c r="J363" s="1" t="s">
        <v>1250</v>
      </c>
      <c r="K363" s="1">
        <v>1.0</v>
      </c>
      <c r="L363" s="1" t="s">
        <v>1250</v>
      </c>
    </row>
    <row r="364" hidden="1">
      <c r="A364" s="34">
        <v>14.0</v>
      </c>
      <c r="B364" s="34">
        <v>12.0</v>
      </c>
      <c r="C364" s="34">
        <v>136.0</v>
      </c>
      <c r="D364" s="1" t="s">
        <v>98</v>
      </c>
      <c r="E364" s="1" t="s">
        <v>1212</v>
      </c>
      <c r="F364" s="1" t="s">
        <v>1251</v>
      </c>
      <c r="G364" s="1">
        <v>14.0</v>
      </c>
      <c r="H364" s="1">
        <v>117.0</v>
      </c>
      <c r="I364" s="1" t="s">
        <v>98</v>
      </c>
      <c r="J364" s="1" t="s">
        <v>1252</v>
      </c>
      <c r="K364" s="1">
        <v>1.0</v>
      </c>
      <c r="L364" s="1" t="s">
        <v>1252</v>
      </c>
    </row>
    <row r="365" hidden="1">
      <c r="A365" s="34">
        <v>14.0</v>
      </c>
      <c r="B365" s="34">
        <v>12.0</v>
      </c>
      <c r="C365" s="34">
        <v>159.0</v>
      </c>
      <c r="D365" s="1" t="s">
        <v>98</v>
      </c>
      <c r="E365" s="1" t="s">
        <v>1212</v>
      </c>
      <c r="F365" s="1" t="s">
        <v>1253</v>
      </c>
      <c r="G365" s="1">
        <v>14.0</v>
      </c>
      <c r="H365" s="1">
        <v>93.0</v>
      </c>
      <c r="I365" s="1" t="s">
        <v>98</v>
      </c>
      <c r="J365" s="1" t="s">
        <v>1212</v>
      </c>
      <c r="K365" s="1">
        <v>1.0</v>
      </c>
      <c r="L365" s="1" t="s">
        <v>1212</v>
      </c>
    </row>
    <row r="366" hidden="1">
      <c r="A366" s="34">
        <v>14.0</v>
      </c>
      <c r="B366" s="34">
        <v>12.0</v>
      </c>
      <c r="C366" s="34">
        <v>160.0</v>
      </c>
      <c r="D366" s="1" t="s">
        <v>98</v>
      </c>
      <c r="E366" s="1" t="s">
        <v>1212</v>
      </c>
      <c r="F366" s="1" t="s">
        <v>1255</v>
      </c>
      <c r="G366" s="1">
        <v>14.0</v>
      </c>
      <c r="H366" s="1">
        <v>93.0</v>
      </c>
      <c r="I366" s="1" t="s">
        <v>98</v>
      </c>
      <c r="J366" s="1" t="s">
        <v>1212</v>
      </c>
      <c r="K366" s="1">
        <v>1.0</v>
      </c>
      <c r="L366" s="1" t="s">
        <v>1256</v>
      </c>
    </row>
    <row r="367" hidden="1">
      <c r="A367" s="34">
        <v>14.0</v>
      </c>
      <c r="B367" s="34">
        <v>12.0</v>
      </c>
      <c r="C367" s="34">
        <v>166.0</v>
      </c>
      <c r="D367" s="1" t="s">
        <v>98</v>
      </c>
      <c r="E367" s="1" t="s">
        <v>1212</v>
      </c>
      <c r="F367" s="1" t="s">
        <v>1257</v>
      </c>
      <c r="G367" s="1">
        <v>14.0</v>
      </c>
      <c r="H367" s="1">
        <v>8.0</v>
      </c>
      <c r="I367" s="1" t="s">
        <v>98</v>
      </c>
      <c r="J367" s="1" t="s">
        <v>1217</v>
      </c>
      <c r="K367" s="1">
        <v>280.0</v>
      </c>
      <c r="L367" s="1" t="s">
        <v>1258</v>
      </c>
    </row>
    <row r="368" hidden="1">
      <c r="A368" s="34">
        <v>14.0</v>
      </c>
      <c r="B368" s="34">
        <v>12.0</v>
      </c>
      <c r="C368" s="34">
        <v>168.0</v>
      </c>
      <c r="D368" s="1" t="s">
        <v>98</v>
      </c>
      <c r="E368" s="1" t="s">
        <v>1212</v>
      </c>
      <c r="F368" s="1" t="s">
        <v>1259</v>
      </c>
      <c r="G368" s="1">
        <v>14.0</v>
      </c>
      <c r="H368" s="1">
        <v>93.0</v>
      </c>
      <c r="I368" s="1" t="s">
        <v>98</v>
      </c>
      <c r="J368" s="1" t="s">
        <v>1212</v>
      </c>
      <c r="K368" s="1">
        <v>1.0</v>
      </c>
      <c r="L368" s="1" t="s">
        <v>1212</v>
      </c>
    </row>
    <row r="369" hidden="1">
      <c r="A369" s="34">
        <v>14.0</v>
      </c>
      <c r="B369" s="34">
        <v>12.0</v>
      </c>
      <c r="C369" s="34">
        <v>177.0</v>
      </c>
      <c r="D369" s="1" t="s">
        <v>98</v>
      </c>
      <c r="E369" s="1" t="s">
        <v>1212</v>
      </c>
      <c r="F369" s="1" t="s">
        <v>1260</v>
      </c>
      <c r="G369" s="1">
        <v>14.0</v>
      </c>
      <c r="H369" s="1">
        <v>53.0</v>
      </c>
      <c r="I369" s="1" t="s">
        <v>98</v>
      </c>
      <c r="J369" s="1" t="s">
        <v>1261</v>
      </c>
      <c r="K369" s="1">
        <v>1.0</v>
      </c>
      <c r="L369" s="1" t="s">
        <v>1261</v>
      </c>
    </row>
    <row r="370" hidden="1">
      <c r="A370" s="34">
        <v>14.0</v>
      </c>
      <c r="B370" s="34">
        <v>12.0</v>
      </c>
      <c r="C370" s="34">
        <v>183.0</v>
      </c>
      <c r="D370" s="1" t="s">
        <v>98</v>
      </c>
      <c r="E370" s="1" t="s">
        <v>1212</v>
      </c>
      <c r="F370" s="1" t="s">
        <v>1262</v>
      </c>
      <c r="G370" s="1">
        <v>14.0</v>
      </c>
      <c r="H370" s="1">
        <v>125.0</v>
      </c>
      <c r="I370" s="1" t="s">
        <v>98</v>
      </c>
      <c r="J370" s="1" t="s">
        <v>1263</v>
      </c>
      <c r="K370" s="1">
        <v>1.0</v>
      </c>
      <c r="L370" s="1" t="s">
        <v>1263</v>
      </c>
    </row>
    <row r="371" hidden="1">
      <c r="A371" s="34">
        <v>14.0</v>
      </c>
      <c r="B371" s="34">
        <v>12.0</v>
      </c>
      <c r="C371" s="34">
        <v>185.0</v>
      </c>
      <c r="D371" s="1" t="s">
        <v>98</v>
      </c>
      <c r="E371" s="1" t="s">
        <v>1212</v>
      </c>
      <c r="F371" s="1" t="s">
        <v>1264</v>
      </c>
      <c r="G371" s="1">
        <v>14.0</v>
      </c>
      <c r="H371" s="1">
        <v>8.0</v>
      </c>
      <c r="I371" s="1" t="s">
        <v>98</v>
      </c>
      <c r="J371" s="1" t="s">
        <v>1217</v>
      </c>
      <c r="K371" s="1">
        <v>637.0</v>
      </c>
      <c r="L371" s="1" t="s">
        <v>1265</v>
      </c>
    </row>
    <row r="372" hidden="1">
      <c r="A372" s="34">
        <v>14.0</v>
      </c>
      <c r="B372" s="34">
        <v>15.0</v>
      </c>
      <c r="C372" s="34">
        <v>6.0</v>
      </c>
      <c r="D372" s="1" t="s">
        <v>98</v>
      </c>
      <c r="E372" s="1" t="s">
        <v>1266</v>
      </c>
      <c r="F372" s="1" t="s">
        <v>1267</v>
      </c>
      <c r="G372" s="1">
        <v>14.0</v>
      </c>
      <c r="H372" s="1">
        <v>63.0</v>
      </c>
      <c r="I372" s="1" t="s">
        <v>98</v>
      </c>
      <c r="J372" s="1" t="s">
        <v>1266</v>
      </c>
      <c r="K372" s="1">
        <v>1.0</v>
      </c>
      <c r="L372" s="1" t="s">
        <v>1266</v>
      </c>
    </row>
    <row r="373" hidden="1">
      <c r="A373" s="34">
        <v>14.0</v>
      </c>
      <c r="B373" s="34">
        <v>15.0</v>
      </c>
      <c r="C373" s="34">
        <v>22.0</v>
      </c>
      <c r="D373" s="1" t="s">
        <v>98</v>
      </c>
      <c r="E373" s="1" t="s">
        <v>1266</v>
      </c>
      <c r="F373" s="1" t="s">
        <v>1268</v>
      </c>
      <c r="G373" s="1">
        <v>14.0</v>
      </c>
      <c r="H373" s="1">
        <v>13.0</v>
      </c>
      <c r="I373" s="1" t="s">
        <v>98</v>
      </c>
      <c r="J373" s="1" t="s">
        <v>1269</v>
      </c>
      <c r="K373" s="1">
        <v>1.0</v>
      </c>
      <c r="L373" s="1" t="s">
        <v>1270</v>
      </c>
    </row>
    <row r="374" hidden="1">
      <c r="A374" s="34">
        <v>14.0</v>
      </c>
      <c r="B374" s="34">
        <v>15.0</v>
      </c>
      <c r="C374" s="34">
        <v>23.0</v>
      </c>
      <c r="D374" s="1" t="s">
        <v>98</v>
      </c>
      <c r="E374" s="1" t="s">
        <v>1266</v>
      </c>
      <c r="F374" s="1" t="s">
        <v>1271</v>
      </c>
      <c r="G374" s="1">
        <v>14.0</v>
      </c>
      <c r="H374" s="1">
        <v>18.0</v>
      </c>
      <c r="I374" s="1" t="s">
        <v>98</v>
      </c>
      <c r="J374" s="1" t="s">
        <v>1272</v>
      </c>
      <c r="K374" s="1">
        <v>1.0</v>
      </c>
      <c r="L374" s="1" t="s">
        <v>1272</v>
      </c>
    </row>
    <row r="375" hidden="1">
      <c r="A375" s="34">
        <v>14.0</v>
      </c>
      <c r="B375" s="34">
        <v>15.0</v>
      </c>
      <c r="C375" s="34">
        <v>66.0</v>
      </c>
      <c r="D375" s="1" t="s">
        <v>98</v>
      </c>
      <c r="E375" s="1" t="s">
        <v>1266</v>
      </c>
      <c r="F375" s="1" t="s">
        <v>1273</v>
      </c>
      <c r="G375" s="1">
        <v>14.0</v>
      </c>
      <c r="H375" s="1">
        <v>16.0</v>
      </c>
      <c r="I375" s="1" t="s">
        <v>98</v>
      </c>
      <c r="J375" s="1" t="s">
        <v>1274</v>
      </c>
      <c r="K375" s="1">
        <v>1.0</v>
      </c>
      <c r="L375" s="1" t="s">
        <v>1274</v>
      </c>
    </row>
    <row r="376" hidden="1">
      <c r="A376" s="34">
        <v>14.0</v>
      </c>
      <c r="B376" s="34">
        <v>15.0</v>
      </c>
      <c r="C376" s="34">
        <v>67.0</v>
      </c>
      <c r="D376" s="1" t="s">
        <v>98</v>
      </c>
      <c r="E376" s="1" t="s">
        <v>1266</v>
      </c>
      <c r="F376" s="1" t="s">
        <v>1275</v>
      </c>
      <c r="G376" s="1">
        <v>14.0</v>
      </c>
      <c r="H376" s="1">
        <v>105.0</v>
      </c>
      <c r="I376" s="1" t="s">
        <v>98</v>
      </c>
      <c r="J376" s="1" t="s">
        <v>1276</v>
      </c>
      <c r="K376" s="1">
        <v>1.0</v>
      </c>
      <c r="L376" s="1" t="s">
        <v>1277</v>
      </c>
    </row>
    <row r="377" hidden="1">
      <c r="A377" s="34">
        <v>14.0</v>
      </c>
      <c r="B377" s="34">
        <v>15.0</v>
      </c>
      <c r="C377" s="34">
        <v>95.0</v>
      </c>
      <c r="D377" s="1" t="s">
        <v>98</v>
      </c>
      <c r="E377" s="1" t="s">
        <v>1266</v>
      </c>
      <c r="F377" s="1" t="s">
        <v>1278</v>
      </c>
      <c r="G377" s="1">
        <v>14.0</v>
      </c>
      <c r="H377" s="1">
        <v>66.0</v>
      </c>
      <c r="I377" s="1" t="s">
        <v>98</v>
      </c>
      <c r="J377" s="1" t="s">
        <v>1279</v>
      </c>
      <c r="K377" s="1">
        <v>1.0</v>
      </c>
      <c r="L377" s="1" t="s">
        <v>1279</v>
      </c>
    </row>
    <row r="378" hidden="1">
      <c r="A378" s="34">
        <v>14.0</v>
      </c>
      <c r="B378" s="34">
        <v>15.0</v>
      </c>
      <c r="C378" s="34">
        <v>100.0</v>
      </c>
      <c r="D378" s="1" t="s">
        <v>98</v>
      </c>
      <c r="E378" s="1" t="s">
        <v>1266</v>
      </c>
      <c r="F378" s="1" t="s">
        <v>1280</v>
      </c>
      <c r="G378" s="1">
        <v>14.0</v>
      </c>
      <c r="H378" s="1">
        <v>47.0</v>
      </c>
      <c r="I378" s="1" t="s">
        <v>98</v>
      </c>
      <c r="J378" s="1" t="s">
        <v>1281</v>
      </c>
      <c r="K378" s="1">
        <v>1.0</v>
      </c>
      <c r="L378" s="1" t="s">
        <v>1281</v>
      </c>
    </row>
    <row r="379" hidden="1">
      <c r="A379" s="34">
        <v>14.0</v>
      </c>
      <c r="B379" s="34">
        <v>15.0</v>
      </c>
      <c r="C379" s="34">
        <v>165.0</v>
      </c>
      <c r="D379" s="1" t="s">
        <v>98</v>
      </c>
      <c r="E379" s="1" t="s">
        <v>1266</v>
      </c>
      <c r="F379" s="1" t="s">
        <v>1282</v>
      </c>
      <c r="G379" s="1">
        <v>14.0</v>
      </c>
      <c r="H379" s="1">
        <v>33.0</v>
      </c>
      <c r="I379" s="1" t="s">
        <v>98</v>
      </c>
      <c r="J379" s="1" t="s">
        <v>1283</v>
      </c>
      <c r="K379" s="1">
        <v>1.0</v>
      </c>
      <c r="L379" s="1" t="s">
        <v>1283</v>
      </c>
    </row>
    <row r="380" hidden="1">
      <c r="A380" s="34">
        <v>14.0</v>
      </c>
      <c r="B380" s="34">
        <v>15.0</v>
      </c>
      <c r="C380" s="34">
        <v>169.0</v>
      </c>
      <c r="D380" s="1" t="s">
        <v>98</v>
      </c>
      <c r="E380" s="1" t="s">
        <v>1266</v>
      </c>
      <c r="F380" s="1" t="s">
        <v>1284</v>
      </c>
      <c r="G380" s="1">
        <v>14.0</v>
      </c>
      <c r="H380" s="1">
        <v>63.0</v>
      </c>
      <c r="I380" s="1" t="s">
        <v>98</v>
      </c>
      <c r="J380" s="1" t="s">
        <v>1266</v>
      </c>
      <c r="K380" s="1">
        <v>1.0</v>
      </c>
      <c r="L380" s="1" t="s">
        <v>1266</v>
      </c>
    </row>
    <row r="381" hidden="1">
      <c r="A381" s="34">
        <v>14.0</v>
      </c>
      <c r="B381" s="34">
        <v>22.0</v>
      </c>
      <c r="C381" s="34">
        <v>9.0</v>
      </c>
      <c r="D381" s="1" t="s">
        <v>98</v>
      </c>
      <c r="E381" s="1" t="s">
        <v>1285</v>
      </c>
      <c r="F381" s="1" t="s">
        <v>1286</v>
      </c>
      <c r="G381" s="1">
        <v>14.0</v>
      </c>
      <c r="H381" s="1">
        <v>23.0</v>
      </c>
      <c r="I381" s="1" t="s">
        <v>98</v>
      </c>
      <c r="J381" s="1" t="s">
        <v>1287</v>
      </c>
      <c r="K381" s="1">
        <v>1.0</v>
      </c>
      <c r="L381" s="1" t="s">
        <v>1285</v>
      </c>
    </row>
    <row r="382" hidden="1">
      <c r="A382" s="34">
        <v>14.0</v>
      </c>
      <c r="B382" s="34">
        <v>22.0</v>
      </c>
      <c r="C382" s="34">
        <v>13.0</v>
      </c>
      <c r="D382" s="1" t="s">
        <v>98</v>
      </c>
      <c r="E382" s="1" t="s">
        <v>1285</v>
      </c>
      <c r="F382" s="1" t="s">
        <v>1288</v>
      </c>
      <c r="G382" s="1">
        <v>14.0</v>
      </c>
      <c r="H382" s="1">
        <v>65.0</v>
      </c>
      <c r="I382" s="1" t="s">
        <v>98</v>
      </c>
      <c r="J382" s="1" t="s">
        <v>1289</v>
      </c>
      <c r="K382" s="1">
        <v>1.0</v>
      </c>
      <c r="L382" s="1" t="s">
        <v>1289</v>
      </c>
    </row>
    <row r="383" hidden="1">
      <c r="A383" s="34">
        <v>14.0</v>
      </c>
      <c r="B383" s="34">
        <v>22.0</v>
      </c>
      <c r="C383" s="34">
        <v>15.0</v>
      </c>
      <c r="D383" s="1" t="s">
        <v>98</v>
      </c>
      <c r="E383" s="1" t="s">
        <v>1285</v>
      </c>
      <c r="F383" s="1" t="s">
        <v>1290</v>
      </c>
      <c r="G383" s="1">
        <v>14.0</v>
      </c>
      <c r="H383" s="1">
        <v>85.0</v>
      </c>
      <c r="I383" s="1" t="s">
        <v>98</v>
      </c>
      <c r="J383" s="1" t="s">
        <v>1291</v>
      </c>
      <c r="K383" s="1">
        <v>1.0</v>
      </c>
      <c r="L383" s="1" t="s">
        <v>1291</v>
      </c>
    </row>
    <row r="384" hidden="1">
      <c r="A384" s="34">
        <v>14.0</v>
      </c>
      <c r="B384" s="34">
        <v>22.0</v>
      </c>
      <c r="C384" s="34">
        <v>16.0</v>
      </c>
      <c r="D384" s="1" t="s">
        <v>98</v>
      </c>
      <c r="E384" s="1" t="s">
        <v>1285</v>
      </c>
      <c r="F384" s="1" t="s">
        <v>1292</v>
      </c>
      <c r="G384" s="1">
        <v>14.0</v>
      </c>
      <c r="H384" s="1">
        <v>87.0</v>
      </c>
      <c r="I384" s="1" t="s">
        <v>98</v>
      </c>
      <c r="J384" s="1" t="s">
        <v>1293</v>
      </c>
      <c r="K384" s="1">
        <v>1.0</v>
      </c>
      <c r="L384" s="1" t="s">
        <v>1293</v>
      </c>
    </row>
    <row r="385" hidden="1">
      <c r="A385" s="34">
        <v>14.0</v>
      </c>
      <c r="B385" s="34">
        <v>22.0</v>
      </c>
      <c r="C385" s="34">
        <v>17.0</v>
      </c>
      <c r="D385" s="1" t="s">
        <v>98</v>
      </c>
      <c r="E385" s="1" t="s">
        <v>1285</v>
      </c>
      <c r="F385" s="1" t="s">
        <v>1294</v>
      </c>
      <c r="G385" s="1">
        <v>14.0</v>
      </c>
      <c r="H385" s="1">
        <v>108.0</v>
      </c>
      <c r="I385" s="1" t="s">
        <v>98</v>
      </c>
      <c r="J385" s="1" t="s">
        <v>1295</v>
      </c>
      <c r="K385" s="1">
        <v>5.0</v>
      </c>
      <c r="L385" s="1" t="s">
        <v>1296</v>
      </c>
    </row>
    <row r="386" hidden="1">
      <c r="A386" s="34">
        <v>14.0</v>
      </c>
      <c r="B386" s="34">
        <v>22.0</v>
      </c>
      <c r="C386" s="34">
        <v>18.0</v>
      </c>
      <c r="D386" s="1" t="s">
        <v>98</v>
      </c>
      <c r="E386" s="1" t="s">
        <v>1285</v>
      </c>
      <c r="F386" s="1" t="s">
        <v>1297</v>
      </c>
      <c r="G386" s="1">
        <v>14.0</v>
      </c>
      <c r="H386" s="1">
        <v>121.0</v>
      </c>
      <c r="I386" s="1" t="s">
        <v>98</v>
      </c>
      <c r="J386" s="1" t="s">
        <v>1298</v>
      </c>
      <c r="K386" s="1">
        <v>1.0</v>
      </c>
      <c r="L386" s="1" t="s">
        <v>1298</v>
      </c>
    </row>
    <row r="387" hidden="1">
      <c r="A387" s="34">
        <v>14.0</v>
      </c>
      <c r="B387" s="34">
        <v>22.0</v>
      </c>
      <c r="C387" s="34">
        <v>19.0</v>
      </c>
      <c r="D387" s="1" t="s">
        <v>98</v>
      </c>
      <c r="E387" s="1" t="s">
        <v>1285</v>
      </c>
      <c r="F387" s="1" t="s">
        <v>1299</v>
      </c>
      <c r="G387" s="1">
        <v>14.0</v>
      </c>
      <c r="H387" s="1">
        <v>108.0</v>
      </c>
      <c r="I387" s="1" t="s">
        <v>98</v>
      </c>
      <c r="J387" s="1" t="s">
        <v>1295</v>
      </c>
      <c r="K387" s="1">
        <v>1.0</v>
      </c>
      <c r="L387" s="1" t="s">
        <v>1295</v>
      </c>
    </row>
    <row r="388" hidden="1">
      <c r="A388" s="34">
        <v>14.0</v>
      </c>
      <c r="B388" s="34">
        <v>22.0</v>
      </c>
      <c r="C388" s="34">
        <v>20.0</v>
      </c>
      <c r="D388" s="1" t="s">
        <v>98</v>
      </c>
      <c r="E388" s="1" t="s">
        <v>1285</v>
      </c>
      <c r="F388" s="1" t="s">
        <v>1300</v>
      </c>
      <c r="G388" s="1">
        <v>14.0</v>
      </c>
      <c r="H388" s="1">
        <v>15.0</v>
      </c>
      <c r="I388" s="1" t="s">
        <v>98</v>
      </c>
      <c r="J388" s="1" t="s">
        <v>1301</v>
      </c>
      <c r="K388" s="1">
        <v>1.0</v>
      </c>
      <c r="L388" s="1" t="s">
        <v>1301</v>
      </c>
    </row>
    <row r="389" hidden="1">
      <c r="A389" s="34">
        <v>14.0</v>
      </c>
      <c r="B389" s="34">
        <v>22.0</v>
      </c>
      <c r="C389" s="34">
        <v>28.0</v>
      </c>
      <c r="D389" s="1" t="s">
        <v>98</v>
      </c>
      <c r="E389" s="1" t="s">
        <v>1285</v>
      </c>
      <c r="F389" s="1" t="s">
        <v>1302</v>
      </c>
      <c r="G389" s="1">
        <v>14.0</v>
      </c>
      <c r="H389" s="1">
        <v>21.0</v>
      </c>
      <c r="I389" s="1" t="s">
        <v>98</v>
      </c>
      <c r="J389" s="1" t="s">
        <v>1303</v>
      </c>
      <c r="K389" s="1">
        <v>1.0</v>
      </c>
      <c r="L389" s="1" t="s">
        <v>1304</v>
      </c>
    </row>
    <row r="390" hidden="1">
      <c r="A390" s="34">
        <v>14.0</v>
      </c>
      <c r="B390" s="34">
        <v>22.0</v>
      </c>
      <c r="C390" s="34">
        <v>33.0</v>
      </c>
      <c r="D390" s="1" t="s">
        <v>98</v>
      </c>
      <c r="E390" s="1" t="s">
        <v>1285</v>
      </c>
      <c r="F390" s="1" t="s">
        <v>1305</v>
      </c>
      <c r="G390" s="1">
        <v>14.0</v>
      </c>
      <c r="H390" s="1">
        <v>103.0</v>
      </c>
      <c r="I390" s="1" t="s">
        <v>98</v>
      </c>
      <c r="J390" s="1" t="s">
        <v>1306</v>
      </c>
      <c r="K390" s="1">
        <v>15.0</v>
      </c>
      <c r="L390" s="1" t="s">
        <v>1131</v>
      </c>
    </row>
    <row r="391" hidden="1">
      <c r="A391" s="34">
        <v>14.0</v>
      </c>
      <c r="B391" s="34">
        <v>22.0</v>
      </c>
      <c r="C391" s="34">
        <v>35.0</v>
      </c>
      <c r="D391" s="1" t="s">
        <v>98</v>
      </c>
      <c r="E391" s="1" t="s">
        <v>1285</v>
      </c>
      <c r="F391" s="1" t="s">
        <v>1307</v>
      </c>
      <c r="G391" s="1">
        <v>14.0</v>
      </c>
      <c r="H391" s="1">
        <v>85.0</v>
      </c>
      <c r="I391" s="1" t="s">
        <v>98</v>
      </c>
      <c r="J391" s="1" t="s">
        <v>1291</v>
      </c>
      <c r="K391" s="1">
        <v>173.0</v>
      </c>
      <c r="L391" s="1" t="s">
        <v>1308</v>
      </c>
    </row>
    <row r="392" hidden="1">
      <c r="A392" s="34">
        <v>14.0</v>
      </c>
      <c r="B392" s="34">
        <v>22.0</v>
      </c>
      <c r="C392" s="34">
        <v>36.0</v>
      </c>
      <c r="D392" s="1" t="s">
        <v>98</v>
      </c>
      <c r="E392" s="1" t="s">
        <v>1285</v>
      </c>
      <c r="F392" s="1" t="s">
        <v>1309</v>
      </c>
      <c r="G392" s="1">
        <v>14.0</v>
      </c>
      <c r="H392" s="1">
        <v>85.0</v>
      </c>
      <c r="I392" s="1" t="s">
        <v>98</v>
      </c>
      <c r="J392" s="1" t="s">
        <v>1291</v>
      </c>
      <c r="K392" s="1">
        <v>53.0</v>
      </c>
      <c r="L392" s="1" t="s">
        <v>1310</v>
      </c>
    </row>
    <row r="393" hidden="1">
      <c r="A393" s="34">
        <v>14.0</v>
      </c>
      <c r="B393" s="34">
        <v>22.0</v>
      </c>
      <c r="C393" s="34">
        <v>37.0</v>
      </c>
      <c r="D393" s="1" t="s">
        <v>98</v>
      </c>
      <c r="E393" s="1" t="s">
        <v>1285</v>
      </c>
      <c r="F393" s="1" t="s">
        <v>1311</v>
      </c>
      <c r="G393" s="1">
        <v>14.0</v>
      </c>
      <c r="H393" s="1">
        <v>15.0</v>
      </c>
      <c r="I393" s="1" t="s">
        <v>98</v>
      </c>
      <c r="J393" s="1" t="s">
        <v>1301</v>
      </c>
      <c r="K393" s="1">
        <v>1.0</v>
      </c>
      <c r="L393" s="1" t="s">
        <v>1312</v>
      </c>
    </row>
    <row r="394" hidden="1">
      <c r="A394" s="34">
        <v>14.0</v>
      </c>
      <c r="B394" s="34">
        <v>22.0</v>
      </c>
      <c r="C394" s="34">
        <v>61.0</v>
      </c>
      <c r="D394" s="1" t="s">
        <v>98</v>
      </c>
      <c r="E394" s="1" t="s">
        <v>1285</v>
      </c>
      <c r="F394" s="1" t="s">
        <v>1313</v>
      </c>
      <c r="G394" s="1">
        <v>14.0</v>
      </c>
      <c r="H394" s="1">
        <v>59.0</v>
      </c>
      <c r="I394" s="1" t="s">
        <v>98</v>
      </c>
      <c r="J394" s="1" t="s">
        <v>1314</v>
      </c>
      <c r="K394" s="1">
        <v>1.0</v>
      </c>
      <c r="L394" s="1" t="s">
        <v>1314</v>
      </c>
    </row>
    <row r="395" hidden="1">
      <c r="A395" s="34">
        <v>14.0</v>
      </c>
      <c r="B395" s="34">
        <v>22.0</v>
      </c>
      <c r="C395" s="34">
        <v>62.0</v>
      </c>
      <c r="D395" s="1" t="s">
        <v>98</v>
      </c>
      <c r="E395" s="1" t="s">
        <v>1285</v>
      </c>
      <c r="F395" s="1" t="s">
        <v>1315</v>
      </c>
      <c r="G395" s="1">
        <v>14.0</v>
      </c>
      <c r="H395" s="1">
        <v>82.0</v>
      </c>
      <c r="I395" s="1" t="s">
        <v>98</v>
      </c>
      <c r="J395" s="1" t="s">
        <v>1316</v>
      </c>
      <c r="K395" s="1">
        <v>1.0</v>
      </c>
      <c r="L395" s="1" t="s">
        <v>1316</v>
      </c>
    </row>
    <row r="396" hidden="1">
      <c r="A396" s="34">
        <v>14.0</v>
      </c>
      <c r="B396" s="34">
        <v>22.0</v>
      </c>
      <c r="C396" s="34">
        <v>63.0</v>
      </c>
      <c r="D396" s="1" t="s">
        <v>98</v>
      </c>
      <c r="E396" s="1" t="s">
        <v>1285</v>
      </c>
      <c r="F396" s="1" t="s">
        <v>1317</v>
      </c>
      <c r="G396" s="1">
        <v>14.0</v>
      </c>
      <c r="H396" s="1">
        <v>113.0</v>
      </c>
      <c r="I396" s="1" t="s">
        <v>98</v>
      </c>
      <c r="J396" s="1" t="s">
        <v>1318</v>
      </c>
      <c r="K396" s="1">
        <v>1.0</v>
      </c>
      <c r="L396" s="1" t="s">
        <v>1318</v>
      </c>
    </row>
    <row r="397" hidden="1">
      <c r="A397" s="34">
        <v>14.0</v>
      </c>
      <c r="B397" s="34">
        <v>22.0</v>
      </c>
      <c r="C397" s="34">
        <v>64.0</v>
      </c>
      <c r="D397" s="1" t="s">
        <v>98</v>
      </c>
      <c r="E397" s="1" t="s">
        <v>1285</v>
      </c>
      <c r="F397" s="1" t="s">
        <v>1319</v>
      </c>
      <c r="G397" s="1">
        <v>14.0</v>
      </c>
      <c r="H397" s="1">
        <v>86.0</v>
      </c>
      <c r="I397" s="1" t="s">
        <v>98</v>
      </c>
      <c r="J397" s="1" t="s">
        <v>1320</v>
      </c>
      <c r="K397" s="1">
        <v>1.0</v>
      </c>
      <c r="L397" s="1" t="s">
        <v>1320</v>
      </c>
    </row>
    <row r="398" hidden="1">
      <c r="A398" s="34">
        <v>14.0</v>
      </c>
      <c r="B398" s="34">
        <v>22.0</v>
      </c>
      <c r="C398" s="34">
        <v>65.0</v>
      </c>
      <c r="D398" s="1" t="s">
        <v>98</v>
      </c>
      <c r="E398" s="1" t="s">
        <v>1285</v>
      </c>
      <c r="F398" s="1" t="s">
        <v>1321</v>
      </c>
      <c r="G398" s="1">
        <v>14.0</v>
      </c>
      <c r="H398" s="1">
        <v>89.0</v>
      </c>
      <c r="I398" s="1" t="s">
        <v>98</v>
      </c>
      <c r="J398" s="1" t="s">
        <v>1322</v>
      </c>
      <c r="K398" s="1">
        <v>1.0</v>
      </c>
      <c r="L398" s="1" t="s">
        <v>1322</v>
      </c>
    </row>
    <row r="399" hidden="1">
      <c r="A399" s="34">
        <v>14.0</v>
      </c>
      <c r="B399" s="34">
        <v>22.0</v>
      </c>
      <c r="C399" s="34">
        <v>71.0</v>
      </c>
      <c r="D399" s="1" t="s">
        <v>98</v>
      </c>
      <c r="E399" s="1" t="s">
        <v>1285</v>
      </c>
      <c r="F399" s="1" t="s">
        <v>1323</v>
      </c>
      <c r="G399" s="1">
        <v>14.0</v>
      </c>
      <c r="H399" s="1">
        <v>17.0</v>
      </c>
      <c r="I399" s="1" t="s">
        <v>98</v>
      </c>
      <c r="J399" s="1" t="s">
        <v>1324</v>
      </c>
      <c r="K399" s="1">
        <v>1.0</v>
      </c>
      <c r="L399" s="1" t="s">
        <v>1324</v>
      </c>
    </row>
    <row r="400" hidden="1">
      <c r="A400" s="34">
        <v>14.0</v>
      </c>
      <c r="B400" s="34">
        <v>22.0</v>
      </c>
      <c r="C400" s="34">
        <v>76.0</v>
      </c>
      <c r="D400" s="1" t="s">
        <v>98</v>
      </c>
      <c r="E400" s="1" t="s">
        <v>1285</v>
      </c>
      <c r="F400" s="1" t="s">
        <v>1325</v>
      </c>
      <c r="G400" s="1">
        <v>14.0</v>
      </c>
      <c r="H400" s="1">
        <v>92.0</v>
      </c>
      <c r="I400" s="1" t="s">
        <v>98</v>
      </c>
      <c r="J400" s="1" t="s">
        <v>1326</v>
      </c>
      <c r="K400" s="1">
        <v>1.0</v>
      </c>
      <c r="L400" s="1" t="s">
        <v>1326</v>
      </c>
    </row>
    <row r="401" hidden="1">
      <c r="A401" s="34">
        <v>14.0</v>
      </c>
      <c r="B401" s="34">
        <v>22.0</v>
      </c>
      <c r="C401" s="34">
        <v>81.0</v>
      </c>
      <c r="D401" s="1" t="s">
        <v>98</v>
      </c>
      <c r="E401" s="1" t="s">
        <v>1285</v>
      </c>
      <c r="F401" s="1" t="s">
        <v>1327</v>
      </c>
      <c r="G401" s="1">
        <v>14.0</v>
      </c>
      <c r="H401" s="1">
        <v>37.0</v>
      </c>
      <c r="I401" s="1" t="s">
        <v>98</v>
      </c>
      <c r="J401" s="1" t="s">
        <v>1328</v>
      </c>
      <c r="K401" s="1">
        <v>1.0</v>
      </c>
      <c r="L401" s="1" t="s">
        <v>1328</v>
      </c>
    </row>
    <row r="402" hidden="1">
      <c r="A402" s="34">
        <v>14.0</v>
      </c>
      <c r="B402" s="34">
        <v>22.0</v>
      </c>
      <c r="C402" s="34">
        <v>82.0</v>
      </c>
      <c r="D402" s="1" t="s">
        <v>98</v>
      </c>
      <c r="E402" s="1" t="s">
        <v>1285</v>
      </c>
      <c r="F402" s="1" t="s">
        <v>1329</v>
      </c>
      <c r="G402" s="1">
        <v>14.0</v>
      </c>
      <c r="H402" s="1">
        <v>109.0</v>
      </c>
      <c r="I402" s="1" t="s">
        <v>98</v>
      </c>
      <c r="J402" s="1" t="s">
        <v>1246</v>
      </c>
      <c r="K402" s="1">
        <v>1.0</v>
      </c>
      <c r="L402" s="1" t="s">
        <v>1246</v>
      </c>
    </row>
    <row r="403" hidden="1">
      <c r="A403" s="34">
        <v>14.0</v>
      </c>
      <c r="B403" s="34">
        <v>22.0</v>
      </c>
      <c r="C403" s="34">
        <v>83.0</v>
      </c>
      <c r="D403" s="1" t="s">
        <v>98</v>
      </c>
      <c r="E403" s="1" t="s">
        <v>1285</v>
      </c>
      <c r="F403" s="1" t="s">
        <v>1330</v>
      </c>
      <c r="G403" s="1">
        <v>14.0</v>
      </c>
      <c r="H403" s="1">
        <v>43.0</v>
      </c>
      <c r="I403" s="1" t="s">
        <v>98</v>
      </c>
      <c r="J403" s="1" t="s">
        <v>1331</v>
      </c>
      <c r="K403" s="1">
        <v>1.0</v>
      </c>
      <c r="L403" s="1" t="s">
        <v>1331</v>
      </c>
    </row>
    <row r="404" hidden="1">
      <c r="A404" s="34">
        <v>14.0</v>
      </c>
      <c r="B404" s="34">
        <v>22.0</v>
      </c>
      <c r="C404" s="34">
        <v>112.0</v>
      </c>
      <c r="D404" s="1" t="s">
        <v>98</v>
      </c>
      <c r="E404" s="1" t="s">
        <v>1285</v>
      </c>
      <c r="F404" s="1" t="s">
        <v>1332</v>
      </c>
      <c r="G404" s="1">
        <v>14.0</v>
      </c>
      <c r="H404" s="1">
        <v>4.0</v>
      </c>
      <c r="I404" s="1" t="s">
        <v>98</v>
      </c>
      <c r="J404" s="1" t="s">
        <v>1333</v>
      </c>
      <c r="K404" s="1">
        <v>1.0</v>
      </c>
      <c r="L404" s="1" t="s">
        <v>1333</v>
      </c>
    </row>
    <row r="405" hidden="1">
      <c r="A405" s="34">
        <v>14.0</v>
      </c>
      <c r="B405" s="34">
        <v>22.0</v>
      </c>
      <c r="C405" s="34">
        <v>113.0</v>
      </c>
      <c r="D405" s="1" t="s">
        <v>98</v>
      </c>
      <c r="E405" s="1" t="s">
        <v>1285</v>
      </c>
      <c r="F405" s="1" t="s">
        <v>1334</v>
      </c>
      <c r="G405" s="1">
        <v>14.0</v>
      </c>
      <c r="H405" s="1">
        <v>14.0</v>
      </c>
      <c r="I405" s="1" t="s">
        <v>98</v>
      </c>
      <c r="J405" s="1" t="s">
        <v>1335</v>
      </c>
      <c r="K405" s="1">
        <v>1.0</v>
      </c>
      <c r="L405" s="1" t="s">
        <v>1335</v>
      </c>
    </row>
    <row r="406" hidden="1">
      <c r="A406" s="34">
        <v>14.0</v>
      </c>
      <c r="B406" s="34">
        <v>22.0</v>
      </c>
      <c r="C406" s="34">
        <v>114.0</v>
      </c>
      <c r="D406" s="1" t="s">
        <v>98</v>
      </c>
      <c r="E406" s="1" t="s">
        <v>1285</v>
      </c>
      <c r="F406" s="1" t="s">
        <v>1336</v>
      </c>
      <c r="G406" s="1">
        <v>14.0</v>
      </c>
      <c r="H406" s="1">
        <v>79.0</v>
      </c>
      <c r="I406" s="1" t="s">
        <v>98</v>
      </c>
      <c r="J406" s="1" t="s">
        <v>855</v>
      </c>
      <c r="K406" s="1">
        <v>1.0</v>
      </c>
      <c r="L406" s="1" t="s">
        <v>1337</v>
      </c>
    </row>
    <row r="407" hidden="1">
      <c r="A407" s="34">
        <v>14.0</v>
      </c>
      <c r="B407" s="34">
        <v>22.0</v>
      </c>
      <c r="C407" s="34">
        <v>115.0</v>
      </c>
      <c r="D407" s="1" t="s">
        <v>98</v>
      </c>
      <c r="E407" s="1" t="s">
        <v>1285</v>
      </c>
      <c r="F407" s="1" t="s">
        <v>1338</v>
      </c>
      <c r="G407" s="1">
        <v>14.0</v>
      </c>
      <c r="H407" s="1">
        <v>49.0</v>
      </c>
      <c r="I407" s="1" t="s">
        <v>98</v>
      </c>
      <c r="J407" s="1" t="s">
        <v>1339</v>
      </c>
      <c r="K407" s="1">
        <v>1.0</v>
      </c>
      <c r="L407" s="1" t="s">
        <v>1339</v>
      </c>
    </row>
    <row r="408" hidden="1">
      <c r="A408" s="34">
        <v>14.0</v>
      </c>
      <c r="B408" s="34">
        <v>22.0</v>
      </c>
      <c r="C408" s="34">
        <v>118.0</v>
      </c>
      <c r="D408" s="1" t="s">
        <v>98</v>
      </c>
      <c r="E408" s="1" t="s">
        <v>1285</v>
      </c>
      <c r="F408" s="1" t="s">
        <v>1340</v>
      </c>
      <c r="G408" s="1">
        <v>14.0</v>
      </c>
      <c r="H408" s="1">
        <v>99.0</v>
      </c>
      <c r="I408" s="1" t="s">
        <v>98</v>
      </c>
      <c r="J408" s="1" t="s">
        <v>1341</v>
      </c>
      <c r="K408" s="1">
        <v>1.0</v>
      </c>
      <c r="L408" s="1" t="s">
        <v>1341</v>
      </c>
    </row>
    <row r="409" hidden="1">
      <c r="A409" s="34">
        <v>14.0</v>
      </c>
      <c r="B409" s="34">
        <v>22.0</v>
      </c>
      <c r="C409" s="34">
        <v>119.0</v>
      </c>
      <c r="D409" s="1" t="s">
        <v>98</v>
      </c>
      <c r="E409" s="1" t="s">
        <v>1285</v>
      </c>
      <c r="F409" s="1" t="s">
        <v>1342</v>
      </c>
      <c r="G409" s="1">
        <v>14.0</v>
      </c>
      <c r="H409" s="1">
        <v>106.0</v>
      </c>
      <c r="I409" s="1" t="s">
        <v>98</v>
      </c>
      <c r="J409" s="1" t="s">
        <v>1343</v>
      </c>
      <c r="K409" s="1">
        <v>1.0</v>
      </c>
      <c r="L409" s="1" t="s">
        <v>1343</v>
      </c>
    </row>
    <row r="410" hidden="1">
      <c r="A410" s="34">
        <v>14.0</v>
      </c>
      <c r="B410" s="34">
        <v>22.0</v>
      </c>
      <c r="C410" s="34">
        <v>120.0</v>
      </c>
      <c r="D410" s="1" t="s">
        <v>98</v>
      </c>
      <c r="E410" s="1" t="s">
        <v>1285</v>
      </c>
      <c r="F410" s="1" t="s">
        <v>1344</v>
      </c>
      <c r="G410" s="1">
        <v>14.0</v>
      </c>
      <c r="H410" s="1">
        <v>112.0</v>
      </c>
      <c r="I410" s="1" t="s">
        <v>98</v>
      </c>
      <c r="J410" s="1" t="s">
        <v>1345</v>
      </c>
      <c r="K410" s="1">
        <v>1.0</v>
      </c>
      <c r="L410" s="1" t="s">
        <v>1345</v>
      </c>
    </row>
    <row r="411" hidden="1">
      <c r="A411" s="34">
        <v>14.0</v>
      </c>
      <c r="B411" s="34">
        <v>22.0</v>
      </c>
      <c r="C411" s="34">
        <v>121.0</v>
      </c>
      <c r="D411" s="1" t="s">
        <v>98</v>
      </c>
      <c r="E411" s="1" t="s">
        <v>1285</v>
      </c>
      <c r="F411" s="1" t="s">
        <v>1346</v>
      </c>
      <c r="G411" s="1">
        <v>14.0</v>
      </c>
      <c r="H411" s="1">
        <v>122.0</v>
      </c>
      <c r="I411" s="1" t="s">
        <v>98</v>
      </c>
      <c r="J411" s="1" t="s">
        <v>1347</v>
      </c>
      <c r="K411" s="1">
        <v>1.0</v>
      </c>
      <c r="L411" s="1" t="s">
        <v>1347</v>
      </c>
    </row>
    <row r="412" hidden="1">
      <c r="A412" s="34">
        <v>14.0</v>
      </c>
      <c r="B412" s="34">
        <v>22.0</v>
      </c>
      <c r="C412" s="34">
        <v>125.0</v>
      </c>
      <c r="D412" s="1" t="s">
        <v>98</v>
      </c>
      <c r="E412" s="1" t="s">
        <v>1285</v>
      </c>
      <c r="F412" s="1" t="s">
        <v>1348</v>
      </c>
      <c r="G412" s="1">
        <v>14.0</v>
      </c>
      <c r="H412" s="1">
        <v>54.0</v>
      </c>
      <c r="I412" s="1" t="s">
        <v>98</v>
      </c>
      <c r="J412" s="1" t="s">
        <v>1349</v>
      </c>
      <c r="K412" s="1">
        <v>1.0</v>
      </c>
      <c r="L412" s="1" t="s">
        <v>1349</v>
      </c>
    </row>
    <row r="413" hidden="1">
      <c r="A413" s="34">
        <v>14.0</v>
      </c>
      <c r="B413" s="34">
        <v>22.0</v>
      </c>
      <c r="C413" s="34">
        <v>126.0</v>
      </c>
      <c r="D413" s="1" t="s">
        <v>98</v>
      </c>
      <c r="E413" s="1" t="s">
        <v>1285</v>
      </c>
      <c r="F413" s="1" t="s">
        <v>1350</v>
      </c>
      <c r="G413" s="1">
        <v>14.0</v>
      </c>
      <c r="H413" s="1">
        <v>68.0</v>
      </c>
      <c r="I413" s="1" t="s">
        <v>98</v>
      </c>
      <c r="J413" s="1" t="s">
        <v>1351</v>
      </c>
      <c r="K413" s="1">
        <v>1.0</v>
      </c>
      <c r="L413" s="1" t="s">
        <v>1351</v>
      </c>
    </row>
    <row r="414" hidden="1">
      <c r="A414" s="34">
        <v>14.0</v>
      </c>
      <c r="B414" s="34">
        <v>22.0</v>
      </c>
      <c r="C414" s="34">
        <v>127.0</v>
      </c>
      <c r="D414" s="1" t="s">
        <v>98</v>
      </c>
      <c r="E414" s="1" t="s">
        <v>1285</v>
      </c>
      <c r="F414" s="1" t="s">
        <v>1352</v>
      </c>
      <c r="G414" s="1">
        <v>14.0</v>
      </c>
      <c r="H414" s="1">
        <v>102.0</v>
      </c>
      <c r="I414" s="1" t="s">
        <v>98</v>
      </c>
      <c r="J414" s="1" t="s">
        <v>1353</v>
      </c>
      <c r="K414" s="1">
        <v>1.0</v>
      </c>
      <c r="L414" s="1" t="s">
        <v>1353</v>
      </c>
    </row>
    <row r="415" hidden="1">
      <c r="A415" s="34">
        <v>14.0</v>
      </c>
      <c r="B415" s="34">
        <v>22.0</v>
      </c>
      <c r="C415" s="34">
        <v>161.0</v>
      </c>
      <c r="D415" s="1" t="s">
        <v>98</v>
      </c>
      <c r="E415" s="1" t="s">
        <v>1285</v>
      </c>
      <c r="F415" s="1" t="s">
        <v>1354</v>
      </c>
      <c r="G415" s="1">
        <v>14.0</v>
      </c>
      <c r="H415" s="1">
        <v>99.0</v>
      </c>
      <c r="I415" s="1" t="s">
        <v>98</v>
      </c>
      <c r="J415" s="1" t="s">
        <v>1341</v>
      </c>
      <c r="K415" s="1">
        <v>6.0</v>
      </c>
      <c r="L415" s="1" t="s">
        <v>1355</v>
      </c>
    </row>
    <row r="416" hidden="1">
      <c r="A416" s="34">
        <v>14.0</v>
      </c>
      <c r="B416" s="34">
        <v>38.0</v>
      </c>
      <c r="C416" s="34">
        <v>2.0</v>
      </c>
      <c r="D416" s="1" t="s">
        <v>98</v>
      </c>
      <c r="E416" s="1" t="s">
        <v>96</v>
      </c>
      <c r="F416" s="1" t="s">
        <v>1356</v>
      </c>
      <c r="G416" s="1">
        <v>14.0</v>
      </c>
      <c r="H416" s="1">
        <v>39.0</v>
      </c>
      <c r="I416" s="1" t="s">
        <v>98</v>
      </c>
      <c r="J416" s="1" t="s">
        <v>1357</v>
      </c>
      <c r="K416" s="1">
        <v>1.0</v>
      </c>
      <c r="L416" s="1" t="s">
        <v>1357</v>
      </c>
    </row>
    <row r="417" hidden="1">
      <c r="A417" s="34">
        <v>14.0</v>
      </c>
      <c r="B417" s="34">
        <v>38.0</v>
      </c>
      <c r="C417" s="34">
        <v>4.0</v>
      </c>
      <c r="D417" s="1" t="s">
        <v>98</v>
      </c>
      <c r="E417" s="1" t="s">
        <v>96</v>
      </c>
      <c r="F417" s="1" t="s">
        <v>1358</v>
      </c>
      <c r="G417" s="1">
        <v>14.0</v>
      </c>
      <c r="H417" s="1">
        <v>39.0</v>
      </c>
      <c r="I417" s="1" t="s">
        <v>98</v>
      </c>
      <c r="J417" s="1" t="s">
        <v>1357</v>
      </c>
      <c r="K417" s="1">
        <v>1.0</v>
      </c>
      <c r="L417" s="1" t="s">
        <v>1357</v>
      </c>
    </row>
    <row r="418" hidden="1">
      <c r="A418" s="34">
        <v>14.0</v>
      </c>
      <c r="B418" s="34">
        <v>38.0</v>
      </c>
      <c r="C418" s="34">
        <v>8.0</v>
      </c>
      <c r="D418" s="1" t="s">
        <v>98</v>
      </c>
      <c r="E418" s="1" t="s">
        <v>96</v>
      </c>
      <c r="F418" s="1" t="s">
        <v>1359</v>
      </c>
      <c r="G418" s="1">
        <v>14.0</v>
      </c>
      <c r="H418" s="1">
        <v>120.0</v>
      </c>
      <c r="I418" s="1" t="s">
        <v>98</v>
      </c>
      <c r="J418" s="1" t="s">
        <v>1360</v>
      </c>
      <c r="K418" s="1">
        <v>1.0</v>
      </c>
      <c r="L418" s="1" t="s">
        <v>1360</v>
      </c>
    </row>
    <row r="419" hidden="1">
      <c r="A419" s="34">
        <v>14.0</v>
      </c>
      <c r="B419" s="34">
        <v>38.0</v>
      </c>
      <c r="C419" s="34">
        <v>51.0</v>
      </c>
      <c r="D419" s="1" t="s">
        <v>98</v>
      </c>
      <c r="E419" s="1" t="s">
        <v>96</v>
      </c>
      <c r="F419" s="1" t="s">
        <v>1361</v>
      </c>
      <c r="G419" s="1">
        <v>14.0</v>
      </c>
      <c r="H419" s="1">
        <v>39.0</v>
      </c>
      <c r="I419" s="1" t="s">
        <v>98</v>
      </c>
      <c r="J419" s="1" t="s">
        <v>1357</v>
      </c>
      <c r="K419" s="1">
        <v>1.0</v>
      </c>
      <c r="L419" s="1" t="s">
        <v>1357</v>
      </c>
    </row>
    <row r="420" hidden="1">
      <c r="A420" s="34">
        <v>14.0</v>
      </c>
      <c r="B420" s="34">
        <v>38.0</v>
      </c>
      <c r="C420" s="34">
        <v>53.0</v>
      </c>
      <c r="D420" s="1" t="s">
        <v>98</v>
      </c>
      <c r="E420" s="1" t="s">
        <v>96</v>
      </c>
      <c r="F420" s="1" t="s">
        <v>1362</v>
      </c>
      <c r="G420" s="1">
        <v>14.0</v>
      </c>
      <c r="H420" s="1">
        <v>120.0</v>
      </c>
      <c r="I420" s="1" t="s">
        <v>98</v>
      </c>
      <c r="J420" s="1" t="s">
        <v>1360</v>
      </c>
      <c r="K420" s="1">
        <v>1.0</v>
      </c>
      <c r="L420" s="1" t="s">
        <v>1360</v>
      </c>
    </row>
    <row r="421" hidden="1">
      <c r="A421" s="34">
        <v>14.0</v>
      </c>
      <c r="B421" s="34">
        <v>38.0</v>
      </c>
      <c r="C421" s="34">
        <v>57.0</v>
      </c>
      <c r="D421" s="1" t="s">
        <v>98</v>
      </c>
      <c r="E421" s="1" t="s">
        <v>96</v>
      </c>
      <c r="F421" s="1" t="s">
        <v>1363</v>
      </c>
      <c r="G421" s="1">
        <v>14.0</v>
      </c>
      <c r="H421" s="1">
        <v>45.0</v>
      </c>
      <c r="I421" s="1" t="s">
        <v>98</v>
      </c>
      <c r="J421" s="1" t="s">
        <v>1364</v>
      </c>
      <c r="K421" s="1">
        <v>1.0</v>
      </c>
      <c r="L421" s="1" t="s">
        <v>1364</v>
      </c>
    </row>
    <row r="422" hidden="1">
      <c r="A422" s="34">
        <v>14.0</v>
      </c>
      <c r="B422" s="34">
        <v>38.0</v>
      </c>
      <c r="C422" s="34">
        <v>60.0</v>
      </c>
      <c r="D422" s="1" t="s">
        <v>98</v>
      </c>
      <c r="E422" s="1" t="s">
        <v>96</v>
      </c>
      <c r="F422" s="1" t="s">
        <v>1365</v>
      </c>
      <c r="G422" s="1">
        <v>14.0</v>
      </c>
      <c r="H422" s="1">
        <v>25.0</v>
      </c>
      <c r="I422" s="1" t="s">
        <v>98</v>
      </c>
      <c r="J422" s="1" t="s">
        <v>1366</v>
      </c>
      <c r="K422" s="1">
        <v>1.0</v>
      </c>
      <c r="L422" s="1" t="s">
        <v>1366</v>
      </c>
    </row>
    <row r="423" hidden="1">
      <c r="A423" s="34">
        <v>14.0</v>
      </c>
      <c r="B423" s="34">
        <v>38.0</v>
      </c>
      <c r="C423" s="34">
        <v>68.0</v>
      </c>
      <c r="D423" s="1" t="s">
        <v>98</v>
      </c>
      <c r="E423" s="1" t="s">
        <v>96</v>
      </c>
      <c r="F423" s="1" t="s">
        <v>1367</v>
      </c>
      <c r="G423" s="1">
        <v>14.0</v>
      </c>
      <c r="H423" s="1">
        <v>19.0</v>
      </c>
      <c r="I423" s="1" t="s">
        <v>98</v>
      </c>
      <c r="J423" s="1" t="s">
        <v>1368</v>
      </c>
      <c r="K423" s="1">
        <v>1.0</v>
      </c>
      <c r="L423" s="1" t="s">
        <v>1368</v>
      </c>
    </row>
    <row r="424" hidden="1">
      <c r="A424" s="34">
        <v>14.0</v>
      </c>
      <c r="B424" s="34">
        <v>38.0</v>
      </c>
      <c r="C424" s="34">
        <v>79.0</v>
      </c>
      <c r="D424" s="1" t="s">
        <v>98</v>
      </c>
      <c r="E424" s="1" t="s">
        <v>96</v>
      </c>
      <c r="F424" s="1" t="s">
        <v>1369</v>
      </c>
      <c r="G424" s="1">
        <v>14.0</v>
      </c>
      <c r="H424" s="1">
        <v>39.0</v>
      </c>
      <c r="I424" s="1" t="s">
        <v>98</v>
      </c>
      <c r="J424" s="1" t="s">
        <v>1357</v>
      </c>
      <c r="K424" s="1">
        <v>1.0</v>
      </c>
      <c r="L424" s="1" t="s">
        <v>1357</v>
      </c>
    </row>
    <row r="425" hidden="1">
      <c r="A425" s="34">
        <v>14.0</v>
      </c>
      <c r="B425" s="34">
        <v>38.0</v>
      </c>
      <c r="C425" s="34">
        <v>101.0</v>
      </c>
      <c r="D425" s="1" t="s">
        <v>98</v>
      </c>
      <c r="E425" s="1" t="s">
        <v>96</v>
      </c>
      <c r="F425" s="1" t="s">
        <v>1370</v>
      </c>
      <c r="G425" s="1">
        <v>14.0</v>
      </c>
      <c r="H425" s="1">
        <v>29.0</v>
      </c>
      <c r="I425" s="1" t="s">
        <v>98</v>
      </c>
      <c r="J425" s="1" t="s">
        <v>1371</v>
      </c>
      <c r="K425" s="1">
        <v>1.0</v>
      </c>
      <c r="L425" s="1" t="s">
        <v>1371</v>
      </c>
    </row>
    <row r="426" hidden="1">
      <c r="A426" s="34">
        <v>14.0</v>
      </c>
      <c r="B426" s="34">
        <v>38.0</v>
      </c>
      <c r="C426" s="34">
        <v>103.0</v>
      </c>
      <c r="D426" s="1" t="s">
        <v>98</v>
      </c>
      <c r="E426" s="1" t="s">
        <v>96</v>
      </c>
      <c r="F426" s="1" t="s">
        <v>1372</v>
      </c>
      <c r="G426" s="1">
        <v>14.0</v>
      </c>
      <c r="H426" s="1">
        <v>41.0</v>
      </c>
      <c r="I426" s="1" t="s">
        <v>98</v>
      </c>
      <c r="J426" s="1" t="s">
        <v>1373</v>
      </c>
      <c r="K426" s="1">
        <v>1.0</v>
      </c>
      <c r="L426" s="1" t="s">
        <v>1373</v>
      </c>
    </row>
    <row r="427" hidden="1">
      <c r="A427" s="34">
        <v>14.0</v>
      </c>
      <c r="B427" s="34">
        <v>38.0</v>
      </c>
      <c r="C427" s="34">
        <v>104.0</v>
      </c>
      <c r="D427" s="1" t="s">
        <v>98</v>
      </c>
      <c r="E427" s="1" t="s">
        <v>96</v>
      </c>
      <c r="F427" s="1" t="s">
        <v>1374</v>
      </c>
      <c r="G427" s="1">
        <v>14.0</v>
      </c>
      <c r="H427" s="1">
        <v>42.0</v>
      </c>
      <c r="I427" s="1" t="s">
        <v>98</v>
      </c>
      <c r="J427" s="1" t="s">
        <v>1375</v>
      </c>
      <c r="K427" s="1">
        <v>1.0</v>
      </c>
      <c r="L427" s="1" t="s">
        <v>1375</v>
      </c>
    </row>
    <row r="428" hidden="1">
      <c r="A428" s="34">
        <v>14.0</v>
      </c>
      <c r="B428" s="34">
        <v>38.0</v>
      </c>
      <c r="C428" s="34">
        <v>106.0</v>
      </c>
      <c r="D428" s="1" t="s">
        <v>98</v>
      </c>
      <c r="E428" s="1" t="s">
        <v>96</v>
      </c>
      <c r="F428" s="1" t="s">
        <v>1376</v>
      </c>
      <c r="G428" s="1">
        <v>14.0</v>
      </c>
      <c r="H428" s="1">
        <v>76.0</v>
      </c>
      <c r="I428" s="1" t="s">
        <v>98</v>
      </c>
      <c r="J428" s="1" t="s">
        <v>1377</v>
      </c>
      <c r="K428" s="1">
        <v>1.0</v>
      </c>
      <c r="L428" s="1" t="s">
        <v>1377</v>
      </c>
    </row>
    <row r="429" hidden="1">
      <c r="A429" s="34">
        <v>14.0</v>
      </c>
      <c r="B429" s="34">
        <v>38.0</v>
      </c>
      <c r="C429" s="34">
        <v>108.0</v>
      </c>
      <c r="D429" s="1" t="s">
        <v>98</v>
      </c>
      <c r="E429" s="1" t="s">
        <v>96</v>
      </c>
      <c r="F429" s="1" t="s">
        <v>1378</v>
      </c>
      <c r="G429" s="1">
        <v>14.0</v>
      </c>
      <c r="H429" s="1">
        <v>104.0</v>
      </c>
      <c r="I429" s="1" t="s">
        <v>98</v>
      </c>
      <c r="J429" s="1" t="s">
        <v>1277</v>
      </c>
      <c r="K429" s="1">
        <v>1.0</v>
      </c>
      <c r="L429" s="1" t="s">
        <v>1277</v>
      </c>
    </row>
    <row r="430" hidden="1">
      <c r="A430" s="34">
        <v>14.0</v>
      </c>
      <c r="B430" s="34">
        <v>38.0</v>
      </c>
      <c r="C430" s="34">
        <v>163.0</v>
      </c>
      <c r="D430" s="1" t="s">
        <v>98</v>
      </c>
      <c r="E430" s="1" t="s">
        <v>96</v>
      </c>
      <c r="F430" s="1" t="s">
        <v>1379</v>
      </c>
      <c r="G430" s="1">
        <v>14.0</v>
      </c>
      <c r="H430" s="1">
        <v>61.0</v>
      </c>
      <c r="I430" s="1" t="s">
        <v>98</v>
      </c>
      <c r="J430" s="1" t="s">
        <v>1380</v>
      </c>
      <c r="K430" s="1">
        <v>1.0</v>
      </c>
      <c r="L430" s="1" t="s">
        <v>1380</v>
      </c>
    </row>
    <row r="431" hidden="1">
      <c r="A431" s="34">
        <v>14.0</v>
      </c>
      <c r="B431" s="34">
        <v>38.0</v>
      </c>
      <c r="C431" s="34">
        <v>171.0</v>
      </c>
      <c r="D431" s="1" t="s">
        <v>98</v>
      </c>
      <c r="E431" s="1" t="s">
        <v>96</v>
      </c>
      <c r="F431" s="1" t="s">
        <v>1381</v>
      </c>
      <c r="G431" s="1">
        <v>14.0</v>
      </c>
      <c r="H431" s="1">
        <v>120.0</v>
      </c>
      <c r="I431" s="1" t="s">
        <v>98</v>
      </c>
      <c r="J431" s="1" t="s">
        <v>1360</v>
      </c>
      <c r="K431" s="1">
        <v>1.0</v>
      </c>
      <c r="L431" s="1" t="s">
        <v>1360</v>
      </c>
    </row>
    <row r="432" hidden="1">
      <c r="A432" s="34">
        <v>14.0</v>
      </c>
      <c r="B432" s="34">
        <v>38.0</v>
      </c>
      <c r="C432" s="34">
        <v>178.0</v>
      </c>
      <c r="D432" s="1" t="s">
        <v>98</v>
      </c>
      <c r="E432" s="1" t="s">
        <v>96</v>
      </c>
      <c r="F432" s="1" t="s">
        <v>1382</v>
      </c>
      <c r="G432" s="1">
        <v>14.0</v>
      </c>
      <c r="H432" s="1">
        <v>120.0</v>
      </c>
      <c r="I432" s="1" t="s">
        <v>98</v>
      </c>
      <c r="J432" s="1" t="s">
        <v>1360</v>
      </c>
      <c r="K432" s="1">
        <v>1.0</v>
      </c>
      <c r="L432" s="1" t="s">
        <v>1360</v>
      </c>
    </row>
    <row r="433" hidden="1">
      <c r="A433" s="34">
        <v>14.0</v>
      </c>
      <c r="B433" s="34">
        <v>38.0</v>
      </c>
      <c r="C433" s="34">
        <v>182.0</v>
      </c>
      <c r="D433" s="1" t="s">
        <v>98</v>
      </c>
      <c r="E433" s="1" t="s">
        <v>96</v>
      </c>
      <c r="F433" s="1" t="s">
        <v>1383</v>
      </c>
      <c r="G433" s="1">
        <v>14.0</v>
      </c>
      <c r="H433" s="1">
        <v>120.0</v>
      </c>
      <c r="I433" s="1" t="s">
        <v>98</v>
      </c>
      <c r="J433" s="1" t="s">
        <v>1360</v>
      </c>
      <c r="K433" s="1">
        <v>231.0</v>
      </c>
      <c r="L433" s="1" t="s">
        <v>1384</v>
      </c>
    </row>
    <row r="434" hidden="1">
      <c r="A434" s="34">
        <v>14.0</v>
      </c>
      <c r="B434" s="34">
        <v>39.0</v>
      </c>
      <c r="C434" s="34">
        <v>3.0</v>
      </c>
      <c r="D434" s="1" t="s">
        <v>98</v>
      </c>
      <c r="E434" s="1" t="s">
        <v>1385</v>
      </c>
      <c r="F434" s="1" t="s">
        <v>1386</v>
      </c>
      <c r="G434" s="1">
        <v>14.0</v>
      </c>
      <c r="H434" s="1">
        <v>39.0</v>
      </c>
      <c r="I434" s="1" t="s">
        <v>98</v>
      </c>
      <c r="J434" s="1" t="s">
        <v>1357</v>
      </c>
      <c r="K434" s="1">
        <v>1.0</v>
      </c>
      <c r="L434" s="1" t="s">
        <v>1357</v>
      </c>
    </row>
    <row r="435" hidden="1">
      <c r="A435" s="34">
        <v>14.0</v>
      </c>
      <c r="B435" s="34">
        <v>39.0</v>
      </c>
      <c r="C435" s="34">
        <v>5.0</v>
      </c>
      <c r="D435" s="1" t="s">
        <v>98</v>
      </c>
      <c r="E435" s="1" t="s">
        <v>1385</v>
      </c>
      <c r="F435" s="1" t="s">
        <v>1387</v>
      </c>
      <c r="G435" s="1">
        <v>14.0</v>
      </c>
      <c r="H435" s="1">
        <v>70.0</v>
      </c>
      <c r="I435" s="1" t="s">
        <v>98</v>
      </c>
      <c r="J435" s="1" t="s">
        <v>943</v>
      </c>
      <c r="K435" s="1">
        <v>1.0</v>
      </c>
      <c r="L435" s="1" t="s">
        <v>943</v>
      </c>
    </row>
    <row r="436" hidden="1">
      <c r="A436" s="34">
        <v>14.0</v>
      </c>
      <c r="B436" s="34">
        <v>39.0</v>
      </c>
      <c r="C436" s="34">
        <v>39.0</v>
      </c>
      <c r="D436" s="1" t="s">
        <v>98</v>
      </c>
      <c r="E436" s="1" t="s">
        <v>1385</v>
      </c>
      <c r="F436" s="1" t="s">
        <v>1388</v>
      </c>
      <c r="G436" s="1">
        <v>14.0</v>
      </c>
      <c r="H436" s="1">
        <v>98.0</v>
      </c>
      <c r="I436" s="1" t="s">
        <v>98</v>
      </c>
      <c r="J436" s="1" t="s">
        <v>1389</v>
      </c>
      <c r="K436" s="1">
        <v>1.0</v>
      </c>
      <c r="L436" s="1" t="s">
        <v>1390</v>
      </c>
    </row>
    <row r="437" hidden="1">
      <c r="A437" s="34">
        <v>14.0</v>
      </c>
      <c r="B437" s="34">
        <v>39.0</v>
      </c>
      <c r="C437" s="34">
        <v>40.0</v>
      </c>
      <c r="D437" s="1" t="s">
        <v>98</v>
      </c>
      <c r="E437" s="1" t="s">
        <v>1385</v>
      </c>
      <c r="F437" s="1" t="s">
        <v>1391</v>
      </c>
      <c r="G437" s="1">
        <v>14.0</v>
      </c>
      <c r="H437" s="1">
        <v>30.0</v>
      </c>
      <c r="I437" s="1" t="s">
        <v>98</v>
      </c>
      <c r="J437" s="1" t="s">
        <v>1392</v>
      </c>
      <c r="K437" s="1">
        <v>1.0</v>
      </c>
      <c r="L437" s="1" t="s">
        <v>1392</v>
      </c>
    </row>
    <row r="438" hidden="1">
      <c r="A438" s="34">
        <v>14.0</v>
      </c>
      <c r="B438" s="34">
        <v>39.0</v>
      </c>
      <c r="C438" s="34">
        <v>48.0</v>
      </c>
      <c r="D438" s="1" t="s">
        <v>98</v>
      </c>
      <c r="E438" s="1" t="s">
        <v>1385</v>
      </c>
      <c r="F438" s="1" t="s">
        <v>1393</v>
      </c>
      <c r="G438" s="1">
        <v>14.0</v>
      </c>
      <c r="H438" s="1">
        <v>39.0</v>
      </c>
      <c r="I438" s="1" t="s">
        <v>98</v>
      </c>
      <c r="J438" s="1" t="s">
        <v>1357</v>
      </c>
      <c r="K438" s="1">
        <v>1.0</v>
      </c>
      <c r="L438" s="1" t="s">
        <v>1357</v>
      </c>
    </row>
    <row r="439" hidden="1">
      <c r="A439" s="34">
        <v>14.0</v>
      </c>
      <c r="B439" s="34">
        <v>39.0</v>
      </c>
      <c r="C439" s="34">
        <v>49.0</v>
      </c>
      <c r="D439" s="1" t="s">
        <v>98</v>
      </c>
      <c r="E439" s="1" t="s">
        <v>1385</v>
      </c>
      <c r="F439" s="1" t="s">
        <v>1394</v>
      </c>
      <c r="G439" s="1">
        <v>14.0</v>
      </c>
      <c r="H439" s="1">
        <v>39.0</v>
      </c>
      <c r="I439" s="1" t="s">
        <v>98</v>
      </c>
      <c r="J439" s="1" t="s">
        <v>1357</v>
      </c>
      <c r="K439" s="1">
        <v>1.0</v>
      </c>
      <c r="L439" s="1" t="s">
        <v>1357</v>
      </c>
    </row>
    <row r="440" hidden="1">
      <c r="A440" s="34">
        <v>14.0</v>
      </c>
      <c r="B440" s="34">
        <v>39.0</v>
      </c>
      <c r="C440" s="34">
        <v>50.0</v>
      </c>
      <c r="D440" s="1" t="s">
        <v>98</v>
      </c>
      <c r="E440" s="1" t="s">
        <v>1385</v>
      </c>
      <c r="F440" s="1" t="s">
        <v>1395</v>
      </c>
      <c r="G440" s="1">
        <v>14.0</v>
      </c>
      <c r="H440" s="1">
        <v>30.0</v>
      </c>
      <c r="I440" s="1" t="s">
        <v>98</v>
      </c>
      <c r="J440" s="1" t="s">
        <v>1392</v>
      </c>
      <c r="K440" s="1">
        <v>3.0</v>
      </c>
      <c r="L440" s="1" t="s">
        <v>1396</v>
      </c>
    </row>
    <row r="441" hidden="1">
      <c r="A441" s="34">
        <v>14.0</v>
      </c>
      <c r="B441" s="34">
        <v>39.0</v>
      </c>
      <c r="C441" s="34">
        <v>52.0</v>
      </c>
      <c r="D441" s="1" t="s">
        <v>98</v>
      </c>
      <c r="E441" s="1" t="s">
        <v>1385</v>
      </c>
      <c r="F441" s="1" t="s">
        <v>1397</v>
      </c>
      <c r="G441" s="1">
        <v>14.0</v>
      </c>
      <c r="H441" s="1">
        <v>39.0</v>
      </c>
      <c r="I441" s="1" t="s">
        <v>98</v>
      </c>
      <c r="J441" s="1" t="s">
        <v>1357</v>
      </c>
      <c r="K441" s="1">
        <v>1.0</v>
      </c>
      <c r="L441" s="1" t="s">
        <v>1357</v>
      </c>
    </row>
    <row r="442" hidden="1">
      <c r="A442" s="34">
        <v>14.0</v>
      </c>
      <c r="B442" s="34">
        <v>39.0</v>
      </c>
      <c r="C442" s="34">
        <v>54.0</v>
      </c>
      <c r="D442" s="1" t="s">
        <v>98</v>
      </c>
      <c r="E442" s="1" t="s">
        <v>1385</v>
      </c>
      <c r="F442" s="1" t="s">
        <v>1398</v>
      </c>
      <c r="G442" s="1">
        <v>14.0</v>
      </c>
      <c r="H442" s="1">
        <v>98.0</v>
      </c>
      <c r="I442" s="1" t="s">
        <v>98</v>
      </c>
      <c r="J442" s="1" t="s">
        <v>1389</v>
      </c>
      <c r="K442" s="1">
        <v>1.0</v>
      </c>
      <c r="L442" s="1" t="s">
        <v>1390</v>
      </c>
    </row>
    <row r="443" hidden="1">
      <c r="A443" s="34">
        <v>14.0</v>
      </c>
      <c r="B443" s="34">
        <v>39.0</v>
      </c>
      <c r="C443" s="34">
        <v>78.0</v>
      </c>
      <c r="D443" s="1" t="s">
        <v>98</v>
      </c>
      <c r="E443" s="1" t="s">
        <v>1385</v>
      </c>
      <c r="F443" s="1" t="s">
        <v>1399</v>
      </c>
      <c r="G443" s="1">
        <v>14.0</v>
      </c>
      <c r="H443" s="1">
        <v>39.0</v>
      </c>
      <c r="I443" s="1" t="s">
        <v>98</v>
      </c>
      <c r="J443" s="1" t="s">
        <v>1357</v>
      </c>
      <c r="K443" s="1">
        <v>1.0</v>
      </c>
      <c r="L443" s="1" t="s">
        <v>1357</v>
      </c>
    </row>
    <row r="444" hidden="1">
      <c r="A444" s="34">
        <v>14.0</v>
      </c>
      <c r="B444" s="34">
        <v>39.0</v>
      </c>
      <c r="C444" s="34">
        <v>93.0</v>
      </c>
      <c r="D444" s="1" t="s">
        <v>98</v>
      </c>
      <c r="E444" s="1" t="s">
        <v>1385</v>
      </c>
      <c r="F444" s="1" t="s">
        <v>1400</v>
      </c>
      <c r="G444" s="1">
        <v>14.0</v>
      </c>
      <c r="H444" s="1">
        <v>101.0</v>
      </c>
      <c r="I444" s="1" t="s">
        <v>98</v>
      </c>
      <c r="J444" s="1" t="s">
        <v>807</v>
      </c>
      <c r="K444" s="1">
        <v>1.0</v>
      </c>
      <c r="L444" s="1" t="s">
        <v>807</v>
      </c>
    </row>
    <row r="445" hidden="1">
      <c r="A445" s="34">
        <v>14.0</v>
      </c>
      <c r="B445" s="34">
        <v>39.0</v>
      </c>
      <c r="C445" s="34">
        <v>167.0</v>
      </c>
      <c r="D445" s="1" t="s">
        <v>98</v>
      </c>
      <c r="E445" s="1" t="s">
        <v>1385</v>
      </c>
      <c r="F445" s="1" t="s">
        <v>1401</v>
      </c>
      <c r="G445" s="1">
        <v>14.0</v>
      </c>
      <c r="H445" s="1">
        <v>39.0</v>
      </c>
      <c r="I445" s="1" t="s">
        <v>98</v>
      </c>
      <c r="J445" s="1" t="s">
        <v>1357</v>
      </c>
      <c r="K445" s="1">
        <v>1.0</v>
      </c>
      <c r="L445" s="1" t="s">
        <v>1357</v>
      </c>
    </row>
    <row r="446" hidden="1">
      <c r="A446" s="34">
        <v>14.0</v>
      </c>
      <c r="B446" s="34">
        <v>39.0</v>
      </c>
      <c r="C446" s="34">
        <v>181.0</v>
      </c>
      <c r="D446" s="1" t="s">
        <v>98</v>
      </c>
      <c r="E446" s="1" t="s">
        <v>1385</v>
      </c>
      <c r="F446" s="1" t="s">
        <v>1402</v>
      </c>
      <c r="G446" s="1">
        <v>14.0</v>
      </c>
      <c r="H446" s="1">
        <v>44.0</v>
      </c>
      <c r="I446" s="1" t="s">
        <v>98</v>
      </c>
      <c r="J446" s="1" t="s">
        <v>1403</v>
      </c>
      <c r="K446" s="1">
        <v>1.0</v>
      </c>
      <c r="L446" s="1" t="s">
        <v>1404</v>
      </c>
    </row>
    <row r="447" hidden="1">
      <c r="A447" s="34">
        <v>14.0</v>
      </c>
      <c r="B447" s="34">
        <v>39.0</v>
      </c>
      <c r="C447" s="34">
        <v>184.0</v>
      </c>
      <c r="D447" s="1" t="s">
        <v>98</v>
      </c>
      <c r="E447" s="1" t="s">
        <v>1385</v>
      </c>
      <c r="F447" s="1" t="s">
        <v>1405</v>
      </c>
      <c r="G447" s="1">
        <v>14.0</v>
      </c>
      <c r="H447" s="1">
        <v>101.0</v>
      </c>
      <c r="I447" s="1" t="s">
        <v>98</v>
      </c>
      <c r="J447" s="1" t="s">
        <v>807</v>
      </c>
      <c r="K447" s="1">
        <v>1.0</v>
      </c>
      <c r="L447" s="1" t="s">
        <v>807</v>
      </c>
    </row>
    <row r="448" hidden="1">
      <c r="A448" s="34">
        <v>14.0</v>
      </c>
      <c r="B448" s="34">
        <v>40.0</v>
      </c>
      <c r="C448" s="34">
        <v>1.0</v>
      </c>
      <c r="D448" s="1" t="s">
        <v>98</v>
      </c>
      <c r="E448" s="1" t="s">
        <v>787</v>
      </c>
      <c r="F448" s="1" t="s">
        <v>1406</v>
      </c>
      <c r="G448" s="1">
        <v>14.0</v>
      </c>
      <c r="H448" s="1">
        <v>39.0</v>
      </c>
      <c r="I448" s="1" t="s">
        <v>98</v>
      </c>
      <c r="J448" s="1" t="s">
        <v>1357</v>
      </c>
      <c r="K448" s="1">
        <v>1.0</v>
      </c>
      <c r="L448" s="1" t="s">
        <v>1357</v>
      </c>
    </row>
    <row r="449" hidden="1">
      <c r="A449" s="34">
        <v>14.0</v>
      </c>
      <c r="B449" s="34">
        <v>40.0</v>
      </c>
      <c r="C449" s="34">
        <v>10.0</v>
      </c>
      <c r="D449" s="1" t="s">
        <v>98</v>
      </c>
      <c r="E449" s="1" t="s">
        <v>787</v>
      </c>
      <c r="F449" s="1" t="s">
        <v>1409</v>
      </c>
      <c r="G449" s="1">
        <v>14.0</v>
      </c>
      <c r="H449" s="1">
        <v>94.0</v>
      </c>
      <c r="I449" s="1" t="s">
        <v>98</v>
      </c>
      <c r="J449" s="1" t="s">
        <v>1412</v>
      </c>
      <c r="K449" s="1">
        <v>1.0</v>
      </c>
      <c r="L449" s="1" t="s">
        <v>1412</v>
      </c>
    </row>
    <row r="450" hidden="1">
      <c r="A450" s="34">
        <v>14.0</v>
      </c>
      <c r="B450" s="34">
        <v>40.0</v>
      </c>
      <c r="C450" s="34">
        <v>11.0</v>
      </c>
      <c r="D450" s="1" t="s">
        <v>98</v>
      </c>
      <c r="E450" s="1" t="s">
        <v>787</v>
      </c>
      <c r="F450" s="1" t="s">
        <v>1413</v>
      </c>
      <c r="G450" s="1">
        <v>14.0</v>
      </c>
      <c r="H450" s="1">
        <v>5.0</v>
      </c>
      <c r="I450" s="1" t="s">
        <v>98</v>
      </c>
      <c r="J450" s="1" t="s">
        <v>1414</v>
      </c>
      <c r="K450" s="1">
        <v>1.0</v>
      </c>
      <c r="L450" s="1" t="s">
        <v>1414</v>
      </c>
    </row>
    <row r="451" hidden="1">
      <c r="A451" s="34">
        <v>14.0</v>
      </c>
      <c r="B451" s="34">
        <v>40.0</v>
      </c>
      <c r="C451" s="34">
        <v>12.0</v>
      </c>
      <c r="D451" s="1" t="s">
        <v>98</v>
      </c>
      <c r="E451" s="1" t="s">
        <v>787</v>
      </c>
      <c r="F451" s="1" t="s">
        <v>1415</v>
      </c>
      <c r="G451" s="1">
        <v>14.0</v>
      </c>
      <c r="H451" s="1">
        <v>9.0</v>
      </c>
      <c r="I451" s="1" t="s">
        <v>98</v>
      </c>
      <c r="J451" s="1" t="s">
        <v>1416</v>
      </c>
      <c r="K451" s="1">
        <v>1.0</v>
      </c>
      <c r="L451" s="1" t="s">
        <v>1416</v>
      </c>
    </row>
    <row r="452" hidden="1">
      <c r="A452" s="34">
        <v>14.0</v>
      </c>
      <c r="B452" s="34">
        <v>40.0</v>
      </c>
      <c r="C452" s="34">
        <v>24.0</v>
      </c>
      <c r="D452" s="1" t="s">
        <v>98</v>
      </c>
      <c r="E452" s="1" t="s">
        <v>787</v>
      </c>
      <c r="F452" s="1" t="s">
        <v>1417</v>
      </c>
      <c r="G452" s="1">
        <v>14.0</v>
      </c>
      <c r="H452" s="1">
        <v>6.0</v>
      </c>
      <c r="I452" s="1" t="s">
        <v>98</v>
      </c>
      <c r="J452" s="1" t="s">
        <v>1418</v>
      </c>
      <c r="K452" s="1">
        <v>1.0</v>
      </c>
      <c r="L452" s="1" t="s">
        <v>1418</v>
      </c>
    </row>
    <row r="453" hidden="1">
      <c r="A453" s="34">
        <v>14.0</v>
      </c>
      <c r="B453" s="34">
        <v>40.0</v>
      </c>
      <c r="C453" s="34">
        <v>25.0</v>
      </c>
      <c r="D453" s="1" t="s">
        <v>98</v>
      </c>
      <c r="E453" s="1" t="s">
        <v>787</v>
      </c>
      <c r="F453" s="1" t="s">
        <v>1419</v>
      </c>
      <c r="G453" s="1">
        <v>14.0</v>
      </c>
      <c r="H453" s="1">
        <v>24.0</v>
      </c>
      <c r="I453" s="1" t="s">
        <v>98</v>
      </c>
      <c r="J453" s="1" t="s">
        <v>1420</v>
      </c>
      <c r="K453" s="1">
        <v>22.0</v>
      </c>
      <c r="L453" s="1" t="s">
        <v>1421</v>
      </c>
    </row>
    <row r="454" hidden="1">
      <c r="A454" s="34">
        <v>14.0</v>
      </c>
      <c r="B454" s="34">
        <v>40.0</v>
      </c>
      <c r="C454" s="34">
        <v>26.0</v>
      </c>
      <c r="D454" s="1" t="s">
        <v>98</v>
      </c>
      <c r="E454" s="1" t="s">
        <v>787</v>
      </c>
      <c r="F454" s="1" t="s">
        <v>1422</v>
      </c>
      <c r="G454" s="1">
        <v>14.0</v>
      </c>
      <c r="H454" s="1">
        <v>83.0</v>
      </c>
      <c r="I454" s="1" t="s">
        <v>98</v>
      </c>
      <c r="J454" s="1" t="s">
        <v>1423</v>
      </c>
      <c r="K454" s="1">
        <v>1.0</v>
      </c>
      <c r="L454" s="1" t="s">
        <v>1423</v>
      </c>
    </row>
    <row r="455" hidden="1">
      <c r="A455" s="34">
        <v>14.0</v>
      </c>
      <c r="B455" s="34">
        <v>40.0</v>
      </c>
      <c r="C455" s="34">
        <v>27.0</v>
      </c>
      <c r="D455" s="1" t="s">
        <v>98</v>
      </c>
      <c r="E455" s="1" t="s">
        <v>787</v>
      </c>
      <c r="F455" s="1" t="s">
        <v>1424</v>
      </c>
      <c r="G455" s="1">
        <v>14.0</v>
      </c>
      <c r="H455" s="1">
        <v>114.0</v>
      </c>
      <c r="I455" s="1" t="s">
        <v>98</v>
      </c>
      <c r="J455" s="1" t="s">
        <v>1425</v>
      </c>
      <c r="K455" s="1">
        <v>1.0</v>
      </c>
      <c r="L455" s="1" t="s">
        <v>1425</v>
      </c>
    </row>
    <row r="456" hidden="1">
      <c r="A456" s="34">
        <v>14.0</v>
      </c>
      <c r="B456" s="34">
        <v>40.0</v>
      </c>
      <c r="C456" s="34">
        <v>29.0</v>
      </c>
      <c r="D456" s="1" t="s">
        <v>98</v>
      </c>
      <c r="E456" s="1" t="s">
        <v>787</v>
      </c>
      <c r="F456" s="1" t="s">
        <v>1426</v>
      </c>
      <c r="G456" s="1">
        <v>14.0</v>
      </c>
      <c r="H456" s="1">
        <v>114.0</v>
      </c>
      <c r="I456" s="1" t="s">
        <v>98</v>
      </c>
      <c r="J456" s="1" t="s">
        <v>1425</v>
      </c>
      <c r="K456" s="1">
        <v>5.0</v>
      </c>
      <c r="L456" s="1" t="s">
        <v>1427</v>
      </c>
    </row>
    <row r="457" hidden="1">
      <c r="A457" s="34">
        <v>14.0</v>
      </c>
      <c r="B457" s="34">
        <v>40.0</v>
      </c>
      <c r="C457" s="34">
        <v>30.0</v>
      </c>
      <c r="D457" s="1" t="s">
        <v>98</v>
      </c>
      <c r="E457" s="1" t="s">
        <v>787</v>
      </c>
      <c r="F457" s="1" t="s">
        <v>1428</v>
      </c>
      <c r="G457" s="1">
        <v>14.0</v>
      </c>
      <c r="H457" s="1">
        <v>2.0</v>
      </c>
      <c r="I457" s="1" t="s">
        <v>98</v>
      </c>
      <c r="J457" s="1" t="s">
        <v>1429</v>
      </c>
      <c r="K457" s="1">
        <v>2.0</v>
      </c>
      <c r="L457" s="1" t="s">
        <v>1430</v>
      </c>
    </row>
    <row r="458" hidden="1">
      <c r="A458" s="34">
        <v>14.0</v>
      </c>
      <c r="B458" s="34">
        <v>40.0</v>
      </c>
      <c r="C458" s="34">
        <v>31.0</v>
      </c>
      <c r="D458" s="1" t="s">
        <v>98</v>
      </c>
      <c r="E458" s="1" t="s">
        <v>787</v>
      </c>
      <c r="F458" s="1" t="s">
        <v>1431</v>
      </c>
      <c r="G458" s="1">
        <v>14.0</v>
      </c>
      <c r="H458" s="1">
        <v>3.0</v>
      </c>
      <c r="I458" s="1" t="s">
        <v>98</v>
      </c>
      <c r="J458" s="1" t="s">
        <v>1432</v>
      </c>
      <c r="K458" s="1">
        <v>1.0</v>
      </c>
      <c r="L458" s="1" t="s">
        <v>1432</v>
      </c>
    </row>
    <row r="459" hidden="1">
      <c r="A459" s="34">
        <v>14.0</v>
      </c>
      <c r="B459" s="34">
        <v>40.0</v>
      </c>
      <c r="C459" s="34">
        <v>34.0</v>
      </c>
      <c r="D459" s="1" t="s">
        <v>98</v>
      </c>
      <c r="E459" s="1" t="s">
        <v>787</v>
      </c>
      <c r="F459" s="1" t="s">
        <v>56</v>
      </c>
      <c r="G459" s="1">
        <v>14.0</v>
      </c>
      <c r="H459" s="1">
        <v>39.0</v>
      </c>
      <c r="I459" s="1" t="s">
        <v>98</v>
      </c>
      <c r="J459" s="1" t="s">
        <v>1357</v>
      </c>
      <c r="K459" s="1">
        <v>1.0</v>
      </c>
      <c r="L459" s="1" t="s">
        <v>1357</v>
      </c>
    </row>
    <row r="460" hidden="1">
      <c r="A460" s="34">
        <v>14.0</v>
      </c>
      <c r="B460" s="34">
        <v>40.0</v>
      </c>
      <c r="C460" s="34">
        <v>38.0</v>
      </c>
      <c r="D460" s="1" t="s">
        <v>98</v>
      </c>
      <c r="E460" s="1" t="s">
        <v>787</v>
      </c>
      <c r="F460" s="1" t="s">
        <v>1433</v>
      </c>
      <c r="G460" s="1">
        <v>14.0</v>
      </c>
      <c r="H460" s="1">
        <v>77.0</v>
      </c>
      <c r="I460" s="1" t="s">
        <v>98</v>
      </c>
      <c r="J460" s="1" t="s">
        <v>1434</v>
      </c>
      <c r="K460" s="1">
        <v>1.0</v>
      </c>
      <c r="L460" s="1" t="s">
        <v>1435</v>
      </c>
    </row>
    <row r="461" hidden="1">
      <c r="A461" s="34">
        <v>14.0</v>
      </c>
      <c r="B461" s="34">
        <v>40.0</v>
      </c>
      <c r="C461" s="34">
        <v>55.0</v>
      </c>
      <c r="D461" s="1" t="s">
        <v>98</v>
      </c>
      <c r="E461" s="1" t="s">
        <v>787</v>
      </c>
      <c r="F461" s="1" t="s">
        <v>1436</v>
      </c>
      <c r="G461" s="1">
        <v>14.0</v>
      </c>
      <c r="H461" s="1">
        <v>39.0</v>
      </c>
      <c r="I461" s="1" t="s">
        <v>98</v>
      </c>
      <c r="J461" s="1" t="s">
        <v>1357</v>
      </c>
      <c r="K461" s="1">
        <v>1.0</v>
      </c>
      <c r="L461" s="1" t="s">
        <v>1357</v>
      </c>
    </row>
    <row r="462" hidden="1">
      <c r="A462" s="34">
        <v>14.0</v>
      </c>
      <c r="B462" s="34">
        <v>40.0</v>
      </c>
      <c r="C462" s="34">
        <v>56.0</v>
      </c>
      <c r="D462" s="1" t="s">
        <v>98</v>
      </c>
      <c r="E462" s="1" t="s">
        <v>787</v>
      </c>
      <c r="F462" s="1" t="s">
        <v>1437</v>
      </c>
      <c r="G462" s="1">
        <v>14.0</v>
      </c>
      <c r="H462" s="1">
        <v>2.0</v>
      </c>
      <c r="I462" s="1" t="s">
        <v>98</v>
      </c>
      <c r="J462" s="1" t="s">
        <v>1429</v>
      </c>
      <c r="K462" s="1">
        <v>1.0</v>
      </c>
      <c r="L462" s="1" t="s">
        <v>1429</v>
      </c>
    </row>
    <row r="463" hidden="1">
      <c r="A463" s="34">
        <v>14.0</v>
      </c>
      <c r="B463" s="34">
        <v>40.0</v>
      </c>
      <c r="C463" s="34">
        <v>58.0</v>
      </c>
      <c r="D463" s="1" t="s">
        <v>98</v>
      </c>
      <c r="E463" s="1" t="s">
        <v>787</v>
      </c>
      <c r="F463" s="1" t="s">
        <v>1438</v>
      </c>
      <c r="G463" s="1">
        <v>14.0</v>
      </c>
      <c r="H463" s="1">
        <v>50.0</v>
      </c>
      <c r="I463" s="1" t="s">
        <v>98</v>
      </c>
      <c r="J463" s="1" t="s">
        <v>1439</v>
      </c>
      <c r="K463" s="1">
        <v>1.0</v>
      </c>
      <c r="L463" s="1" t="s">
        <v>1439</v>
      </c>
    </row>
    <row r="464" hidden="1">
      <c r="A464" s="34">
        <v>14.0</v>
      </c>
      <c r="B464" s="34">
        <v>40.0</v>
      </c>
      <c r="C464" s="34">
        <v>59.0</v>
      </c>
      <c r="D464" s="1" t="s">
        <v>98</v>
      </c>
      <c r="E464" s="1" t="s">
        <v>787</v>
      </c>
      <c r="F464" s="1" t="s">
        <v>1440</v>
      </c>
      <c r="G464" s="1">
        <v>14.0</v>
      </c>
      <c r="H464" s="1">
        <v>97.0</v>
      </c>
      <c r="I464" s="1" t="s">
        <v>98</v>
      </c>
      <c r="J464" s="1" t="s">
        <v>1441</v>
      </c>
      <c r="K464" s="1">
        <v>1.0</v>
      </c>
      <c r="L464" s="1" t="s">
        <v>1441</v>
      </c>
    </row>
    <row r="465" hidden="1">
      <c r="A465" s="34">
        <v>14.0</v>
      </c>
      <c r="B465" s="34">
        <v>40.0</v>
      </c>
      <c r="C465" s="34">
        <v>69.0</v>
      </c>
      <c r="D465" s="1" t="s">
        <v>98</v>
      </c>
      <c r="E465" s="1" t="s">
        <v>787</v>
      </c>
      <c r="F465" s="1" t="s">
        <v>1442</v>
      </c>
      <c r="G465" s="1">
        <v>14.0</v>
      </c>
      <c r="H465" s="1">
        <v>36.0</v>
      </c>
      <c r="I465" s="1" t="s">
        <v>98</v>
      </c>
      <c r="J465" s="1" t="s">
        <v>1443</v>
      </c>
      <c r="K465" s="1">
        <v>1.0</v>
      </c>
      <c r="L465" s="1" t="s">
        <v>1443</v>
      </c>
    </row>
    <row r="466" hidden="1">
      <c r="A466" s="34">
        <v>14.0</v>
      </c>
      <c r="B466" s="34">
        <v>40.0</v>
      </c>
      <c r="C466" s="34">
        <v>72.0</v>
      </c>
      <c r="D466" s="1" t="s">
        <v>98</v>
      </c>
      <c r="E466" s="1" t="s">
        <v>787</v>
      </c>
      <c r="F466" s="1" t="s">
        <v>1444</v>
      </c>
      <c r="G466" s="1">
        <v>14.0</v>
      </c>
      <c r="H466" s="1">
        <v>24.0</v>
      </c>
      <c r="I466" s="1" t="s">
        <v>98</v>
      </c>
      <c r="J466" s="1" t="s">
        <v>1420</v>
      </c>
      <c r="K466" s="1">
        <v>1.0</v>
      </c>
      <c r="L466" s="1" t="s">
        <v>1420</v>
      </c>
    </row>
    <row r="467" hidden="1">
      <c r="A467" s="34">
        <v>14.0</v>
      </c>
      <c r="B467" s="34">
        <v>40.0</v>
      </c>
      <c r="C467" s="34">
        <v>73.0</v>
      </c>
      <c r="D467" s="1" t="s">
        <v>98</v>
      </c>
      <c r="E467" s="1" t="s">
        <v>787</v>
      </c>
      <c r="F467" s="1" t="s">
        <v>1445</v>
      </c>
      <c r="G467" s="1">
        <v>14.0</v>
      </c>
      <c r="H467" s="1">
        <v>77.0</v>
      </c>
      <c r="I467" s="1" t="s">
        <v>98</v>
      </c>
      <c r="J467" s="1" t="s">
        <v>1434</v>
      </c>
      <c r="K467" s="1">
        <v>1.0</v>
      </c>
      <c r="L467" s="1" t="s">
        <v>1434</v>
      </c>
    </row>
    <row r="468" hidden="1">
      <c r="A468" s="34">
        <v>14.0</v>
      </c>
      <c r="B468" s="34">
        <v>40.0</v>
      </c>
      <c r="C468" s="34">
        <v>74.0</v>
      </c>
      <c r="D468" s="1" t="s">
        <v>98</v>
      </c>
      <c r="E468" s="1" t="s">
        <v>787</v>
      </c>
      <c r="F468" s="1" t="s">
        <v>1446</v>
      </c>
      <c r="G468" s="1">
        <v>14.0</v>
      </c>
      <c r="H468" s="1">
        <v>84.0</v>
      </c>
      <c r="I468" s="1" t="s">
        <v>98</v>
      </c>
      <c r="J468" s="1" t="s">
        <v>1447</v>
      </c>
      <c r="K468" s="1">
        <v>1.0</v>
      </c>
      <c r="L468" s="1" t="s">
        <v>1447</v>
      </c>
    </row>
    <row r="469" hidden="1">
      <c r="A469" s="34">
        <v>14.0</v>
      </c>
      <c r="B469" s="34">
        <v>40.0</v>
      </c>
      <c r="C469" s="34">
        <v>75.0</v>
      </c>
      <c r="D469" s="1" t="s">
        <v>98</v>
      </c>
      <c r="E469" s="1" t="s">
        <v>787</v>
      </c>
      <c r="F469" s="1" t="s">
        <v>1448</v>
      </c>
      <c r="G469" s="1">
        <v>14.0</v>
      </c>
      <c r="H469" s="1">
        <v>88.0</v>
      </c>
      <c r="I469" s="1" t="s">
        <v>98</v>
      </c>
      <c r="J469" s="1" t="s">
        <v>1449</v>
      </c>
      <c r="K469" s="1">
        <v>1.0</v>
      </c>
      <c r="L469" s="1" t="s">
        <v>1449</v>
      </c>
    </row>
    <row r="470" hidden="1">
      <c r="A470" s="34">
        <v>14.0</v>
      </c>
      <c r="B470" s="34">
        <v>40.0</v>
      </c>
      <c r="C470" s="34">
        <v>77.0</v>
      </c>
      <c r="D470" s="1" t="s">
        <v>98</v>
      </c>
      <c r="E470" s="1" t="s">
        <v>787</v>
      </c>
      <c r="F470" s="1" t="s">
        <v>1450</v>
      </c>
      <c r="G470" s="1">
        <v>14.0</v>
      </c>
      <c r="H470" s="1">
        <v>119.0</v>
      </c>
      <c r="I470" s="1" t="s">
        <v>98</v>
      </c>
      <c r="J470" s="1" t="s">
        <v>1451</v>
      </c>
      <c r="K470" s="1">
        <v>1.0</v>
      </c>
      <c r="L470" s="1" t="s">
        <v>1451</v>
      </c>
    </row>
    <row r="471" hidden="1">
      <c r="A471" s="34">
        <v>14.0</v>
      </c>
      <c r="B471" s="34">
        <v>40.0</v>
      </c>
      <c r="C471" s="34">
        <v>88.0</v>
      </c>
      <c r="D471" s="1" t="s">
        <v>98</v>
      </c>
      <c r="E471" s="1" t="s">
        <v>787</v>
      </c>
      <c r="F471" s="1" t="s">
        <v>1452</v>
      </c>
      <c r="G471" s="1">
        <v>14.0</v>
      </c>
      <c r="H471" s="1">
        <v>39.0</v>
      </c>
      <c r="I471" s="1" t="s">
        <v>98</v>
      </c>
      <c r="J471" s="1" t="s">
        <v>1357</v>
      </c>
      <c r="K471" s="1">
        <v>1.0</v>
      </c>
      <c r="L471" s="1" t="s">
        <v>1357</v>
      </c>
    </row>
    <row r="472" hidden="1">
      <c r="A472" s="34">
        <v>14.0</v>
      </c>
      <c r="B472" s="34">
        <v>40.0</v>
      </c>
      <c r="C472" s="34">
        <v>91.0</v>
      </c>
      <c r="D472" s="1" t="s">
        <v>98</v>
      </c>
      <c r="E472" s="1" t="s">
        <v>787</v>
      </c>
      <c r="F472" s="1" t="s">
        <v>1453</v>
      </c>
      <c r="G472" s="1">
        <v>14.0</v>
      </c>
      <c r="H472" s="1">
        <v>39.0</v>
      </c>
      <c r="I472" s="1" t="s">
        <v>98</v>
      </c>
      <c r="J472" s="1" t="s">
        <v>1357</v>
      </c>
      <c r="K472" s="1">
        <v>1.0</v>
      </c>
      <c r="L472" s="1" t="s">
        <v>1357</v>
      </c>
    </row>
    <row r="473" hidden="1">
      <c r="A473" s="34">
        <v>14.0</v>
      </c>
      <c r="B473" s="34">
        <v>40.0</v>
      </c>
      <c r="C473" s="34">
        <v>92.0</v>
      </c>
      <c r="D473" s="1" t="s">
        <v>98</v>
      </c>
      <c r="E473" s="1" t="s">
        <v>787</v>
      </c>
      <c r="F473" s="1" t="s">
        <v>1454</v>
      </c>
      <c r="G473" s="1">
        <v>14.0</v>
      </c>
      <c r="H473" s="1">
        <v>39.0</v>
      </c>
      <c r="I473" s="1" t="s">
        <v>98</v>
      </c>
      <c r="J473" s="1" t="s">
        <v>1357</v>
      </c>
      <c r="K473" s="1">
        <v>1.0</v>
      </c>
      <c r="L473" s="1" t="s">
        <v>1357</v>
      </c>
    </row>
    <row r="474" hidden="1">
      <c r="A474" s="34">
        <v>14.0</v>
      </c>
      <c r="B474" s="34">
        <v>40.0</v>
      </c>
      <c r="C474" s="34">
        <v>96.0</v>
      </c>
      <c r="D474" s="1" t="s">
        <v>98</v>
      </c>
      <c r="E474" s="1" t="s">
        <v>787</v>
      </c>
      <c r="F474" s="1" t="s">
        <v>1455</v>
      </c>
      <c r="G474" s="1">
        <v>14.0</v>
      </c>
      <c r="H474" s="1">
        <v>58.0</v>
      </c>
      <c r="I474" s="1" t="s">
        <v>98</v>
      </c>
      <c r="J474" s="1" t="s">
        <v>1456</v>
      </c>
      <c r="K474" s="1">
        <v>1.0</v>
      </c>
      <c r="L474" s="1" t="s">
        <v>1456</v>
      </c>
    </row>
    <row r="475" hidden="1">
      <c r="A475" s="34">
        <v>14.0</v>
      </c>
      <c r="B475" s="34">
        <v>40.0</v>
      </c>
      <c r="C475" s="34">
        <v>97.0</v>
      </c>
      <c r="D475" s="1" t="s">
        <v>98</v>
      </c>
      <c r="E475" s="1" t="s">
        <v>787</v>
      </c>
      <c r="F475" s="1" t="s">
        <v>1457</v>
      </c>
      <c r="G475" s="1">
        <v>14.0</v>
      </c>
      <c r="H475" s="1">
        <v>55.0</v>
      </c>
      <c r="I475" s="1" t="s">
        <v>98</v>
      </c>
      <c r="J475" s="1" t="s">
        <v>1458</v>
      </c>
      <c r="K475" s="1">
        <v>1.0</v>
      </c>
      <c r="L475" s="1" t="s">
        <v>1458</v>
      </c>
    </row>
    <row r="476" hidden="1">
      <c r="A476" s="34">
        <v>14.0</v>
      </c>
      <c r="B476" s="34">
        <v>40.0</v>
      </c>
      <c r="C476" s="34">
        <v>98.0</v>
      </c>
      <c r="D476" s="1" t="s">
        <v>98</v>
      </c>
      <c r="E476" s="1" t="s">
        <v>787</v>
      </c>
      <c r="F476" s="1" t="s">
        <v>1459</v>
      </c>
      <c r="G476" s="1">
        <v>14.0</v>
      </c>
      <c r="H476" s="1">
        <v>95.0</v>
      </c>
      <c r="I476" s="1" t="s">
        <v>98</v>
      </c>
      <c r="J476" s="1" t="s">
        <v>1460</v>
      </c>
      <c r="K476" s="1">
        <v>1.0</v>
      </c>
      <c r="L476" s="1" t="s">
        <v>1461</v>
      </c>
    </row>
    <row r="477" hidden="1">
      <c r="A477" s="34">
        <v>14.0</v>
      </c>
      <c r="B477" s="34">
        <v>40.0</v>
      </c>
      <c r="C477" s="34">
        <v>137.0</v>
      </c>
      <c r="D477" s="1" t="s">
        <v>98</v>
      </c>
      <c r="E477" s="1" t="s">
        <v>787</v>
      </c>
      <c r="F477" s="1" t="s">
        <v>1462</v>
      </c>
      <c r="G477" s="1">
        <v>14.0</v>
      </c>
      <c r="H477" s="1">
        <v>7.0</v>
      </c>
      <c r="I477" s="1" t="s">
        <v>98</v>
      </c>
      <c r="J477" s="1" t="s">
        <v>1463</v>
      </c>
      <c r="K477" s="1">
        <v>1.0</v>
      </c>
      <c r="L477" s="1" t="s">
        <v>1464</v>
      </c>
    </row>
    <row r="478" hidden="1">
      <c r="A478" s="34">
        <v>14.0</v>
      </c>
      <c r="B478" s="34">
        <v>40.0</v>
      </c>
      <c r="C478" s="34">
        <v>138.0</v>
      </c>
      <c r="D478" s="1" t="s">
        <v>98</v>
      </c>
      <c r="E478" s="1" t="s">
        <v>787</v>
      </c>
      <c r="F478" s="1" t="s">
        <v>1467</v>
      </c>
      <c r="G478" s="1">
        <v>14.0</v>
      </c>
      <c r="H478" s="1">
        <v>12.0</v>
      </c>
      <c r="I478" s="1" t="s">
        <v>98</v>
      </c>
      <c r="J478" s="1" t="s">
        <v>1468</v>
      </c>
      <c r="K478" s="1">
        <v>1.0</v>
      </c>
      <c r="L478" s="1" t="s">
        <v>1468</v>
      </c>
    </row>
    <row r="479" hidden="1">
      <c r="A479" s="34">
        <v>14.0</v>
      </c>
      <c r="B479" s="34">
        <v>40.0</v>
      </c>
      <c r="C479" s="34">
        <v>139.0</v>
      </c>
      <c r="D479" s="1" t="s">
        <v>98</v>
      </c>
      <c r="E479" s="1" t="s">
        <v>787</v>
      </c>
      <c r="F479" s="1" t="s">
        <v>1469</v>
      </c>
      <c r="G479" s="1">
        <v>14.0</v>
      </c>
      <c r="H479" s="1">
        <v>38.0</v>
      </c>
      <c r="I479" s="1" t="s">
        <v>98</v>
      </c>
      <c r="J479" s="1" t="s">
        <v>1470</v>
      </c>
      <c r="K479" s="1">
        <v>1.0</v>
      </c>
      <c r="L479" s="1" t="s">
        <v>1470</v>
      </c>
    </row>
    <row r="480" hidden="1">
      <c r="A480" s="34">
        <v>14.0</v>
      </c>
      <c r="B480" s="34">
        <v>40.0</v>
      </c>
      <c r="C480" s="34">
        <v>140.0</v>
      </c>
      <c r="D480" s="1" t="s">
        <v>98</v>
      </c>
      <c r="E480" s="1" t="s">
        <v>787</v>
      </c>
      <c r="F480" s="1" t="s">
        <v>1471</v>
      </c>
      <c r="G480" s="1">
        <v>14.0</v>
      </c>
      <c r="H480" s="1">
        <v>40.0</v>
      </c>
      <c r="I480" s="1" t="s">
        <v>98</v>
      </c>
      <c r="J480" s="1" t="s">
        <v>1472</v>
      </c>
      <c r="K480" s="1">
        <v>1.0</v>
      </c>
      <c r="L480" s="1" t="s">
        <v>1472</v>
      </c>
    </row>
    <row r="481" hidden="1">
      <c r="A481" s="34">
        <v>14.0</v>
      </c>
      <c r="B481" s="34">
        <v>40.0</v>
      </c>
      <c r="C481" s="34">
        <v>142.0</v>
      </c>
      <c r="D481" s="1" t="s">
        <v>98</v>
      </c>
      <c r="E481" s="1" t="s">
        <v>787</v>
      </c>
      <c r="F481" s="1" t="s">
        <v>1473</v>
      </c>
      <c r="G481" s="1">
        <v>14.0</v>
      </c>
      <c r="H481" s="1">
        <v>62.0</v>
      </c>
      <c r="I481" s="1" t="s">
        <v>98</v>
      </c>
      <c r="J481" s="1" t="s">
        <v>1474</v>
      </c>
      <c r="K481" s="1">
        <v>1.0</v>
      </c>
      <c r="L481" s="1" t="s">
        <v>1474</v>
      </c>
    </row>
    <row r="482" hidden="1">
      <c r="A482" s="34">
        <v>14.0</v>
      </c>
      <c r="B482" s="34">
        <v>40.0</v>
      </c>
      <c r="C482" s="34">
        <v>143.0</v>
      </c>
      <c r="D482" s="1" t="s">
        <v>98</v>
      </c>
      <c r="E482" s="1" t="s">
        <v>787</v>
      </c>
      <c r="F482" s="1" t="s">
        <v>1475</v>
      </c>
      <c r="G482" s="1">
        <v>14.0</v>
      </c>
      <c r="H482" s="1">
        <v>75.0</v>
      </c>
      <c r="I482" s="1" t="s">
        <v>98</v>
      </c>
      <c r="J482" s="1" t="s">
        <v>1131</v>
      </c>
      <c r="K482" s="1">
        <v>1.0</v>
      </c>
      <c r="L482" s="1" t="s">
        <v>1131</v>
      </c>
    </row>
    <row r="483" hidden="1">
      <c r="A483" s="34">
        <v>14.0</v>
      </c>
      <c r="B483" s="34">
        <v>40.0</v>
      </c>
      <c r="C483" s="34">
        <v>144.0</v>
      </c>
      <c r="D483" s="1" t="s">
        <v>98</v>
      </c>
      <c r="E483" s="1" t="s">
        <v>787</v>
      </c>
      <c r="F483" s="1" t="s">
        <v>1476</v>
      </c>
      <c r="G483" s="1">
        <v>14.0</v>
      </c>
      <c r="H483" s="1">
        <v>80.0</v>
      </c>
      <c r="I483" s="1" t="s">
        <v>98</v>
      </c>
      <c r="J483" s="1" t="s">
        <v>1477</v>
      </c>
      <c r="K483" s="1">
        <v>1.0</v>
      </c>
      <c r="L483" s="1" t="s">
        <v>1477</v>
      </c>
    </row>
    <row r="484" hidden="1">
      <c r="A484" s="34">
        <v>14.0</v>
      </c>
      <c r="B484" s="34">
        <v>40.0</v>
      </c>
      <c r="C484" s="34">
        <v>147.0</v>
      </c>
      <c r="D484" s="1" t="s">
        <v>98</v>
      </c>
      <c r="E484" s="1" t="s">
        <v>787</v>
      </c>
      <c r="F484" s="1" t="s">
        <v>1478</v>
      </c>
      <c r="G484" s="1">
        <v>14.0</v>
      </c>
      <c r="H484" s="1">
        <v>10.0</v>
      </c>
      <c r="I484" s="1" t="s">
        <v>98</v>
      </c>
      <c r="J484" s="1" t="s">
        <v>1479</v>
      </c>
      <c r="K484" s="1">
        <v>1.0</v>
      </c>
      <c r="L484" s="1" t="s">
        <v>1479</v>
      </c>
    </row>
    <row r="485" hidden="1">
      <c r="A485" s="34">
        <v>14.0</v>
      </c>
      <c r="B485" s="34">
        <v>40.0</v>
      </c>
      <c r="C485" s="34">
        <v>148.0</v>
      </c>
      <c r="D485" s="1" t="s">
        <v>98</v>
      </c>
      <c r="E485" s="1" t="s">
        <v>787</v>
      </c>
      <c r="F485" s="1" t="s">
        <v>1480</v>
      </c>
      <c r="G485" s="1">
        <v>14.0</v>
      </c>
      <c r="H485" s="1">
        <v>11.0</v>
      </c>
      <c r="I485" s="1" t="s">
        <v>98</v>
      </c>
      <c r="J485" s="1" t="s">
        <v>1481</v>
      </c>
      <c r="K485" s="1">
        <v>1.0</v>
      </c>
      <c r="L485" s="1" t="s">
        <v>1481</v>
      </c>
    </row>
    <row r="486" hidden="1">
      <c r="A486" s="34">
        <v>14.0</v>
      </c>
      <c r="B486" s="34">
        <v>40.0</v>
      </c>
      <c r="C486" s="34">
        <v>150.0</v>
      </c>
      <c r="D486" s="1" t="s">
        <v>98</v>
      </c>
      <c r="E486" s="1" t="s">
        <v>787</v>
      </c>
      <c r="F486" s="1" t="s">
        <v>1482</v>
      </c>
      <c r="G486" s="1">
        <v>14.0</v>
      </c>
      <c r="H486" s="1">
        <v>26.0</v>
      </c>
      <c r="I486" s="1" t="s">
        <v>98</v>
      </c>
      <c r="J486" s="1" t="s">
        <v>1483</v>
      </c>
      <c r="K486" s="1">
        <v>1.0</v>
      </c>
      <c r="L486" s="1" t="s">
        <v>1484</v>
      </c>
    </row>
    <row r="487" hidden="1">
      <c r="A487" s="34">
        <v>14.0</v>
      </c>
      <c r="B487" s="34">
        <v>40.0</v>
      </c>
      <c r="C487" s="34">
        <v>151.0</v>
      </c>
      <c r="D487" s="1" t="s">
        <v>98</v>
      </c>
      <c r="E487" s="1" t="s">
        <v>787</v>
      </c>
      <c r="F487" s="1" t="s">
        <v>1485</v>
      </c>
      <c r="G487" s="1">
        <v>14.0</v>
      </c>
      <c r="H487" s="1">
        <v>32.0</v>
      </c>
      <c r="I487" s="1" t="s">
        <v>98</v>
      </c>
      <c r="J487" s="1" t="s">
        <v>1486</v>
      </c>
      <c r="K487" s="1">
        <v>1.0</v>
      </c>
      <c r="L487" s="1" t="s">
        <v>1486</v>
      </c>
    </row>
    <row r="488" hidden="1">
      <c r="A488" s="34">
        <v>14.0</v>
      </c>
      <c r="B488" s="34">
        <v>40.0</v>
      </c>
      <c r="C488" s="34">
        <v>153.0</v>
      </c>
      <c r="D488" s="1" t="s">
        <v>98</v>
      </c>
      <c r="E488" s="1" t="s">
        <v>787</v>
      </c>
      <c r="F488" s="1" t="s">
        <v>1487</v>
      </c>
      <c r="G488" s="1">
        <v>14.0</v>
      </c>
      <c r="H488" s="1">
        <v>43.0</v>
      </c>
      <c r="I488" s="1" t="s">
        <v>98</v>
      </c>
      <c r="J488" s="1" t="s">
        <v>1331</v>
      </c>
      <c r="K488" s="1">
        <v>62.0</v>
      </c>
      <c r="L488" s="1" t="s">
        <v>1488</v>
      </c>
    </row>
    <row r="489" hidden="1">
      <c r="A489" s="34">
        <v>14.0</v>
      </c>
      <c r="B489" s="34">
        <v>40.0</v>
      </c>
      <c r="C489" s="34">
        <v>154.0</v>
      </c>
      <c r="D489" s="1" t="s">
        <v>98</v>
      </c>
      <c r="E489" s="1" t="s">
        <v>787</v>
      </c>
      <c r="F489" s="1" t="s">
        <v>1489</v>
      </c>
      <c r="G489" s="1">
        <v>14.0</v>
      </c>
      <c r="H489" s="1">
        <v>90.0</v>
      </c>
      <c r="I489" s="1" t="s">
        <v>98</v>
      </c>
      <c r="J489" s="1" t="s">
        <v>1490</v>
      </c>
      <c r="K489" s="1">
        <v>1.0</v>
      </c>
      <c r="L489" s="1" t="s">
        <v>1490</v>
      </c>
    </row>
    <row r="490" hidden="1">
      <c r="A490" s="34">
        <v>14.0</v>
      </c>
      <c r="B490" s="34">
        <v>40.0</v>
      </c>
      <c r="C490" s="34">
        <v>155.0</v>
      </c>
      <c r="D490" s="1" t="s">
        <v>98</v>
      </c>
      <c r="E490" s="1" t="s">
        <v>787</v>
      </c>
      <c r="F490" s="1" t="s">
        <v>1491</v>
      </c>
      <c r="G490" s="1">
        <v>14.0</v>
      </c>
      <c r="H490" s="1">
        <v>96.0</v>
      </c>
      <c r="I490" s="1" t="s">
        <v>98</v>
      </c>
      <c r="J490" s="1" t="s">
        <v>1492</v>
      </c>
      <c r="K490" s="1">
        <v>1.0</v>
      </c>
      <c r="L490" s="1" t="s">
        <v>1493</v>
      </c>
    </row>
    <row r="491" hidden="1">
      <c r="A491" s="34">
        <v>14.0</v>
      </c>
      <c r="B491" s="34">
        <v>40.0</v>
      </c>
      <c r="C491" s="34">
        <v>156.0</v>
      </c>
      <c r="D491" s="1" t="s">
        <v>98</v>
      </c>
      <c r="E491" s="1" t="s">
        <v>787</v>
      </c>
      <c r="F491" s="1" t="s">
        <v>1494</v>
      </c>
      <c r="G491" s="1">
        <v>14.0</v>
      </c>
      <c r="H491" s="1">
        <v>107.0</v>
      </c>
      <c r="I491" s="1" t="s">
        <v>98</v>
      </c>
      <c r="J491" s="1" t="s">
        <v>1495</v>
      </c>
      <c r="K491" s="1">
        <v>1.0</v>
      </c>
      <c r="L491" s="1" t="s">
        <v>1495</v>
      </c>
    </row>
    <row r="492" hidden="1">
      <c r="A492" s="34">
        <v>14.0</v>
      </c>
      <c r="B492" s="34">
        <v>50.0</v>
      </c>
      <c r="C492" s="34">
        <v>42.0</v>
      </c>
      <c r="D492" s="1" t="s">
        <v>98</v>
      </c>
      <c r="E492" s="1" t="s">
        <v>1496</v>
      </c>
      <c r="F492" s="1" t="s">
        <v>1497</v>
      </c>
      <c r="G492" s="1">
        <v>14.0</v>
      </c>
      <c r="H492" s="1">
        <v>67.0</v>
      </c>
      <c r="I492" s="1" t="s">
        <v>98</v>
      </c>
      <c r="J492" s="1" t="s">
        <v>1496</v>
      </c>
      <c r="K492" s="1">
        <v>1.0</v>
      </c>
      <c r="L492" s="1" t="s">
        <v>1496</v>
      </c>
    </row>
    <row r="493" hidden="1">
      <c r="A493" s="34">
        <v>14.0</v>
      </c>
      <c r="B493" s="34">
        <v>50.0</v>
      </c>
      <c r="C493" s="34">
        <v>43.0</v>
      </c>
      <c r="D493" s="1" t="s">
        <v>98</v>
      </c>
      <c r="E493" s="1" t="s">
        <v>1496</v>
      </c>
      <c r="F493" s="1" t="s">
        <v>1498</v>
      </c>
      <c r="G493" s="1">
        <v>14.0</v>
      </c>
      <c r="H493" s="1">
        <v>100.0</v>
      </c>
      <c r="I493" s="1" t="s">
        <v>98</v>
      </c>
      <c r="J493" s="1" t="s">
        <v>1499</v>
      </c>
      <c r="K493" s="1">
        <v>1.0</v>
      </c>
      <c r="L493" s="1" t="s">
        <v>1499</v>
      </c>
    </row>
    <row r="494" hidden="1">
      <c r="A494" s="34">
        <v>14.0</v>
      </c>
      <c r="B494" s="34">
        <v>50.0</v>
      </c>
      <c r="C494" s="34">
        <v>70.0</v>
      </c>
      <c r="D494" s="1" t="s">
        <v>98</v>
      </c>
      <c r="E494" s="1" t="s">
        <v>1496</v>
      </c>
      <c r="F494" s="1" t="s">
        <v>1501</v>
      </c>
      <c r="G494" s="1">
        <v>14.0</v>
      </c>
      <c r="H494" s="1">
        <v>43.0</v>
      </c>
      <c r="I494" s="1" t="s">
        <v>98</v>
      </c>
      <c r="J494" s="1" t="s">
        <v>1331</v>
      </c>
      <c r="K494" s="1">
        <v>137.0</v>
      </c>
      <c r="L494" s="1" t="s">
        <v>1502</v>
      </c>
    </row>
    <row r="495" hidden="1">
      <c r="A495" s="34">
        <v>14.0</v>
      </c>
      <c r="B495" s="34">
        <v>50.0</v>
      </c>
      <c r="C495" s="34">
        <v>80.0</v>
      </c>
      <c r="D495" s="1" t="s">
        <v>98</v>
      </c>
      <c r="E495" s="1" t="s">
        <v>1496</v>
      </c>
      <c r="F495" s="1" t="s">
        <v>1504</v>
      </c>
      <c r="G495" s="1">
        <v>14.0</v>
      </c>
      <c r="H495" s="1">
        <v>22.0</v>
      </c>
      <c r="I495" s="1" t="s">
        <v>98</v>
      </c>
      <c r="J495" s="1" t="s">
        <v>1506</v>
      </c>
      <c r="K495" s="1">
        <v>1.0</v>
      </c>
      <c r="L495" s="1" t="s">
        <v>1506</v>
      </c>
    </row>
    <row r="496" hidden="1">
      <c r="A496" s="34">
        <v>14.0</v>
      </c>
      <c r="B496" s="34">
        <v>50.0</v>
      </c>
      <c r="C496" s="34">
        <v>157.0</v>
      </c>
      <c r="D496" s="1" t="s">
        <v>98</v>
      </c>
      <c r="E496" s="1" t="s">
        <v>1496</v>
      </c>
      <c r="F496" s="1" t="s">
        <v>1508</v>
      </c>
      <c r="G496" s="1">
        <v>14.0</v>
      </c>
      <c r="H496" s="1">
        <v>20.0</v>
      </c>
      <c r="I496" s="1" t="s">
        <v>98</v>
      </c>
      <c r="J496" s="1" t="s">
        <v>1509</v>
      </c>
      <c r="K496" s="1">
        <v>1.0</v>
      </c>
      <c r="L496" s="1" t="s">
        <v>1510</v>
      </c>
    </row>
    <row r="497" hidden="1">
      <c r="A497" s="34">
        <v>14.0</v>
      </c>
      <c r="B497" s="34">
        <v>50.0</v>
      </c>
      <c r="C497" s="34">
        <v>158.0</v>
      </c>
      <c r="D497" s="1" t="s">
        <v>98</v>
      </c>
      <c r="E497" s="1" t="s">
        <v>1496</v>
      </c>
      <c r="F497" s="1" t="s">
        <v>1514</v>
      </c>
      <c r="G497" s="1">
        <v>14.0</v>
      </c>
      <c r="H497" s="1">
        <v>20.0</v>
      </c>
      <c r="I497" s="1" t="s">
        <v>98</v>
      </c>
      <c r="J497" s="1" t="s">
        <v>1509</v>
      </c>
      <c r="K497" s="1">
        <v>70.0</v>
      </c>
      <c r="L497" s="1" t="s">
        <v>1515</v>
      </c>
    </row>
    <row r="498" hidden="1">
      <c r="A498" s="34">
        <v>14.0</v>
      </c>
      <c r="B498" s="34">
        <v>50.0</v>
      </c>
      <c r="C498" s="34">
        <v>162.0</v>
      </c>
      <c r="D498" s="1" t="s">
        <v>98</v>
      </c>
      <c r="E498" s="1" t="s">
        <v>1496</v>
      </c>
      <c r="F498" s="1" t="s">
        <v>1516</v>
      </c>
      <c r="G498" s="1">
        <v>14.0</v>
      </c>
      <c r="H498" s="1">
        <v>22.0</v>
      </c>
      <c r="I498" s="1" t="s">
        <v>98</v>
      </c>
      <c r="J498" s="1" t="s">
        <v>1506</v>
      </c>
      <c r="K498" s="1">
        <v>33.0</v>
      </c>
      <c r="L498" s="1" t="s">
        <v>1517</v>
      </c>
    </row>
    <row r="499" hidden="1">
      <c r="A499" s="34">
        <v>14.0</v>
      </c>
      <c r="B499" s="34">
        <v>50.0</v>
      </c>
      <c r="C499" s="34">
        <v>170.0</v>
      </c>
      <c r="D499" s="1" t="s">
        <v>98</v>
      </c>
      <c r="E499" s="1" t="s">
        <v>1496</v>
      </c>
      <c r="F499" s="1" t="s">
        <v>1518</v>
      </c>
      <c r="G499" s="1">
        <v>14.0</v>
      </c>
      <c r="H499" s="1">
        <v>67.0</v>
      </c>
      <c r="I499" s="1" t="s">
        <v>98</v>
      </c>
      <c r="J499" s="1" t="s">
        <v>1496</v>
      </c>
      <c r="K499" s="1">
        <v>1.0</v>
      </c>
      <c r="L499" s="1" t="s">
        <v>1496</v>
      </c>
    </row>
    <row r="500" hidden="1">
      <c r="A500" s="34">
        <v>14.0</v>
      </c>
      <c r="B500" s="34">
        <v>50.0</v>
      </c>
      <c r="C500" s="34">
        <v>179.0</v>
      </c>
      <c r="D500" s="1" t="s">
        <v>98</v>
      </c>
      <c r="E500" s="1" t="s">
        <v>1496</v>
      </c>
      <c r="F500" s="1" t="s">
        <v>1519</v>
      </c>
      <c r="G500" s="1">
        <v>14.0</v>
      </c>
      <c r="H500" s="1">
        <v>67.0</v>
      </c>
      <c r="I500" s="1" t="s">
        <v>98</v>
      </c>
      <c r="J500" s="1" t="s">
        <v>1496</v>
      </c>
      <c r="K500" s="1">
        <v>1.0</v>
      </c>
      <c r="L500" s="1" t="s">
        <v>1496</v>
      </c>
    </row>
    <row r="501" hidden="1">
      <c r="A501" s="34">
        <v>15.0</v>
      </c>
      <c r="B501" s="34">
        <v>6.0</v>
      </c>
      <c r="C501" s="34">
        <v>52.0</v>
      </c>
      <c r="D501" s="1" t="s">
        <v>1520</v>
      </c>
      <c r="E501" s="1" t="s">
        <v>65</v>
      </c>
      <c r="F501" s="1" t="s">
        <v>1521</v>
      </c>
      <c r="G501" s="1">
        <v>15.0</v>
      </c>
      <c r="H501" s="1">
        <v>121.0</v>
      </c>
      <c r="I501" s="1" t="s">
        <v>388</v>
      </c>
      <c r="J501" s="1" t="s">
        <v>1522</v>
      </c>
      <c r="K501" s="1">
        <v>1.0</v>
      </c>
      <c r="L501" s="1" t="s">
        <v>1522</v>
      </c>
    </row>
    <row r="502" hidden="1">
      <c r="A502" s="34">
        <v>15.0</v>
      </c>
      <c r="B502" s="34">
        <v>6.0</v>
      </c>
      <c r="C502" s="34">
        <v>56.0</v>
      </c>
      <c r="D502" s="1" t="s">
        <v>1520</v>
      </c>
      <c r="E502" s="1" t="s">
        <v>65</v>
      </c>
      <c r="F502" s="1" t="s">
        <v>1523</v>
      </c>
      <c r="G502" s="1">
        <v>15.0</v>
      </c>
      <c r="H502" s="1">
        <v>45.0</v>
      </c>
      <c r="I502" s="1" t="s">
        <v>388</v>
      </c>
      <c r="J502" s="1" t="s">
        <v>1524</v>
      </c>
      <c r="K502" s="1">
        <v>1.0</v>
      </c>
      <c r="L502" s="1" t="s">
        <v>1525</v>
      </c>
    </row>
    <row r="503" hidden="1">
      <c r="A503" s="34">
        <v>15.0</v>
      </c>
      <c r="B503" s="34">
        <v>6.0</v>
      </c>
      <c r="C503" s="34">
        <v>59.0</v>
      </c>
      <c r="D503" s="1" t="s">
        <v>1520</v>
      </c>
      <c r="E503" s="1" t="s">
        <v>65</v>
      </c>
      <c r="F503" s="1" t="s">
        <v>1526</v>
      </c>
      <c r="G503" s="1">
        <v>15.0</v>
      </c>
      <c r="H503" s="1">
        <v>109.0</v>
      </c>
      <c r="I503" s="1" t="s">
        <v>388</v>
      </c>
      <c r="J503" s="1" t="s">
        <v>1527</v>
      </c>
      <c r="K503" s="1">
        <v>1.0</v>
      </c>
      <c r="L503" s="1" t="s">
        <v>1528</v>
      </c>
    </row>
    <row r="504" hidden="1">
      <c r="A504" s="34">
        <v>15.0</v>
      </c>
      <c r="B504" s="34">
        <v>6.0</v>
      </c>
      <c r="C504" s="34">
        <v>60.0</v>
      </c>
      <c r="D504" s="1" t="s">
        <v>1520</v>
      </c>
      <c r="E504" s="1" t="s">
        <v>65</v>
      </c>
      <c r="F504" s="1" t="s">
        <v>1529</v>
      </c>
      <c r="G504" s="1">
        <v>15.0</v>
      </c>
      <c r="H504" s="1">
        <v>104.0</v>
      </c>
      <c r="I504" s="1" t="s">
        <v>388</v>
      </c>
      <c r="J504" s="1" t="s">
        <v>1530</v>
      </c>
      <c r="K504" s="1">
        <v>1.0</v>
      </c>
      <c r="L504" s="1" t="s">
        <v>1531</v>
      </c>
    </row>
    <row r="505" hidden="1">
      <c r="A505" s="34">
        <v>15.0</v>
      </c>
      <c r="B505" s="34">
        <v>6.0</v>
      </c>
      <c r="C505" s="34">
        <v>62.0</v>
      </c>
      <c r="D505" s="1" t="s">
        <v>1520</v>
      </c>
      <c r="E505" s="1" t="s">
        <v>65</v>
      </c>
      <c r="F505" s="1" t="s">
        <v>1532</v>
      </c>
      <c r="G505" s="1">
        <v>15.0</v>
      </c>
      <c r="H505" s="1">
        <v>24.0</v>
      </c>
      <c r="I505" s="1" t="s">
        <v>388</v>
      </c>
      <c r="J505" s="1" t="s">
        <v>1533</v>
      </c>
      <c r="K505" s="1">
        <v>1.0</v>
      </c>
      <c r="L505" s="1" t="s">
        <v>1533</v>
      </c>
    </row>
    <row r="506" hidden="1">
      <c r="A506" s="34">
        <v>15.0</v>
      </c>
      <c r="B506" s="34">
        <v>6.0</v>
      </c>
      <c r="C506" s="34">
        <v>64.0</v>
      </c>
      <c r="D506" s="1" t="s">
        <v>1520</v>
      </c>
      <c r="E506" s="1" t="s">
        <v>65</v>
      </c>
      <c r="F506" s="1" t="s">
        <v>64</v>
      </c>
      <c r="G506" s="1">
        <v>15.0</v>
      </c>
      <c r="H506" s="1">
        <v>104.0</v>
      </c>
      <c r="I506" s="1" t="s">
        <v>388</v>
      </c>
      <c r="J506" s="1" t="s">
        <v>1530</v>
      </c>
      <c r="K506" s="1">
        <v>1.0</v>
      </c>
      <c r="L506" s="1" t="s">
        <v>1531</v>
      </c>
    </row>
    <row r="507" hidden="1">
      <c r="A507" s="34">
        <v>15.0</v>
      </c>
      <c r="B507" s="34">
        <v>6.0</v>
      </c>
      <c r="C507" s="34">
        <v>79.0</v>
      </c>
      <c r="D507" s="1" t="s">
        <v>1520</v>
      </c>
      <c r="E507" s="1" t="s">
        <v>65</v>
      </c>
      <c r="F507" s="1" t="s">
        <v>1534</v>
      </c>
      <c r="G507" s="1">
        <v>15.0</v>
      </c>
      <c r="H507" s="1">
        <v>104.0</v>
      </c>
      <c r="I507" s="1" t="s">
        <v>388</v>
      </c>
      <c r="J507" s="1" t="s">
        <v>1530</v>
      </c>
      <c r="K507" s="1">
        <v>1.0</v>
      </c>
      <c r="L507" s="1" t="s">
        <v>1531</v>
      </c>
    </row>
    <row r="508" hidden="1">
      <c r="A508" s="34">
        <v>15.0</v>
      </c>
      <c r="B508" s="34">
        <v>6.0</v>
      </c>
      <c r="C508" s="34">
        <v>95.0</v>
      </c>
      <c r="D508" s="1" t="s">
        <v>1520</v>
      </c>
      <c r="E508" s="1" t="s">
        <v>65</v>
      </c>
      <c r="F508" s="1" t="s">
        <v>1535</v>
      </c>
      <c r="G508" s="1">
        <v>15.0</v>
      </c>
      <c r="H508" s="1">
        <v>104.0</v>
      </c>
      <c r="I508" s="1" t="s">
        <v>388</v>
      </c>
      <c r="J508" s="1" t="s">
        <v>1530</v>
      </c>
      <c r="K508" s="1">
        <v>1.0</v>
      </c>
      <c r="L508" s="1" t="s">
        <v>1531</v>
      </c>
    </row>
    <row r="509" hidden="1">
      <c r="A509" s="34">
        <v>15.0</v>
      </c>
      <c r="B509" s="34">
        <v>6.0</v>
      </c>
      <c r="C509" s="34">
        <v>184.0</v>
      </c>
      <c r="D509" s="1" t="s">
        <v>1520</v>
      </c>
      <c r="E509" s="1" t="s">
        <v>65</v>
      </c>
      <c r="F509" s="1" t="s">
        <v>1536</v>
      </c>
      <c r="G509" s="1">
        <v>15.0</v>
      </c>
      <c r="H509" s="1">
        <v>121.0</v>
      </c>
      <c r="I509" s="1" t="s">
        <v>388</v>
      </c>
      <c r="J509" s="1" t="s">
        <v>1522</v>
      </c>
      <c r="K509" s="1">
        <v>1.0</v>
      </c>
      <c r="L509" s="1" t="s">
        <v>1522</v>
      </c>
    </row>
    <row r="510" hidden="1">
      <c r="A510" s="34">
        <v>15.0</v>
      </c>
      <c r="B510" s="34">
        <v>6.0</v>
      </c>
      <c r="C510" s="34">
        <v>185.0</v>
      </c>
      <c r="D510" s="1" t="s">
        <v>1520</v>
      </c>
      <c r="E510" s="1" t="s">
        <v>65</v>
      </c>
      <c r="F510" s="1" t="s">
        <v>1537</v>
      </c>
      <c r="G510" s="1">
        <v>15.0</v>
      </c>
      <c r="H510" s="1">
        <v>109.0</v>
      </c>
      <c r="I510" s="1" t="s">
        <v>388</v>
      </c>
      <c r="J510" s="1" t="s">
        <v>1527</v>
      </c>
      <c r="K510" s="1">
        <v>1.0</v>
      </c>
      <c r="L510" s="1" t="s">
        <v>1528</v>
      </c>
    </row>
    <row r="511" hidden="1">
      <c r="A511" s="34">
        <v>15.0</v>
      </c>
      <c r="B511" s="34">
        <v>6.0</v>
      </c>
      <c r="C511" s="34">
        <v>186.0</v>
      </c>
      <c r="D511" s="1" t="s">
        <v>1520</v>
      </c>
      <c r="E511" s="1" t="s">
        <v>65</v>
      </c>
      <c r="F511" s="1" t="s">
        <v>1538</v>
      </c>
      <c r="G511" s="1">
        <v>15.0</v>
      </c>
      <c r="H511" s="1">
        <v>104.0</v>
      </c>
      <c r="I511" s="1" t="s">
        <v>388</v>
      </c>
      <c r="J511" s="1" t="s">
        <v>1530</v>
      </c>
      <c r="K511" s="1">
        <v>1.0</v>
      </c>
      <c r="L511" s="1" t="s">
        <v>1531</v>
      </c>
    </row>
    <row r="512" hidden="1">
      <c r="A512" s="34">
        <v>15.0</v>
      </c>
      <c r="B512" s="34">
        <v>6.0</v>
      </c>
      <c r="C512" s="34">
        <v>188.0</v>
      </c>
      <c r="D512" s="1" t="s">
        <v>1520</v>
      </c>
      <c r="E512" s="1" t="s">
        <v>65</v>
      </c>
      <c r="F512" s="1" t="s">
        <v>1539</v>
      </c>
      <c r="G512" s="1">
        <v>15.0</v>
      </c>
      <c r="H512" s="1">
        <v>121.0</v>
      </c>
      <c r="I512" s="1" t="s">
        <v>388</v>
      </c>
      <c r="J512" s="1" t="s">
        <v>1522</v>
      </c>
      <c r="K512" s="1">
        <v>1.0</v>
      </c>
      <c r="L512" s="1" t="s">
        <v>1522</v>
      </c>
    </row>
    <row r="513" hidden="1">
      <c r="A513" s="34">
        <v>15.0</v>
      </c>
      <c r="B513" s="34">
        <v>54.0</v>
      </c>
      <c r="C513" s="34">
        <v>54.0</v>
      </c>
      <c r="D513" s="1" t="s">
        <v>1520</v>
      </c>
      <c r="E513" s="1" t="s">
        <v>1540</v>
      </c>
      <c r="F513" s="1" t="s">
        <v>1541</v>
      </c>
      <c r="G513" s="1">
        <v>15.0</v>
      </c>
      <c r="H513" s="1">
        <v>10.0</v>
      </c>
      <c r="I513" s="1" t="s">
        <v>388</v>
      </c>
      <c r="J513" s="1" t="s">
        <v>1542</v>
      </c>
      <c r="K513" s="1">
        <v>1.0</v>
      </c>
      <c r="L513" s="1" t="s">
        <v>1543</v>
      </c>
    </row>
    <row r="514" hidden="1">
      <c r="A514" s="34">
        <v>15.0</v>
      </c>
      <c r="B514" s="34">
        <v>54.0</v>
      </c>
      <c r="C514" s="34">
        <v>55.0</v>
      </c>
      <c r="D514" s="1" t="s">
        <v>1520</v>
      </c>
      <c r="E514" s="1" t="s">
        <v>1540</v>
      </c>
      <c r="F514" s="1" t="s">
        <v>1544</v>
      </c>
      <c r="G514" s="1">
        <v>15.0</v>
      </c>
      <c r="H514" s="1">
        <v>120.0</v>
      </c>
      <c r="I514" s="1" t="s">
        <v>388</v>
      </c>
      <c r="J514" s="1" t="s">
        <v>1545</v>
      </c>
      <c r="K514" s="1">
        <v>1.0</v>
      </c>
      <c r="L514" s="1" t="s">
        <v>1546</v>
      </c>
    </row>
    <row r="515" hidden="1">
      <c r="A515" s="34">
        <v>15.0</v>
      </c>
      <c r="B515" s="34">
        <v>54.0</v>
      </c>
      <c r="C515" s="34">
        <v>67.0</v>
      </c>
      <c r="D515" s="1" t="s">
        <v>1520</v>
      </c>
      <c r="E515" s="1" t="s">
        <v>1540</v>
      </c>
      <c r="F515" s="1" t="s">
        <v>1547</v>
      </c>
      <c r="G515" s="1">
        <v>15.0</v>
      </c>
      <c r="H515" s="1">
        <v>33.0</v>
      </c>
      <c r="I515" s="1" t="s">
        <v>388</v>
      </c>
      <c r="J515" s="1" t="s">
        <v>1548</v>
      </c>
      <c r="K515" s="1">
        <v>1.0</v>
      </c>
      <c r="L515" s="1" t="s">
        <v>1548</v>
      </c>
    </row>
    <row r="516" hidden="1">
      <c r="A516" s="34">
        <v>15.0</v>
      </c>
      <c r="B516" s="34">
        <v>54.0</v>
      </c>
      <c r="C516" s="34">
        <v>68.0</v>
      </c>
      <c r="D516" s="1" t="s">
        <v>1520</v>
      </c>
      <c r="E516" s="1" t="s">
        <v>1540</v>
      </c>
      <c r="F516" s="1" t="s">
        <v>1550</v>
      </c>
      <c r="G516" s="1">
        <v>15.0</v>
      </c>
      <c r="H516" s="1">
        <v>33.0</v>
      </c>
      <c r="I516" s="1" t="s">
        <v>388</v>
      </c>
      <c r="J516" s="1" t="s">
        <v>1548</v>
      </c>
      <c r="K516" s="1">
        <v>1.0</v>
      </c>
      <c r="L516" s="1" t="s">
        <v>1548</v>
      </c>
    </row>
    <row r="517" hidden="1">
      <c r="A517" s="34">
        <v>15.0</v>
      </c>
      <c r="B517" s="34">
        <v>54.0</v>
      </c>
      <c r="C517" s="34">
        <v>76.0</v>
      </c>
      <c r="D517" s="1" t="s">
        <v>1520</v>
      </c>
      <c r="E517" s="1" t="s">
        <v>1540</v>
      </c>
      <c r="F517" s="1" t="s">
        <v>1552</v>
      </c>
      <c r="G517" s="1">
        <v>15.0</v>
      </c>
      <c r="H517" s="1">
        <v>33.0</v>
      </c>
      <c r="I517" s="1" t="s">
        <v>388</v>
      </c>
      <c r="J517" s="1" t="s">
        <v>1548</v>
      </c>
      <c r="K517" s="1">
        <v>1.0</v>
      </c>
      <c r="L517" s="1" t="s">
        <v>1548</v>
      </c>
    </row>
    <row r="518" hidden="1">
      <c r="A518" s="34">
        <v>15.0</v>
      </c>
      <c r="B518" s="34">
        <v>54.0</v>
      </c>
      <c r="C518" s="34">
        <v>77.0</v>
      </c>
      <c r="D518" s="1" t="s">
        <v>1520</v>
      </c>
      <c r="E518" s="1" t="s">
        <v>1540</v>
      </c>
      <c r="F518" s="1" t="s">
        <v>1553</v>
      </c>
      <c r="G518" s="1">
        <v>15.0</v>
      </c>
      <c r="H518" s="1">
        <v>33.0</v>
      </c>
      <c r="I518" s="1" t="s">
        <v>388</v>
      </c>
      <c r="J518" s="1" t="s">
        <v>1548</v>
      </c>
      <c r="K518" s="1">
        <v>1.0</v>
      </c>
      <c r="L518" s="1" t="s">
        <v>1548</v>
      </c>
    </row>
    <row r="519" hidden="1">
      <c r="A519" s="34">
        <v>15.0</v>
      </c>
      <c r="B519" s="34">
        <v>54.0</v>
      </c>
      <c r="C519" s="34">
        <v>89.0</v>
      </c>
      <c r="D519" s="1" t="s">
        <v>1520</v>
      </c>
      <c r="E519" s="1" t="s">
        <v>1540</v>
      </c>
      <c r="F519" s="1" t="s">
        <v>1554</v>
      </c>
      <c r="G519" s="1">
        <v>15.0</v>
      </c>
      <c r="H519" s="1">
        <v>65.0</v>
      </c>
      <c r="I519" s="1" t="s">
        <v>388</v>
      </c>
      <c r="J519" s="1" t="s">
        <v>1555</v>
      </c>
      <c r="K519" s="1">
        <v>1.0</v>
      </c>
      <c r="L519" s="1" t="s">
        <v>1556</v>
      </c>
    </row>
    <row r="520" hidden="1">
      <c r="A520" s="34">
        <v>15.0</v>
      </c>
      <c r="B520" s="34">
        <v>54.0</v>
      </c>
      <c r="C520" s="34">
        <v>91.0</v>
      </c>
      <c r="D520" s="1" t="s">
        <v>1520</v>
      </c>
      <c r="E520" s="1" t="s">
        <v>1540</v>
      </c>
      <c r="F520" s="1" t="s">
        <v>1558</v>
      </c>
      <c r="G520" s="1">
        <v>15.0</v>
      </c>
      <c r="H520" s="1">
        <v>20.0</v>
      </c>
      <c r="I520" s="1" t="s">
        <v>388</v>
      </c>
      <c r="J520" s="1" t="s">
        <v>1559</v>
      </c>
      <c r="K520" s="1">
        <v>1.0</v>
      </c>
      <c r="L520" s="1" t="s">
        <v>1560</v>
      </c>
    </row>
    <row r="521" hidden="1">
      <c r="A521" s="34">
        <v>15.0</v>
      </c>
      <c r="B521" s="34">
        <v>54.0</v>
      </c>
      <c r="C521" s="34">
        <v>92.0</v>
      </c>
      <c r="D521" s="1" t="s">
        <v>1520</v>
      </c>
      <c r="E521" s="1" t="s">
        <v>1540</v>
      </c>
      <c r="F521" s="1" t="s">
        <v>1561</v>
      </c>
      <c r="G521" s="1">
        <v>15.0</v>
      </c>
      <c r="H521" s="1">
        <v>33.0</v>
      </c>
      <c r="I521" s="1" t="s">
        <v>388</v>
      </c>
      <c r="J521" s="1" t="s">
        <v>1548</v>
      </c>
      <c r="K521" s="1">
        <v>1.0</v>
      </c>
      <c r="L521" s="1" t="s">
        <v>1548</v>
      </c>
    </row>
    <row r="522" hidden="1">
      <c r="A522" s="34">
        <v>15.0</v>
      </c>
      <c r="B522" s="34">
        <v>54.0</v>
      </c>
      <c r="C522" s="34">
        <v>93.0</v>
      </c>
      <c r="D522" s="1" t="s">
        <v>1520</v>
      </c>
      <c r="E522" s="1" t="s">
        <v>1540</v>
      </c>
      <c r="F522" s="1" t="s">
        <v>1562</v>
      </c>
      <c r="G522" s="1">
        <v>15.0</v>
      </c>
      <c r="H522" s="1">
        <v>33.0</v>
      </c>
      <c r="I522" s="1" t="s">
        <v>388</v>
      </c>
      <c r="J522" s="1" t="s">
        <v>1548</v>
      </c>
      <c r="K522" s="1">
        <v>1.0</v>
      </c>
      <c r="L522" s="1" t="s">
        <v>1548</v>
      </c>
    </row>
    <row r="523" hidden="1">
      <c r="A523" s="34">
        <v>15.0</v>
      </c>
      <c r="B523" s="34">
        <v>54.0</v>
      </c>
      <c r="C523" s="34">
        <v>191.0</v>
      </c>
      <c r="D523" s="1" t="s">
        <v>1520</v>
      </c>
      <c r="E523" s="1" t="s">
        <v>1540</v>
      </c>
      <c r="F523" s="1" t="s">
        <v>1563</v>
      </c>
      <c r="G523" s="1">
        <v>15.0</v>
      </c>
      <c r="H523" s="1">
        <v>33.0</v>
      </c>
      <c r="I523" s="1" t="s">
        <v>388</v>
      </c>
      <c r="J523" s="1" t="s">
        <v>1548</v>
      </c>
      <c r="K523" s="1">
        <v>1.0</v>
      </c>
      <c r="L523" s="1" t="s">
        <v>1548</v>
      </c>
    </row>
    <row r="524" hidden="1">
      <c r="A524" s="34">
        <v>15.0</v>
      </c>
      <c r="B524" s="34">
        <v>54.0</v>
      </c>
      <c r="C524" s="34">
        <v>198.0</v>
      </c>
      <c r="D524" s="1" t="s">
        <v>1520</v>
      </c>
      <c r="E524" s="1" t="s">
        <v>1540</v>
      </c>
      <c r="F524" s="1" t="s">
        <v>1564</v>
      </c>
      <c r="G524" s="1">
        <v>15.0</v>
      </c>
      <c r="H524" s="1">
        <v>20.0</v>
      </c>
      <c r="I524" s="1" t="s">
        <v>388</v>
      </c>
      <c r="J524" s="1" t="s">
        <v>1559</v>
      </c>
      <c r="K524" s="1">
        <v>1.0</v>
      </c>
      <c r="L524" s="1" t="s">
        <v>1560</v>
      </c>
    </row>
    <row r="525" hidden="1">
      <c r="A525" s="34">
        <v>15.0</v>
      </c>
      <c r="B525" s="34">
        <v>80.0</v>
      </c>
      <c r="C525" s="34">
        <v>69.0</v>
      </c>
      <c r="D525" s="1" t="s">
        <v>1520</v>
      </c>
      <c r="E525" s="1" t="s">
        <v>1565</v>
      </c>
      <c r="F525" s="1" t="s">
        <v>1566</v>
      </c>
      <c r="G525" s="1">
        <v>15.0</v>
      </c>
      <c r="H525" s="1">
        <v>99.0</v>
      </c>
      <c r="I525" s="1" t="s">
        <v>388</v>
      </c>
      <c r="J525" s="1" t="s">
        <v>1567</v>
      </c>
      <c r="K525" s="1">
        <v>1.0</v>
      </c>
      <c r="L525" s="1" t="s">
        <v>1568</v>
      </c>
    </row>
    <row r="526" hidden="1">
      <c r="A526" s="34">
        <v>15.0</v>
      </c>
      <c r="B526" s="34">
        <v>80.0</v>
      </c>
      <c r="C526" s="34">
        <v>70.0</v>
      </c>
      <c r="D526" s="1" t="s">
        <v>1520</v>
      </c>
      <c r="E526" s="1" t="s">
        <v>1565</v>
      </c>
      <c r="F526" s="1" t="s">
        <v>1569</v>
      </c>
      <c r="G526" s="1">
        <v>15.0</v>
      </c>
      <c r="H526" s="1">
        <v>39.0</v>
      </c>
      <c r="I526" s="1" t="s">
        <v>388</v>
      </c>
      <c r="J526" s="1" t="s">
        <v>1570</v>
      </c>
      <c r="K526" s="1">
        <v>1.0</v>
      </c>
      <c r="L526" s="1" t="s">
        <v>1570</v>
      </c>
    </row>
    <row r="527" hidden="1">
      <c r="A527" s="34">
        <v>15.0</v>
      </c>
      <c r="B527" s="34">
        <v>80.0</v>
      </c>
      <c r="C527" s="34">
        <v>73.0</v>
      </c>
      <c r="D527" s="1" t="s">
        <v>1520</v>
      </c>
      <c r="E527" s="1" t="s">
        <v>1565</v>
      </c>
      <c r="F527" s="1" t="s">
        <v>1571</v>
      </c>
      <c r="G527" s="1">
        <v>15.0</v>
      </c>
      <c r="H527" s="1">
        <v>9.0</v>
      </c>
      <c r="I527" s="1" t="s">
        <v>388</v>
      </c>
      <c r="J527" s="1" t="s">
        <v>1572</v>
      </c>
      <c r="K527" s="1">
        <v>1.0</v>
      </c>
      <c r="L527" s="1" t="s">
        <v>1573</v>
      </c>
    </row>
    <row r="528" hidden="1">
      <c r="A528" s="34">
        <v>15.0</v>
      </c>
      <c r="B528" s="34">
        <v>80.0</v>
      </c>
      <c r="C528" s="34">
        <v>74.0</v>
      </c>
      <c r="D528" s="1" t="s">
        <v>1520</v>
      </c>
      <c r="E528" s="1" t="s">
        <v>1565</v>
      </c>
      <c r="F528" s="1" t="s">
        <v>1574</v>
      </c>
      <c r="G528" s="1">
        <v>15.0</v>
      </c>
      <c r="H528" s="1">
        <v>103.0</v>
      </c>
      <c r="I528" s="1" t="s">
        <v>388</v>
      </c>
      <c r="J528" s="1" t="s">
        <v>1575</v>
      </c>
      <c r="K528" s="1">
        <v>5.0</v>
      </c>
      <c r="L528" s="1" t="s">
        <v>849</v>
      </c>
    </row>
    <row r="529" hidden="1">
      <c r="A529" s="34">
        <v>15.0</v>
      </c>
      <c r="B529" s="34">
        <v>80.0</v>
      </c>
      <c r="C529" s="34">
        <v>75.0</v>
      </c>
      <c r="D529" s="1" t="s">
        <v>1520</v>
      </c>
      <c r="E529" s="1" t="s">
        <v>1565</v>
      </c>
      <c r="F529" s="1" t="s">
        <v>1576</v>
      </c>
      <c r="G529" s="1">
        <v>15.0</v>
      </c>
      <c r="H529" s="1">
        <v>58.0</v>
      </c>
      <c r="I529" s="1" t="s">
        <v>388</v>
      </c>
      <c r="J529" s="1" t="s">
        <v>1577</v>
      </c>
      <c r="K529" s="1">
        <v>1.0</v>
      </c>
      <c r="L529" s="1" t="s">
        <v>1578</v>
      </c>
    </row>
    <row r="530" hidden="1">
      <c r="A530" s="34">
        <v>15.0</v>
      </c>
      <c r="B530" s="34">
        <v>80.0</v>
      </c>
      <c r="C530" s="34">
        <v>78.0</v>
      </c>
      <c r="D530" s="1" t="s">
        <v>1520</v>
      </c>
      <c r="E530" s="1" t="s">
        <v>1565</v>
      </c>
      <c r="F530" s="1" t="s">
        <v>1579</v>
      </c>
      <c r="G530" s="1">
        <v>15.0</v>
      </c>
      <c r="H530" s="1">
        <v>58.0</v>
      </c>
      <c r="I530" s="1" t="s">
        <v>388</v>
      </c>
      <c r="J530" s="1" t="s">
        <v>1577</v>
      </c>
      <c r="K530" s="1">
        <v>1.0</v>
      </c>
      <c r="L530" s="1" t="s">
        <v>1578</v>
      </c>
    </row>
    <row r="531" hidden="1">
      <c r="A531" s="34">
        <v>15.0</v>
      </c>
      <c r="B531" s="34">
        <v>80.0</v>
      </c>
      <c r="C531" s="34">
        <v>81.0</v>
      </c>
      <c r="D531" s="1" t="s">
        <v>1520</v>
      </c>
      <c r="E531" s="1" t="s">
        <v>1565</v>
      </c>
      <c r="F531" s="1" t="s">
        <v>1580</v>
      </c>
      <c r="G531" s="1">
        <v>15.0</v>
      </c>
      <c r="H531" s="1">
        <v>50.0</v>
      </c>
      <c r="I531" s="1" t="s">
        <v>388</v>
      </c>
      <c r="J531" s="1" t="s">
        <v>1581</v>
      </c>
      <c r="K531" s="1">
        <v>1.0</v>
      </c>
      <c r="L531" s="1" t="s">
        <v>1582</v>
      </c>
    </row>
    <row r="532" hidden="1">
      <c r="A532" s="34">
        <v>15.0</v>
      </c>
      <c r="B532" s="34">
        <v>80.0</v>
      </c>
      <c r="C532" s="34">
        <v>82.0</v>
      </c>
      <c r="D532" s="1" t="s">
        <v>1520</v>
      </c>
      <c r="E532" s="1" t="s">
        <v>1565</v>
      </c>
      <c r="F532" s="1" t="s">
        <v>1583</v>
      </c>
      <c r="G532" s="1">
        <v>15.0</v>
      </c>
      <c r="H532" s="1">
        <v>11.0</v>
      </c>
      <c r="I532" s="1" t="s">
        <v>388</v>
      </c>
      <c r="J532" s="1" t="s">
        <v>1584</v>
      </c>
      <c r="K532" s="1">
        <v>1.0</v>
      </c>
      <c r="L532" s="1" t="s">
        <v>1585</v>
      </c>
    </row>
    <row r="533" hidden="1">
      <c r="A533" s="34">
        <v>15.0</v>
      </c>
      <c r="B533" s="34">
        <v>80.0</v>
      </c>
      <c r="C533" s="34">
        <v>83.0</v>
      </c>
      <c r="D533" s="1" t="s">
        <v>1520</v>
      </c>
      <c r="E533" s="1" t="s">
        <v>1565</v>
      </c>
      <c r="F533" s="1" t="s">
        <v>1586</v>
      </c>
      <c r="G533" s="1">
        <v>15.0</v>
      </c>
      <c r="H533" s="1">
        <v>29.0</v>
      </c>
      <c r="I533" s="1" t="s">
        <v>388</v>
      </c>
      <c r="J533" s="1" t="s">
        <v>1587</v>
      </c>
      <c r="K533" s="1">
        <v>1.0</v>
      </c>
      <c r="L533" s="1" t="s">
        <v>1588</v>
      </c>
    </row>
    <row r="534" hidden="1">
      <c r="A534" s="34">
        <v>15.0</v>
      </c>
      <c r="B534" s="34">
        <v>80.0</v>
      </c>
      <c r="C534" s="34">
        <v>84.0</v>
      </c>
      <c r="D534" s="1" t="s">
        <v>1520</v>
      </c>
      <c r="E534" s="1" t="s">
        <v>1565</v>
      </c>
      <c r="F534" s="1" t="s">
        <v>1589</v>
      </c>
      <c r="G534" s="1">
        <v>15.0</v>
      </c>
      <c r="H534" s="1">
        <v>31.0</v>
      </c>
      <c r="I534" s="1" t="s">
        <v>388</v>
      </c>
      <c r="J534" s="1" t="s">
        <v>1590</v>
      </c>
      <c r="K534" s="1">
        <v>1.0</v>
      </c>
      <c r="L534" s="1" t="s">
        <v>1590</v>
      </c>
    </row>
    <row r="535" hidden="1">
      <c r="A535" s="34">
        <v>15.0</v>
      </c>
      <c r="B535" s="34">
        <v>80.0</v>
      </c>
      <c r="C535" s="34">
        <v>85.0</v>
      </c>
      <c r="D535" s="1" t="s">
        <v>1520</v>
      </c>
      <c r="E535" s="1" t="s">
        <v>1565</v>
      </c>
      <c r="F535" s="1" t="s">
        <v>1591</v>
      </c>
      <c r="G535" s="1">
        <v>15.0</v>
      </c>
      <c r="H535" s="1">
        <v>100.0</v>
      </c>
      <c r="I535" s="1" t="s">
        <v>388</v>
      </c>
      <c r="J535" s="1" t="s">
        <v>1592</v>
      </c>
      <c r="K535" s="1">
        <v>1.0</v>
      </c>
      <c r="L535" s="1" t="s">
        <v>1592</v>
      </c>
    </row>
    <row r="536" hidden="1">
      <c r="A536" s="34">
        <v>15.0</v>
      </c>
      <c r="B536" s="34">
        <v>80.0</v>
      </c>
      <c r="C536" s="34">
        <v>86.0</v>
      </c>
      <c r="D536" s="1" t="s">
        <v>1520</v>
      </c>
      <c r="E536" s="1" t="s">
        <v>1565</v>
      </c>
      <c r="F536" s="1" t="s">
        <v>1593</v>
      </c>
      <c r="G536" s="1">
        <v>15.0</v>
      </c>
      <c r="H536" s="1">
        <v>39.0</v>
      </c>
      <c r="I536" s="1" t="s">
        <v>388</v>
      </c>
      <c r="J536" s="1" t="s">
        <v>1570</v>
      </c>
      <c r="K536" s="1">
        <v>1.0</v>
      </c>
      <c r="L536" s="1" t="s">
        <v>1570</v>
      </c>
    </row>
    <row r="537" hidden="1">
      <c r="A537" s="34">
        <v>15.0</v>
      </c>
      <c r="B537" s="34">
        <v>80.0</v>
      </c>
      <c r="C537" s="34">
        <v>87.0</v>
      </c>
      <c r="D537" s="1" t="s">
        <v>1520</v>
      </c>
      <c r="E537" s="1" t="s">
        <v>1565</v>
      </c>
      <c r="F537" s="1" t="s">
        <v>1594</v>
      </c>
      <c r="G537" s="1">
        <v>15.0</v>
      </c>
      <c r="H537" s="1">
        <v>68.0</v>
      </c>
      <c r="I537" s="1" t="s">
        <v>388</v>
      </c>
      <c r="J537" s="1" t="s">
        <v>1595</v>
      </c>
      <c r="K537" s="1">
        <v>1.0</v>
      </c>
      <c r="L537" s="1" t="s">
        <v>1596</v>
      </c>
    </row>
    <row r="538" hidden="1">
      <c r="A538" s="34">
        <v>15.0</v>
      </c>
      <c r="B538" s="34">
        <v>80.0</v>
      </c>
      <c r="C538" s="34">
        <v>96.0</v>
      </c>
      <c r="D538" s="1" t="s">
        <v>1520</v>
      </c>
      <c r="E538" s="1" t="s">
        <v>1565</v>
      </c>
      <c r="F538" s="1" t="s">
        <v>1597</v>
      </c>
      <c r="G538" s="1">
        <v>15.0</v>
      </c>
      <c r="H538" s="1">
        <v>58.0</v>
      </c>
      <c r="I538" s="1" t="s">
        <v>388</v>
      </c>
      <c r="J538" s="1" t="s">
        <v>1577</v>
      </c>
      <c r="K538" s="1">
        <v>1.0</v>
      </c>
      <c r="L538" s="1" t="s">
        <v>1578</v>
      </c>
    </row>
    <row r="539" hidden="1">
      <c r="A539" s="34">
        <v>15.0</v>
      </c>
      <c r="B539" s="34">
        <v>80.0</v>
      </c>
      <c r="C539" s="34">
        <v>180.0</v>
      </c>
      <c r="D539" s="1" t="s">
        <v>1520</v>
      </c>
      <c r="E539" s="1" t="s">
        <v>1565</v>
      </c>
      <c r="F539" s="1" t="s">
        <v>1598</v>
      </c>
      <c r="G539" s="1">
        <v>15.0</v>
      </c>
      <c r="H539" s="1">
        <v>122.0</v>
      </c>
      <c r="I539" s="1" t="s">
        <v>388</v>
      </c>
      <c r="J539" s="1" t="s">
        <v>1599</v>
      </c>
      <c r="K539" s="1">
        <v>1.0</v>
      </c>
      <c r="L539" s="1" t="s">
        <v>1600</v>
      </c>
    </row>
    <row r="540" hidden="1">
      <c r="A540" s="34">
        <v>15.0</v>
      </c>
      <c r="B540" s="34">
        <v>80.0</v>
      </c>
      <c r="C540" s="34">
        <v>181.0</v>
      </c>
      <c r="D540" s="1" t="s">
        <v>1520</v>
      </c>
      <c r="E540" s="1" t="s">
        <v>1565</v>
      </c>
      <c r="F540" s="1" t="s">
        <v>1601</v>
      </c>
      <c r="G540" s="1">
        <v>15.0</v>
      </c>
      <c r="H540" s="1">
        <v>122.0</v>
      </c>
      <c r="I540" s="1" t="s">
        <v>388</v>
      </c>
      <c r="J540" s="1" t="s">
        <v>1599</v>
      </c>
      <c r="K540" s="1">
        <v>1.0</v>
      </c>
      <c r="L540" s="1" t="s">
        <v>1600</v>
      </c>
    </row>
    <row r="541" hidden="1">
      <c r="A541" s="34">
        <v>15.0</v>
      </c>
      <c r="B541" s="34">
        <v>80.0</v>
      </c>
      <c r="C541" s="34">
        <v>182.0</v>
      </c>
      <c r="D541" s="1" t="s">
        <v>1520</v>
      </c>
      <c r="E541" s="1" t="s">
        <v>1565</v>
      </c>
      <c r="F541" s="1" t="s">
        <v>1602</v>
      </c>
      <c r="G541" s="1">
        <v>15.0</v>
      </c>
      <c r="H541" s="1">
        <v>58.0</v>
      </c>
      <c r="I541" s="1" t="s">
        <v>388</v>
      </c>
      <c r="J541" s="1" t="s">
        <v>1577</v>
      </c>
      <c r="K541" s="1">
        <v>1.0</v>
      </c>
      <c r="L541" s="1" t="s">
        <v>1578</v>
      </c>
    </row>
    <row r="542" hidden="1">
      <c r="A542" s="34">
        <v>15.0</v>
      </c>
      <c r="B542" s="34">
        <v>80.0</v>
      </c>
      <c r="C542" s="34">
        <v>183.0</v>
      </c>
      <c r="D542" s="1" t="s">
        <v>1520</v>
      </c>
      <c r="E542" s="1" t="s">
        <v>1565</v>
      </c>
      <c r="F542" s="1" t="s">
        <v>1603</v>
      </c>
      <c r="G542" s="1">
        <v>15.0</v>
      </c>
      <c r="H542" s="1">
        <v>58.0</v>
      </c>
      <c r="I542" s="1" t="s">
        <v>388</v>
      </c>
      <c r="J542" s="1" t="s">
        <v>1577</v>
      </c>
      <c r="K542" s="1">
        <v>1.0</v>
      </c>
      <c r="L542" s="1" t="s">
        <v>1578</v>
      </c>
    </row>
    <row r="543" hidden="1">
      <c r="A543" s="34">
        <v>15.0</v>
      </c>
      <c r="B543" s="34">
        <v>80.0</v>
      </c>
      <c r="C543" s="34">
        <v>189.0</v>
      </c>
      <c r="D543" s="1" t="s">
        <v>1520</v>
      </c>
      <c r="E543" s="1" t="s">
        <v>1565</v>
      </c>
      <c r="F543" s="1" t="s">
        <v>1604</v>
      </c>
      <c r="G543" s="1">
        <v>15.0</v>
      </c>
      <c r="H543" s="1">
        <v>31.0</v>
      </c>
      <c r="I543" s="1" t="s">
        <v>388</v>
      </c>
      <c r="J543" s="1" t="s">
        <v>1590</v>
      </c>
      <c r="K543" s="1">
        <v>1.0</v>
      </c>
      <c r="L543" s="1" t="s">
        <v>1590</v>
      </c>
    </row>
    <row r="544" hidden="1">
      <c r="A544" s="34">
        <v>15.0</v>
      </c>
      <c r="B544" s="34">
        <v>80.0</v>
      </c>
      <c r="C544" s="34">
        <v>193.0</v>
      </c>
      <c r="D544" s="1" t="s">
        <v>1520</v>
      </c>
      <c r="E544" s="1" t="s">
        <v>1565</v>
      </c>
      <c r="F544" s="1" t="s">
        <v>1605</v>
      </c>
      <c r="G544" s="1">
        <v>15.0</v>
      </c>
      <c r="H544" s="1">
        <v>25.0</v>
      </c>
      <c r="I544" s="1" t="s">
        <v>388</v>
      </c>
      <c r="J544" s="1" t="s">
        <v>1606</v>
      </c>
      <c r="K544" s="1">
        <v>1.0</v>
      </c>
      <c r="L544" s="1" t="s">
        <v>1607</v>
      </c>
    </row>
    <row r="545" hidden="1">
      <c r="A545" s="34">
        <v>15.0</v>
      </c>
      <c r="B545" s="34">
        <v>80.0</v>
      </c>
      <c r="C545" s="34">
        <v>195.0</v>
      </c>
      <c r="D545" s="1" t="s">
        <v>1520</v>
      </c>
      <c r="E545" s="1" t="s">
        <v>1565</v>
      </c>
      <c r="F545" s="1" t="s">
        <v>1608</v>
      </c>
      <c r="G545" s="1">
        <v>15.0</v>
      </c>
      <c r="H545" s="1">
        <v>25.0</v>
      </c>
      <c r="I545" s="1" t="s">
        <v>388</v>
      </c>
      <c r="J545" s="1" t="s">
        <v>1606</v>
      </c>
      <c r="K545" s="1">
        <v>1.0</v>
      </c>
      <c r="L545" s="1" t="s">
        <v>1607</v>
      </c>
    </row>
    <row r="546" hidden="1">
      <c r="A546" s="34">
        <v>16.0</v>
      </c>
      <c r="B546" s="34">
        <v>1.0</v>
      </c>
      <c r="C546" s="34">
        <v>220.0</v>
      </c>
      <c r="D546" s="1" t="s">
        <v>1609</v>
      </c>
      <c r="E546" s="1" t="s">
        <v>1610</v>
      </c>
      <c r="F546" s="1" t="s">
        <v>1611</v>
      </c>
      <c r="G546" s="1">
        <v>15.0</v>
      </c>
      <c r="H546" s="1">
        <v>106.0</v>
      </c>
      <c r="I546" s="1" t="s">
        <v>388</v>
      </c>
      <c r="J546" s="1" t="s">
        <v>1610</v>
      </c>
      <c r="K546" s="1">
        <v>1.0</v>
      </c>
      <c r="L546" s="1" t="s">
        <v>1612</v>
      </c>
    </row>
    <row r="547" hidden="1">
      <c r="A547" s="34">
        <v>16.0</v>
      </c>
      <c r="B547" s="34">
        <v>1.0</v>
      </c>
      <c r="C547" s="34">
        <v>222.0</v>
      </c>
      <c r="D547" s="1" t="s">
        <v>1609</v>
      </c>
      <c r="E547" s="1" t="s">
        <v>1610</v>
      </c>
      <c r="F547" s="1" t="s">
        <v>1613</v>
      </c>
      <c r="G547" s="1">
        <v>15.0</v>
      </c>
      <c r="H547" s="1">
        <v>106.0</v>
      </c>
      <c r="I547" s="1" t="s">
        <v>388</v>
      </c>
      <c r="J547" s="1" t="s">
        <v>1610</v>
      </c>
      <c r="K547" s="1">
        <v>1.0</v>
      </c>
      <c r="L547" s="1" t="s">
        <v>1612</v>
      </c>
    </row>
    <row r="548" hidden="1">
      <c r="A548" s="34">
        <v>16.0</v>
      </c>
      <c r="B548" s="34">
        <v>1.0</v>
      </c>
      <c r="C548" s="34">
        <v>223.0</v>
      </c>
      <c r="D548" s="1" t="s">
        <v>1609</v>
      </c>
      <c r="E548" s="1" t="s">
        <v>1610</v>
      </c>
      <c r="F548" s="1" t="s">
        <v>1614</v>
      </c>
      <c r="G548" s="1">
        <v>15.0</v>
      </c>
      <c r="H548" s="1">
        <v>51.0</v>
      </c>
      <c r="I548" s="1" t="s">
        <v>388</v>
      </c>
      <c r="J548" s="1" t="s">
        <v>1615</v>
      </c>
      <c r="K548" s="1">
        <v>1.0</v>
      </c>
      <c r="L548" s="1" t="s">
        <v>1616</v>
      </c>
    </row>
    <row r="549" hidden="1">
      <c r="A549" s="34">
        <v>16.0</v>
      </c>
      <c r="B549" s="34">
        <v>1.0</v>
      </c>
      <c r="C549" s="34">
        <v>224.0</v>
      </c>
      <c r="D549" s="1" t="s">
        <v>1609</v>
      </c>
      <c r="E549" s="1" t="s">
        <v>1610</v>
      </c>
      <c r="F549" s="1" t="s">
        <v>1617</v>
      </c>
      <c r="G549" s="1">
        <v>15.0</v>
      </c>
      <c r="H549" s="1">
        <v>118.0</v>
      </c>
      <c r="I549" s="1" t="s">
        <v>388</v>
      </c>
      <c r="J549" s="1" t="s">
        <v>1618</v>
      </c>
      <c r="K549" s="1">
        <v>1.0</v>
      </c>
      <c r="L549" s="1" t="s">
        <v>1619</v>
      </c>
    </row>
    <row r="550" hidden="1">
      <c r="A550" s="34">
        <v>16.0</v>
      </c>
      <c r="B550" s="34">
        <v>1.0</v>
      </c>
      <c r="C550" s="34">
        <v>225.0</v>
      </c>
      <c r="D550" s="1" t="s">
        <v>1609</v>
      </c>
      <c r="E550" s="1" t="s">
        <v>1610</v>
      </c>
      <c r="F550" s="1" t="s">
        <v>1620</v>
      </c>
      <c r="G550" s="1">
        <v>15.0</v>
      </c>
      <c r="H550" s="1">
        <v>106.0</v>
      </c>
      <c r="I550" s="1" t="s">
        <v>388</v>
      </c>
      <c r="J550" s="1" t="s">
        <v>1610</v>
      </c>
      <c r="K550" s="1">
        <v>1.0</v>
      </c>
      <c r="L550" s="1" t="s">
        <v>1612</v>
      </c>
    </row>
    <row r="551" hidden="1">
      <c r="A551" s="34">
        <v>16.0</v>
      </c>
      <c r="B551" s="34">
        <v>1.0</v>
      </c>
      <c r="C551" s="34">
        <v>226.0</v>
      </c>
      <c r="D551" s="1" t="s">
        <v>1609</v>
      </c>
      <c r="E551" s="1" t="s">
        <v>1610</v>
      </c>
      <c r="F551" s="1" t="s">
        <v>1621</v>
      </c>
      <c r="G551" s="1">
        <v>15.0</v>
      </c>
      <c r="H551" s="1">
        <v>42.0</v>
      </c>
      <c r="I551" s="1" t="s">
        <v>388</v>
      </c>
      <c r="J551" s="1" t="s">
        <v>1622</v>
      </c>
      <c r="K551" s="1">
        <v>1.0</v>
      </c>
      <c r="L551" s="1" t="s">
        <v>1623</v>
      </c>
    </row>
    <row r="552" hidden="1">
      <c r="A552" s="34">
        <v>16.0</v>
      </c>
      <c r="B552" s="34">
        <v>1.0</v>
      </c>
      <c r="C552" s="34">
        <v>227.0</v>
      </c>
      <c r="D552" s="1" t="s">
        <v>1609</v>
      </c>
      <c r="E552" s="1" t="s">
        <v>1610</v>
      </c>
      <c r="F552" s="1" t="s">
        <v>1624</v>
      </c>
      <c r="G552" s="1">
        <v>15.0</v>
      </c>
      <c r="H552" s="1">
        <v>40.0</v>
      </c>
      <c r="I552" s="1" t="s">
        <v>388</v>
      </c>
      <c r="J552" s="1" t="s">
        <v>1625</v>
      </c>
      <c r="K552" s="1">
        <v>1.0</v>
      </c>
      <c r="L552" s="1" t="s">
        <v>1625</v>
      </c>
    </row>
    <row r="553" hidden="1">
      <c r="A553" s="34">
        <v>16.0</v>
      </c>
      <c r="B553" s="34">
        <v>1.0</v>
      </c>
      <c r="C553" s="34">
        <v>228.0</v>
      </c>
      <c r="D553" s="1" t="s">
        <v>1609</v>
      </c>
      <c r="E553" s="1" t="s">
        <v>1610</v>
      </c>
      <c r="F553" s="1" t="s">
        <v>1626</v>
      </c>
      <c r="G553" s="1">
        <v>15.0</v>
      </c>
      <c r="H553" s="1">
        <v>101.0</v>
      </c>
      <c r="I553" s="1" t="s">
        <v>388</v>
      </c>
      <c r="J553" s="1" t="s">
        <v>1627</v>
      </c>
      <c r="K553" s="1">
        <v>1.0</v>
      </c>
      <c r="L553" s="1" t="s">
        <v>1628</v>
      </c>
    </row>
    <row r="554" hidden="1">
      <c r="A554" s="34">
        <v>16.0</v>
      </c>
      <c r="B554" s="34">
        <v>1.0</v>
      </c>
      <c r="C554" s="34">
        <v>229.0</v>
      </c>
      <c r="D554" s="1" t="s">
        <v>1609</v>
      </c>
      <c r="E554" s="1" t="s">
        <v>1610</v>
      </c>
      <c r="F554" s="1" t="s">
        <v>1629</v>
      </c>
      <c r="G554" s="1">
        <v>15.0</v>
      </c>
      <c r="H554" s="1">
        <v>88.0</v>
      </c>
      <c r="I554" s="1" t="s">
        <v>388</v>
      </c>
      <c r="J554" s="1" t="s">
        <v>1630</v>
      </c>
      <c r="K554" s="1">
        <v>1.0</v>
      </c>
      <c r="L554" s="1" t="s">
        <v>1631</v>
      </c>
    </row>
    <row r="555" hidden="1">
      <c r="A555" s="34">
        <v>16.0</v>
      </c>
      <c r="B555" s="34">
        <v>1.0</v>
      </c>
      <c r="C555" s="34">
        <v>230.0</v>
      </c>
      <c r="D555" s="1" t="s">
        <v>1609</v>
      </c>
      <c r="E555" s="1" t="s">
        <v>1610</v>
      </c>
      <c r="F555" s="1" t="s">
        <v>1632</v>
      </c>
      <c r="G555" s="1">
        <v>15.0</v>
      </c>
      <c r="H555" s="1">
        <v>106.0</v>
      </c>
      <c r="I555" s="1" t="s">
        <v>388</v>
      </c>
      <c r="J555" s="1" t="s">
        <v>1610</v>
      </c>
      <c r="K555" s="1">
        <v>1.0</v>
      </c>
      <c r="L555" s="1" t="s">
        <v>1633</v>
      </c>
    </row>
    <row r="556" hidden="1">
      <c r="A556" s="34">
        <v>16.0</v>
      </c>
      <c r="B556" s="34">
        <v>1.0</v>
      </c>
      <c r="C556" s="34">
        <v>231.0</v>
      </c>
      <c r="D556" s="1" t="s">
        <v>1609</v>
      </c>
      <c r="E556" s="1" t="s">
        <v>1610</v>
      </c>
      <c r="F556" s="1" t="s">
        <v>1634</v>
      </c>
      <c r="G556" s="1">
        <v>15.0</v>
      </c>
      <c r="H556" s="1">
        <v>54.0</v>
      </c>
      <c r="I556" s="1" t="s">
        <v>388</v>
      </c>
      <c r="J556" s="1" t="s">
        <v>1635</v>
      </c>
      <c r="K556" s="1">
        <v>1.0</v>
      </c>
      <c r="L556" s="1" t="s">
        <v>1635</v>
      </c>
    </row>
    <row r="557" hidden="1">
      <c r="A557" s="34">
        <v>16.0</v>
      </c>
      <c r="B557" s="34">
        <v>1.0</v>
      </c>
      <c r="C557" s="34">
        <v>232.0</v>
      </c>
      <c r="D557" s="1" t="s">
        <v>1609</v>
      </c>
      <c r="E557" s="1" t="s">
        <v>1610</v>
      </c>
      <c r="F557" s="1" t="s">
        <v>1636</v>
      </c>
      <c r="G557" s="1">
        <v>15.0</v>
      </c>
      <c r="H557" s="1">
        <v>113.0</v>
      </c>
      <c r="I557" s="1" t="s">
        <v>388</v>
      </c>
      <c r="J557" s="1" t="s">
        <v>1637</v>
      </c>
      <c r="K557" s="1">
        <v>1.0</v>
      </c>
      <c r="L557" s="1" t="s">
        <v>1637</v>
      </c>
    </row>
    <row r="558" hidden="1">
      <c r="A558" s="34">
        <v>16.0</v>
      </c>
      <c r="B558" s="34">
        <v>1.0</v>
      </c>
      <c r="C558" s="34">
        <v>233.0</v>
      </c>
      <c r="D558" s="1" t="s">
        <v>1609</v>
      </c>
      <c r="E558" s="1" t="s">
        <v>1610</v>
      </c>
      <c r="F558" s="1" t="s">
        <v>1638</v>
      </c>
      <c r="G558" s="1">
        <v>15.0</v>
      </c>
      <c r="H558" s="1">
        <v>110.0</v>
      </c>
      <c r="I558" s="1" t="s">
        <v>388</v>
      </c>
      <c r="J558" s="1" t="s">
        <v>1639</v>
      </c>
      <c r="K558" s="1">
        <v>1.0</v>
      </c>
      <c r="L558" s="1" t="s">
        <v>1639</v>
      </c>
    </row>
    <row r="559" hidden="1">
      <c r="A559" s="34">
        <v>16.0</v>
      </c>
      <c r="B559" s="34">
        <v>1.0</v>
      </c>
      <c r="C559" s="34">
        <v>234.0</v>
      </c>
      <c r="D559" s="1" t="s">
        <v>1609</v>
      </c>
      <c r="E559" s="1" t="s">
        <v>1610</v>
      </c>
      <c r="F559" s="1" t="s">
        <v>1640</v>
      </c>
      <c r="G559" s="1">
        <v>15.0</v>
      </c>
      <c r="H559" s="1">
        <v>110.0</v>
      </c>
      <c r="I559" s="1" t="s">
        <v>388</v>
      </c>
      <c r="J559" s="1" t="s">
        <v>1639</v>
      </c>
      <c r="K559" s="1">
        <v>1.0</v>
      </c>
      <c r="L559" s="1" t="s">
        <v>1639</v>
      </c>
    </row>
    <row r="560" hidden="1">
      <c r="A560" s="34">
        <v>16.0</v>
      </c>
      <c r="B560" s="34">
        <v>1.0</v>
      </c>
      <c r="C560" s="34">
        <v>235.0</v>
      </c>
      <c r="D560" s="1" t="s">
        <v>1609</v>
      </c>
      <c r="E560" s="1" t="s">
        <v>1610</v>
      </c>
      <c r="F560" s="1" t="s">
        <v>1641</v>
      </c>
      <c r="G560" s="1">
        <v>15.0</v>
      </c>
      <c r="H560" s="1">
        <v>14.0</v>
      </c>
      <c r="I560" s="1" t="s">
        <v>388</v>
      </c>
      <c r="J560" s="1" t="s">
        <v>1642</v>
      </c>
      <c r="K560" s="1">
        <v>1.0</v>
      </c>
      <c r="L560" s="1" t="s">
        <v>1643</v>
      </c>
    </row>
    <row r="561" hidden="1">
      <c r="A561" s="34">
        <v>16.0</v>
      </c>
      <c r="B561" s="34">
        <v>1.0</v>
      </c>
      <c r="C561" s="34">
        <v>236.0</v>
      </c>
      <c r="D561" s="1" t="s">
        <v>1609</v>
      </c>
      <c r="E561" s="1" t="s">
        <v>1610</v>
      </c>
      <c r="F561" s="1" t="s">
        <v>1644</v>
      </c>
      <c r="G561" s="1">
        <v>15.0</v>
      </c>
      <c r="H561" s="1">
        <v>64.0</v>
      </c>
      <c r="I561" s="1" t="s">
        <v>388</v>
      </c>
      <c r="J561" s="1" t="s">
        <v>1015</v>
      </c>
      <c r="K561" s="1">
        <v>1.0</v>
      </c>
      <c r="L561" s="1" t="s">
        <v>1645</v>
      </c>
    </row>
    <row r="562" hidden="1">
      <c r="A562" s="34">
        <v>16.0</v>
      </c>
      <c r="B562" s="34">
        <v>1.0</v>
      </c>
      <c r="C562" s="34">
        <v>237.0</v>
      </c>
      <c r="D562" s="1" t="s">
        <v>1609</v>
      </c>
      <c r="E562" s="1" t="s">
        <v>1610</v>
      </c>
      <c r="F562" s="1" t="s">
        <v>1646</v>
      </c>
      <c r="G562" s="1">
        <v>15.0</v>
      </c>
      <c r="H562" s="1">
        <v>52.0</v>
      </c>
      <c r="I562" s="1" t="s">
        <v>388</v>
      </c>
      <c r="J562" s="1" t="s">
        <v>1647</v>
      </c>
      <c r="K562" s="1">
        <v>1.0</v>
      </c>
      <c r="L562" s="1" t="s">
        <v>1647</v>
      </c>
    </row>
    <row r="563" hidden="1">
      <c r="A563" s="34">
        <v>16.0</v>
      </c>
      <c r="B563" s="34">
        <v>1.0</v>
      </c>
      <c r="C563" s="34">
        <v>238.0</v>
      </c>
      <c r="D563" s="1" t="s">
        <v>1609</v>
      </c>
      <c r="E563" s="1" t="s">
        <v>1610</v>
      </c>
      <c r="F563" s="1" t="s">
        <v>1648</v>
      </c>
      <c r="G563" s="1">
        <v>15.0</v>
      </c>
      <c r="H563" s="1">
        <v>80.0</v>
      </c>
      <c r="I563" s="1" t="s">
        <v>388</v>
      </c>
      <c r="J563" s="1" t="s">
        <v>1649</v>
      </c>
      <c r="K563" s="1">
        <v>1.0</v>
      </c>
      <c r="L563" s="1" t="s">
        <v>1650</v>
      </c>
    </row>
    <row r="564" hidden="1">
      <c r="A564" s="34">
        <v>16.0</v>
      </c>
      <c r="B564" s="34">
        <v>1.0</v>
      </c>
      <c r="C564" s="34">
        <v>239.0</v>
      </c>
      <c r="D564" s="1" t="s">
        <v>1609</v>
      </c>
      <c r="E564" s="1" t="s">
        <v>1610</v>
      </c>
      <c r="F564" s="1" t="s">
        <v>1651</v>
      </c>
      <c r="G564" s="1">
        <v>15.0</v>
      </c>
      <c r="H564" s="1">
        <v>82.0</v>
      </c>
      <c r="I564" s="1" t="s">
        <v>388</v>
      </c>
      <c r="J564" s="1" t="s">
        <v>1652</v>
      </c>
      <c r="K564" s="1">
        <v>1.0</v>
      </c>
      <c r="L564" s="1" t="s">
        <v>1653</v>
      </c>
    </row>
    <row r="565" hidden="1">
      <c r="A565" s="34">
        <v>16.0</v>
      </c>
      <c r="B565" s="34">
        <v>1.0</v>
      </c>
      <c r="C565" s="34">
        <v>240.0</v>
      </c>
      <c r="D565" s="1" t="s">
        <v>1609</v>
      </c>
      <c r="E565" s="1" t="s">
        <v>1610</v>
      </c>
      <c r="F565" s="1" t="s">
        <v>1654</v>
      </c>
      <c r="G565" s="1">
        <v>15.0</v>
      </c>
      <c r="H565" s="1">
        <v>86.0</v>
      </c>
      <c r="I565" s="1" t="s">
        <v>388</v>
      </c>
      <c r="J565" s="1" t="s">
        <v>1655</v>
      </c>
      <c r="K565" s="1">
        <v>1.0</v>
      </c>
      <c r="L565" s="1" t="s">
        <v>1656</v>
      </c>
    </row>
    <row r="566" hidden="1">
      <c r="A566" s="34">
        <v>16.0</v>
      </c>
      <c r="B566" s="34">
        <v>1.0</v>
      </c>
      <c r="C566" s="34">
        <v>241.0</v>
      </c>
      <c r="D566" s="1" t="s">
        <v>1609</v>
      </c>
      <c r="E566" s="1" t="s">
        <v>1610</v>
      </c>
      <c r="F566" s="1" t="s">
        <v>1657</v>
      </c>
      <c r="G566" s="1">
        <v>15.0</v>
      </c>
      <c r="H566" s="1">
        <v>87.0</v>
      </c>
      <c r="I566" s="1" t="s">
        <v>388</v>
      </c>
      <c r="J566" s="1" t="s">
        <v>1658</v>
      </c>
      <c r="K566" s="1">
        <v>1.0</v>
      </c>
      <c r="L566" s="1" t="s">
        <v>1658</v>
      </c>
    </row>
    <row r="567" hidden="1">
      <c r="A567" s="34">
        <v>16.0</v>
      </c>
      <c r="B567" s="34">
        <v>1.0</v>
      </c>
      <c r="C567" s="34">
        <v>242.0</v>
      </c>
      <c r="D567" s="1" t="s">
        <v>1609</v>
      </c>
      <c r="E567" s="1" t="s">
        <v>1610</v>
      </c>
      <c r="F567" s="1" t="s">
        <v>1659</v>
      </c>
      <c r="G567" s="1">
        <v>15.0</v>
      </c>
      <c r="H567" s="1">
        <v>90.0</v>
      </c>
      <c r="I567" s="1" t="s">
        <v>388</v>
      </c>
      <c r="J567" s="1" t="s">
        <v>1660</v>
      </c>
      <c r="K567" s="1">
        <v>1.0</v>
      </c>
      <c r="L567" s="1" t="s">
        <v>1661</v>
      </c>
    </row>
    <row r="568" hidden="1">
      <c r="A568" s="34">
        <v>16.0</v>
      </c>
      <c r="B568" s="34">
        <v>1.0</v>
      </c>
      <c r="C568" s="34">
        <v>243.0</v>
      </c>
      <c r="D568" s="1" t="s">
        <v>1609</v>
      </c>
      <c r="E568" s="1" t="s">
        <v>1610</v>
      </c>
      <c r="F568" s="1" t="s">
        <v>1662</v>
      </c>
      <c r="G568" s="1">
        <v>15.0</v>
      </c>
      <c r="H568" s="1">
        <v>114.0</v>
      </c>
      <c r="I568" s="1" t="s">
        <v>388</v>
      </c>
      <c r="J568" s="1" t="s">
        <v>1663</v>
      </c>
      <c r="K568" s="1">
        <v>1.0</v>
      </c>
      <c r="L568" s="1" t="s">
        <v>1663</v>
      </c>
    </row>
    <row r="569" hidden="1">
      <c r="A569" s="34">
        <v>16.0</v>
      </c>
      <c r="B569" s="34">
        <v>1.0</v>
      </c>
      <c r="C569" s="34">
        <v>244.0</v>
      </c>
      <c r="D569" s="1" t="s">
        <v>1609</v>
      </c>
      <c r="E569" s="1" t="s">
        <v>1610</v>
      </c>
      <c r="F569" s="1" t="s">
        <v>1664</v>
      </c>
      <c r="G569" s="1">
        <v>15.0</v>
      </c>
      <c r="H569" s="1">
        <v>106.0</v>
      </c>
      <c r="I569" s="1" t="s">
        <v>388</v>
      </c>
      <c r="J569" s="1" t="s">
        <v>1610</v>
      </c>
      <c r="K569" s="1">
        <v>1.0</v>
      </c>
      <c r="L569" s="1" t="s">
        <v>1612</v>
      </c>
    </row>
    <row r="570" hidden="1">
      <c r="A570" s="34">
        <v>16.0</v>
      </c>
      <c r="B570" s="34">
        <v>1.0</v>
      </c>
      <c r="C570" s="34">
        <v>245.0</v>
      </c>
      <c r="D570" s="1" t="s">
        <v>1609</v>
      </c>
      <c r="E570" s="1" t="s">
        <v>1610</v>
      </c>
      <c r="F570" s="1" t="s">
        <v>1665</v>
      </c>
      <c r="G570" s="1">
        <v>15.0</v>
      </c>
      <c r="H570" s="1">
        <v>3.0</v>
      </c>
      <c r="I570" s="1" t="s">
        <v>388</v>
      </c>
      <c r="J570" s="1" t="s">
        <v>1666</v>
      </c>
      <c r="K570" s="1">
        <v>1.0</v>
      </c>
      <c r="L570" s="1" t="s">
        <v>1667</v>
      </c>
    </row>
    <row r="571" hidden="1">
      <c r="A571" s="34">
        <v>16.0</v>
      </c>
      <c r="B571" s="34">
        <v>1.0</v>
      </c>
      <c r="C571" s="34">
        <v>246.0</v>
      </c>
      <c r="D571" s="1" t="s">
        <v>1609</v>
      </c>
      <c r="E571" s="1" t="s">
        <v>1610</v>
      </c>
      <c r="F571" s="1" t="s">
        <v>1668</v>
      </c>
      <c r="G571" s="1">
        <v>15.0</v>
      </c>
      <c r="H571" s="1">
        <v>48.0</v>
      </c>
      <c r="I571" s="1" t="s">
        <v>388</v>
      </c>
      <c r="J571" s="1" t="s">
        <v>1669</v>
      </c>
      <c r="K571" s="1">
        <v>1.0</v>
      </c>
      <c r="L571" s="1" t="s">
        <v>1669</v>
      </c>
    </row>
    <row r="572" hidden="1">
      <c r="A572" s="34">
        <v>16.0</v>
      </c>
      <c r="B572" s="34">
        <v>1.0</v>
      </c>
      <c r="C572" s="34">
        <v>247.0</v>
      </c>
      <c r="D572" s="1" t="s">
        <v>1609</v>
      </c>
      <c r="E572" s="1" t="s">
        <v>1610</v>
      </c>
      <c r="F572" s="1" t="s">
        <v>1670</v>
      </c>
      <c r="G572" s="1">
        <v>15.0</v>
      </c>
      <c r="H572" s="1">
        <v>90.0</v>
      </c>
      <c r="I572" s="1" t="s">
        <v>388</v>
      </c>
      <c r="J572" s="1" t="s">
        <v>1660</v>
      </c>
      <c r="K572" s="1">
        <v>1.0</v>
      </c>
      <c r="L572" s="1" t="s">
        <v>1671</v>
      </c>
    </row>
    <row r="573" hidden="1">
      <c r="A573" s="34">
        <v>16.0</v>
      </c>
      <c r="B573" s="34">
        <v>1.0</v>
      </c>
      <c r="C573" s="34">
        <v>248.0</v>
      </c>
      <c r="D573" s="1" t="s">
        <v>1609</v>
      </c>
      <c r="E573" s="1" t="s">
        <v>1610</v>
      </c>
      <c r="F573" s="1" t="s">
        <v>1672</v>
      </c>
      <c r="G573" s="1">
        <v>15.0</v>
      </c>
      <c r="H573" s="1">
        <v>76.0</v>
      </c>
      <c r="I573" s="1" t="s">
        <v>388</v>
      </c>
      <c r="J573" s="1" t="s">
        <v>1673</v>
      </c>
      <c r="K573" s="1">
        <v>1.0</v>
      </c>
      <c r="L573" s="1" t="s">
        <v>1674</v>
      </c>
    </row>
    <row r="574" hidden="1">
      <c r="A574" s="34">
        <v>16.0</v>
      </c>
      <c r="B574" s="34">
        <v>1.0</v>
      </c>
      <c r="C574" s="34">
        <v>249.0</v>
      </c>
      <c r="D574" s="1" t="s">
        <v>1609</v>
      </c>
      <c r="E574" s="1" t="s">
        <v>1610</v>
      </c>
      <c r="F574" s="1" t="s">
        <v>1675</v>
      </c>
      <c r="G574" s="1">
        <v>15.0</v>
      </c>
      <c r="H574" s="1">
        <v>106.0</v>
      </c>
      <c r="I574" s="1" t="s">
        <v>388</v>
      </c>
      <c r="J574" s="1" t="s">
        <v>1610</v>
      </c>
      <c r="K574" s="1">
        <v>1.0</v>
      </c>
      <c r="L574" s="1" t="s">
        <v>1676</v>
      </c>
    </row>
    <row r="575" hidden="1">
      <c r="A575" s="34">
        <v>16.0</v>
      </c>
      <c r="B575" s="34">
        <v>1.0</v>
      </c>
      <c r="C575" s="34">
        <v>250.0</v>
      </c>
      <c r="D575" s="1" t="s">
        <v>1609</v>
      </c>
      <c r="E575" s="1" t="s">
        <v>1610</v>
      </c>
      <c r="F575" s="1" t="s">
        <v>1677</v>
      </c>
      <c r="G575" s="1">
        <v>15.0</v>
      </c>
      <c r="H575" s="1">
        <v>106.0</v>
      </c>
      <c r="I575" s="1" t="s">
        <v>388</v>
      </c>
      <c r="J575" s="1" t="s">
        <v>1610</v>
      </c>
      <c r="K575" s="1">
        <v>1.0</v>
      </c>
      <c r="L575" s="1" t="s">
        <v>1612</v>
      </c>
    </row>
    <row r="576" hidden="1">
      <c r="A576" s="34">
        <v>16.0</v>
      </c>
      <c r="B576" s="34">
        <v>5.0</v>
      </c>
      <c r="C576" s="34">
        <v>51.0</v>
      </c>
      <c r="D576" s="1" t="s">
        <v>1609</v>
      </c>
      <c r="E576" s="1" t="s">
        <v>1678</v>
      </c>
      <c r="F576" s="1" t="s">
        <v>1679</v>
      </c>
      <c r="G576" s="1">
        <v>15.0</v>
      </c>
      <c r="H576" s="1">
        <v>104.0</v>
      </c>
      <c r="I576" s="1" t="s">
        <v>388</v>
      </c>
      <c r="J576" s="1" t="s">
        <v>1530</v>
      </c>
      <c r="K576" s="1">
        <v>1.0</v>
      </c>
      <c r="L576" s="1" t="s">
        <v>1531</v>
      </c>
    </row>
    <row r="577" hidden="1">
      <c r="A577" s="34">
        <v>16.0</v>
      </c>
      <c r="B577" s="34">
        <v>5.0</v>
      </c>
      <c r="C577" s="34">
        <v>58.0</v>
      </c>
      <c r="D577" s="1" t="s">
        <v>1609</v>
      </c>
      <c r="E577" s="1" t="s">
        <v>1678</v>
      </c>
      <c r="F577" s="1" t="s">
        <v>1680</v>
      </c>
      <c r="G577" s="1">
        <v>15.0</v>
      </c>
      <c r="H577" s="1">
        <v>104.0</v>
      </c>
      <c r="I577" s="1" t="s">
        <v>388</v>
      </c>
      <c r="J577" s="1" t="s">
        <v>1530</v>
      </c>
      <c r="K577" s="1">
        <v>1.0</v>
      </c>
      <c r="L577" s="1" t="s">
        <v>1531</v>
      </c>
    </row>
    <row r="578" hidden="1">
      <c r="A578" s="34">
        <v>16.0</v>
      </c>
      <c r="B578" s="34">
        <v>5.0</v>
      </c>
      <c r="C578" s="34">
        <v>61.0</v>
      </c>
      <c r="D578" s="1" t="s">
        <v>1609</v>
      </c>
      <c r="E578" s="1" t="s">
        <v>1678</v>
      </c>
      <c r="F578" s="1" t="s">
        <v>1681</v>
      </c>
      <c r="G578" s="1">
        <v>15.0</v>
      </c>
      <c r="H578" s="1">
        <v>57.0</v>
      </c>
      <c r="I578" s="1" t="s">
        <v>388</v>
      </c>
      <c r="J578" s="1" t="s">
        <v>1682</v>
      </c>
      <c r="K578" s="1">
        <v>1.0</v>
      </c>
      <c r="L578" s="1" t="s">
        <v>1678</v>
      </c>
    </row>
    <row r="579" hidden="1">
      <c r="A579" s="34">
        <v>16.0</v>
      </c>
      <c r="B579" s="34">
        <v>5.0</v>
      </c>
      <c r="C579" s="34">
        <v>63.0</v>
      </c>
      <c r="D579" s="1" t="s">
        <v>1609</v>
      </c>
      <c r="E579" s="1" t="s">
        <v>1678</v>
      </c>
      <c r="F579" s="1" t="s">
        <v>1683</v>
      </c>
      <c r="G579" s="1">
        <v>15.0</v>
      </c>
      <c r="H579" s="1">
        <v>60.0</v>
      </c>
      <c r="I579" s="1" t="s">
        <v>388</v>
      </c>
      <c r="J579" s="1" t="s">
        <v>1684</v>
      </c>
      <c r="K579" s="1">
        <v>1.0</v>
      </c>
      <c r="L579" s="1" t="s">
        <v>1685</v>
      </c>
    </row>
    <row r="580" hidden="1">
      <c r="A580" s="34">
        <v>16.0</v>
      </c>
      <c r="B580" s="34">
        <v>5.0</v>
      </c>
      <c r="C580" s="34">
        <v>65.0</v>
      </c>
      <c r="D580" s="1" t="s">
        <v>1609</v>
      </c>
      <c r="E580" s="1" t="s">
        <v>1678</v>
      </c>
      <c r="F580" s="1" t="s">
        <v>1686</v>
      </c>
      <c r="G580" s="1">
        <v>15.0</v>
      </c>
      <c r="H580" s="1">
        <v>57.0</v>
      </c>
      <c r="I580" s="1" t="s">
        <v>388</v>
      </c>
      <c r="J580" s="1" t="s">
        <v>1682</v>
      </c>
      <c r="K580" s="1">
        <v>1.0</v>
      </c>
      <c r="L580" s="1" t="s">
        <v>1678</v>
      </c>
    </row>
    <row r="581" hidden="1">
      <c r="A581" s="34">
        <v>16.0</v>
      </c>
      <c r="B581" s="34">
        <v>5.0</v>
      </c>
      <c r="C581" s="34">
        <v>66.0</v>
      </c>
      <c r="D581" s="1" t="s">
        <v>1609</v>
      </c>
      <c r="E581" s="1" t="s">
        <v>1678</v>
      </c>
      <c r="F581" s="1" t="s">
        <v>1687</v>
      </c>
      <c r="G581" s="1">
        <v>15.0</v>
      </c>
      <c r="H581" s="1">
        <v>60.0</v>
      </c>
      <c r="I581" s="1" t="s">
        <v>388</v>
      </c>
      <c r="J581" s="1" t="s">
        <v>1684</v>
      </c>
      <c r="K581" s="1">
        <v>1.0</v>
      </c>
      <c r="L581" s="1" t="s">
        <v>1685</v>
      </c>
    </row>
    <row r="582" hidden="1">
      <c r="A582" s="34">
        <v>16.0</v>
      </c>
      <c r="B582" s="34">
        <v>5.0</v>
      </c>
      <c r="C582" s="34">
        <v>80.0</v>
      </c>
      <c r="D582" s="1" t="s">
        <v>1609</v>
      </c>
      <c r="E582" s="1" t="s">
        <v>1678</v>
      </c>
      <c r="F582" s="1" t="s">
        <v>1688</v>
      </c>
      <c r="G582" s="1">
        <v>15.0</v>
      </c>
      <c r="H582" s="1">
        <v>104.0</v>
      </c>
      <c r="I582" s="1" t="s">
        <v>388</v>
      </c>
      <c r="J582" s="1" t="s">
        <v>1530</v>
      </c>
      <c r="K582" s="1">
        <v>1.0</v>
      </c>
      <c r="L582" s="1" t="s">
        <v>1531</v>
      </c>
    </row>
    <row r="583" hidden="1">
      <c r="A583" s="34">
        <v>16.0</v>
      </c>
      <c r="B583" s="34">
        <v>5.0</v>
      </c>
      <c r="C583" s="34">
        <v>88.0</v>
      </c>
      <c r="D583" s="1" t="s">
        <v>1609</v>
      </c>
      <c r="E583" s="1" t="s">
        <v>1678</v>
      </c>
      <c r="F583" s="1" t="s">
        <v>1689</v>
      </c>
      <c r="G583" s="1">
        <v>15.0</v>
      </c>
      <c r="H583" s="1">
        <v>46.0</v>
      </c>
      <c r="I583" s="1" t="s">
        <v>388</v>
      </c>
      <c r="J583" s="1" t="s">
        <v>1690</v>
      </c>
      <c r="K583" s="1">
        <v>1.0</v>
      </c>
      <c r="L583" s="1" t="s">
        <v>1691</v>
      </c>
    </row>
    <row r="584" hidden="1">
      <c r="A584" s="34">
        <v>16.0</v>
      </c>
      <c r="B584" s="34">
        <v>5.0</v>
      </c>
      <c r="C584" s="34">
        <v>97.0</v>
      </c>
      <c r="D584" s="1" t="s">
        <v>1609</v>
      </c>
      <c r="E584" s="1" t="s">
        <v>1678</v>
      </c>
      <c r="F584" s="1" t="s">
        <v>1692</v>
      </c>
      <c r="G584" s="1">
        <v>15.0</v>
      </c>
      <c r="H584" s="1">
        <v>57.0</v>
      </c>
      <c r="I584" s="1" t="s">
        <v>388</v>
      </c>
      <c r="J584" s="1" t="s">
        <v>1682</v>
      </c>
      <c r="K584" s="1">
        <v>1.0</v>
      </c>
      <c r="L584" s="1" t="s">
        <v>1678</v>
      </c>
    </row>
    <row r="585" hidden="1">
      <c r="A585" s="34">
        <v>16.0</v>
      </c>
      <c r="B585" s="34">
        <v>5.0</v>
      </c>
      <c r="C585" s="34">
        <v>187.0</v>
      </c>
      <c r="D585" s="1" t="s">
        <v>1609</v>
      </c>
      <c r="E585" s="1" t="s">
        <v>1678</v>
      </c>
      <c r="F585" s="1" t="s">
        <v>1693</v>
      </c>
      <c r="G585" s="1">
        <v>15.0</v>
      </c>
      <c r="H585" s="1">
        <v>13.0</v>
      </c>
      <c r="I585" s="1" t="s">
        <v>388</v>
      </c>
      <c r="J585" s="1" t="s">
        <v>1694</v>
      </c>
      <c r="K585" s="1">
        <v>1.0</v>
      </c>
      <c r="L585" s="1" t="s">
        <v>1695</v>
      </c>
    </row>
    <row r="586" hidden="1">
      <c r="A586" s="34">
        <v>16.0</v>
      </c>
      <c r="B586" s="34">
        <v>5.0</v>
      </c>
      <c r="C586" s="34">
        <v>190.0</v>
      </c>
      <c r="D586" s="1" t="s">
        <v>1609</v>
      </c>
      <c r="E586" s="1" t="s">
        <v>1678</v>
      </c>
      <c r="F586" s="1" t="s">
        <v>1696</v>
      </c>
      <c r="G586" s="1">
        <v>15.0</v>
      </c>
      <c r="H586" s="1">
        <v>37.0</v>
      </c>
      <c r="I586" s="1" t="s">
        <v>388</v>
      </c>
      <c r="J586" s="1" t="s">
        <v>1697</v>
      </c>
      <c r="K586" s="1">
        <v>1.0</v>
      </c>
      <c r="L586" s="1" t="s">
        <v>1698</v>
      </c>
    </row>
    <row r="587" hidden="1">
      <c r="A587" s="34">
        <v>16.0</v>
      </c>
      <c r="B587" s="34">
        <v>5.0</v>
      </c>
      <c r="C587" s="34">
        <v>192.0</v>
      </c>
      <c r="D587" s="1" t="s">
        <v>1609</v>
      </c>
      <c r="E587" s="1" t="s">
        <v>1678</v>
      </c>
      <c r="F587" s="1" t="s">
        <v>1699</v>
      </c>
      <c r="G587" s="1">
        <v>15.0</v>
      </c>
      <c r="H587" s="1">
        <v>13.0</v>
      </c>
      <c r="I587" s="1" t="s">
        <v>388</v>
      </c>
      <c r="J587" s="1" t="s">
        <v>1694</v>
      </c>
      <c r="K587" s="1">
        <v>1.0</v>
      </c>
      <c r="L587" s="1" t="s">
        <v>1695</v>
      </c>
    </row>
    <row r="588" hidden="1">
      <c r="A588" s="34">
        <v>17.0</v>
      </c>
      <c r="B588" s="34">
        <v>3.0</v>
      </c>
      <c r="C588" s="34">
        <v>2.0</v>
      </c>
      <c r="D588" s="1" t="s">
        <v>1700</v>
      </c>
      <c r="E588" s="1" t="s">
        <v>602</v>
      </c>
      <c r="F588" s="1" t="s">
        <v>1701</v>
      </c>
      <c r="G588" s="1">
        <v>16.0</v>
      </c>
      <c r="H588" s="1">
        <v>107.0</v>
      </c>
      <c r="I588" s="1" t="s">
        <v>1700</v>
      </c>
      <c r="J588" s="1" t="s">
        <v>1702</v>
      </c>
      <c r="K588" s="1">
        <v>1.0</v>
      </c>
      <c r="L588" s="1" t="s">
        <v>1702</v>
      </c>
    </row>
    <row r="589" hidden="1">
      <c r="A589" s="34">
        <v>17.0</v>
      </c>
      <c r="B589" s="34">
        <v>3.0</v>
      </c>
      <c r="C589" s="34">
        <v>3.0</v>
      </c>
      <c r="D589" s="1" t="s">
        <v>1700</v>
      </c>
      <c r="E589" s="1" t="s">
        <v>602</v>
      </c>
      <c r="F589" s="1" t="s">
        <v>1703</v>
      </c>
      <c r="G589" s="1">
        <v>16.0</v>
      </c>
      <c r="H589" s="1">
        <v>73.0</v>
      </c>
      <c r="I589" s="1" t="s">
        <v>1700</v>
      </c>
      <c r="J589" s="1" t="s">
        <v>1704</v>
      </c>
      <c r="K589" s="1">
        <v>1.0</v>
      </c>
      <c r="L589" s="1" t="s">
        <v>1704</v>
      </c>
    </row>
    <row r="590" hidden="1">
      <c r="A590" s="34">
        <v>17.0</v>
      </c>
      <c r="B590" s="34">
        <v>3.0</v>
      </c>
      <c r="C590" s="34">
        <v>20.0</v>
      </c>
      <c r="D590" s="1" t="s">
        <v>1700</v>
      </c>
      <c r="E590" s="1" t="s">
        <v>602</v>
      </c>
      <c r="F590" s="1" t="s">
        <v>1705</v>
      </c>
      <c r="G590" s="1">
        <v>16.0</v>
      </c>
      <c r="H590" s="1">
        <v>66.0</v>
      </c>
      <c r="I590" s="1" t="s">
        <v>1700</v>
      </c>
      <c r="J590" s="1" t="s">
        <v>1706</v>
      </c>
      <c r="K590" s="1">
        <v>1.0</v>
      </c>
      <c r="L590" s="1" t="s">
        <v>1706</v>
      </c>
    </row>
    <row r="591" hidden="1">
      <c r="A591" s="34">
        <v>17.0</v>
      </c>
      <c r="B591" s="34">
        <v>3.0</v>
      </c>
      <c r="C591" s="34">
        <v>24.0</v>
      </c>
      <c r="D591" s="1" t="s">
        <v>1700</v>
      </c>
      <c r="E591" s="1" t="s">
        <v>602</v>
      </c>
      <c r="F591" s="1" t="s">
        <v>1707</v>
      </c>
      <c r="G591" s="1">
        <v>16.0</v>
      </c>
      <c r="H591" s="1">
        <v>82.0</v>
      </c>
      <c r="I591" s="1" t="s">
        <v>1700</v>
      </c>
      <c r="J591" s="1" t="s">
        <v>1708</v>
      </c>
      <c r="K591" s="1">
        <v>66.0</v>
      </c>
      <c r="L591" s="1" t="s">
        <v>1709</v>
      </c>
    </row>
    <row r="592" hidden="1">
      <c r="A592" s="34">
        <v>17.0</v>
      </c>
      <c r="B592" s="34">
        <v>3.0</v>
      </c>
      <c r="C592" s="34">
        <v>25.0</v>
      </c>
      <c r="D592" s="1" t="s">
        <v>1700</v>
      </c>
      <c r="E592" s="1" t="s">
        <v>602</v>
      </c>
      <c r="F592" s="1" t="s">
        <v>1710</v>
      </c>
      <c r="G592" s="1">
        <v>16.0</v>
      </c>
      <c r="H592" s="1">
        <v>97.0</v>
      </c>
      <c r="I592" s="1" t="s">
        <v>1700</v>
      </c>
      <c r="J592" s="1" t="s">
        <v>1711</v>
      </c>
      <c r="K592" s="1">
        <v>1.0</v>
      </c>
      <c r="L592" s="1" t="s">
        <v>1711</v>
      </c>
    </row>
    <row r="593" hidden="1">
      <c r="A593" s="34">
        <v>17.0</v>
      </c>
      <c r="B593" s="34">
        <v>3.0</v>
      </c>
      <c r="C593" s="34">
        <v>42.0</v>
      </c>
      <c r="D593" s="1" t="s">
        <v>1700</v>
      </c>
      <c r="E593" s="1" t="s">
        <v>602</v>
      </c>
      <c r="F593" s="1" t="s">
        <v>1712</v>
      </c>
      <c r="G593" s="1">
        <v>16.0</v>
      </c>
      <c r="H593" s="1">
        <v>20.0</v>
      </c>
      <c r="I593" s="1" t="s">
        <v>1700</v>
      </c>
      <c r="J593" s="1" t="s">
        <v>1713</v>
      </c>
      <c r="K593" s="1">
        <v>1.0</v>
      </c>
      <c r="L593" s="1" t="s">
        <v>1714</v>
      </c>
    </row>
    <row r="594" hidden="1">
      <c r="A594" s="34">
        <v>17.0</v>
      </c>
      <c r="B594" s="34">
        <v>3.0</v>
      </c>
      <c r="C594" s="34">
        <v>43.0</v>
      </c>
      <c r="D594" s="1" t="s">
        <v>1700</v>
      </c>
      <c r="E594" s="1" t="s">
        <v>602</v>
      </c>
      <c r="F594" s="1" t="s">
        <v>601</v>
      </c>
      <c r="G594" s="1">
        <v>16.0</v>
      </c>
      <c r="H594" s="1">
        <v>29.0</v>
      </c>
      <c r="I594" s="1" t="s">
        <v>1700</v>
      </c>
      <c r="J594" s="1" t="s">
        <v>1715</v>
      </c>
      <c r="K594" s="1">
        <v>1.0</v>
      </c>
      <c r="L594" s="1" t="s">
        <v>1716</v>
      </c>
    </row>
    <row r="595" hidden="1">
      <c r="A595" s="34">
        <v>17.0</v>
      </c>
      <c r="B595" s="34">
        <v>3.0</v>
      </c>
      <c r="C595" s="34">
        <v>46.0</v>
      </c>
      <c r="D595" s="1" t="s">
        <v>1700</v>
      </c>
      <c r="E595" s="1" t="s">
        <v>602</v>
      </c>
      <c r="F595" s="1" t="s">
        <v>1717</v>
      </c>
      <c r="G595" s="1">
        <v>16.0</v>
      </c>
      <c r="H595" s="1">
        <v>35.0</v>
      </c>
      <c r="I595" s="1" t="s">
        <v>1700</v>
      </c>
      <c r="J595" s="1" t="s">
        <v>1718</v>
      </c>
      <c r="K595" s="1">
        <v>1.0</v>
      </c>
      <c r="L595" s="1" t="s">
        <v>1718</v>
      </c>
    </row>
    <row r="596" hidden="1">
      <c r="A596" s="34">
        <v>17.0</v>
      </c>
      <c r="B596" s="34">
        <v>3.0</v>
      </c>
      <c r="C596" s="34">
        <v>64.0</v>
      </c>
      <c r="D596" s="1" t="s">
        <v>1700</v>
      </c>
      <c r="E596" s="1" t="s">
        <v>602</v>
      </c>
      <c r="F596" s="1" t="s">
        <v>1719</v>
      </c>
      <c r="G596" s="1">
        <v>16.0</v>
      </c>
      <c r="H596" s="1">
        <v>71.0</v>
      </c>
      <c r="I596" s="1" t="s">
        <v>1700</v>
      </c>
      <c r="J596" s="1" t="s">
        <v>1720</v>
      </c>
      <c r="K596" s="1">
        <v>1.0</v>
      </c>
      <c r="L596" s="1" t="s">
        <v>1720</v>
      </c>
    </row>
    <row r="597" hidden="1">
      <c r="A597" s="34">
        <v>17.0</v>
      </c>
      <c r="B597" s="34">
        <v>3.0</v>
      </c>
      <c r="C597" s="34">
        <v>65.0</v>
      </c>
      <c r="D597" s="1" t="s">
        <v>1700</v>
      </c>
      <c r="E597" s="1" t="s">
        <v>602</v>
      </c>
      <c r="F597" s="1" t="s">
        <v>1721</v>
      </c>
      <c r="G597" s="1">
        <v>16.0</v>
      </c>
      <c r="H597" s="1">
        <v>49.0</v>
      </c>
      <c r="I597" s="1" t="s">
        <v>1700</v>
      </c>
      <c r="J597" s="1" t="s">
        <v>1722</v>
      </c>
      <c r="K597" s="1">
        <v>1.0</v>
      </c>
      <c r="L597" s="1" t="s">
        <v>1723</v>
      </c>
    </row>
    <row r="598" hidden="1">
      <c r="A598" s="34">
        <v>17.0</v>
      </c>
      <c r="B598" s="34">
        <v>3.0</v>
      </c>
      <c r="C598" s="34">
        <v>70.0</v>
      </c>
      <c r="D598" s="1" t="s">
        <v>1700</v>
      </c>
      <c r="E598" s="1" t="s">
        <v>602</v>
      </c>
      <c r="F598" s="1" t="s">
        <v>1724</v>
      </c>
      <c r="G598" s="1">
        <v>16.0</v>
      </c>
      <c r="H598" s="1">
        <v>110.0</v>
      </c>
      <c r="I598" s="1" t="s">
        <v>1700</v>
      </c>
      <c r="J598" s="1" t="s">
        <v>1725</v>
      </c>
      <c r="K598" s="1">
        <v>1.0</v>
      </c>
      <c r="L598" s="1" t="s">
        <v>1726</v>
      </c>
    </row>
    <row r="599" hidden="1">
      <c r="A599" s="34">
        <v>17.0</v>
      </c>
      <c r="B599" s="34">
        <v>3.0</v>
      </c>
      <c r="C599" s="34">
        <v>71.0</v>
      </c>
      <c r="D599" s="1" t="s">
        <v>1700</v>
      </c>
      <c r="E599" s="1" t="s">
        <v>602</v>
      </c>
      <c r="F599" s="1" t="s">
        <v>1727</v>
      </c>
      <c r="G599" s="1">
        <v>16.0</v>
      </c>
      <c r="H599" s="1">
        <v>53.0</v>
      </c>
      <c r="I599" s="1" t="s">
        <v>1700</v>
      </c>
      <c r="J599" s="1" t="s">
        <v>602</v>
      </c>
      <c r="K599" s="1">
        <v>1.0</v>
      </c>
      <c r="L599" s="1" t="s">
        <v>602</v>
      </c>
    </row>
    <row r="600" hidden="1">
      <c r="A600" s="34">
        <v>17.0</v>
      </c>
      <c r="B600" s="34">
        <v>3.0</v>
      </c>
      <c r="C600" s="34">
        <v>74.0</v>
      </c>
      <c r="D600" s="1" t="s">
        <v>1700</v>
      </c>
      <c r="E600" s="1" t="s">
        <v>602</v>
      </c>
      <c r="F600" s="1" t="s">
        <v>1728</v>
      </c>
      <c r="G600" s="1">
        <v>16.0</v>
      </c>
      <c r="H600" s="1">
        <v>82.0</v>
      </c>
      <c r="I600" s="1" t="s">
        <v>1700</v>
      </c>
      <c r="J600" s="1" t="s">
        <v>1708</v>
      </c>
      <c r="K600" s="1">
        <v>1.0</v>
      </c>
      <c r="L600" s="1" t="s">
        <v>1729</v>
      </c>
    </row>
    <row r="601" hidden="1">
      <c r="A601" s="34">
        <v>17.0</v>
      </c>
      <c r="B601" s="34">
        <v>3.0</v>
      </c>
      <c r="C601" s="34">
        <v>75.0</v>
      </c>
      <c r="D601" s="1" t="s">
        <v>1700</v>
      </c>
      <c r="E601" s="1" t="s">
        <v>602</v>
      </c>
      <c r="F601" s="1" t="s">
        <v>1732</v>
      </c>
      <c r="G601" s="1">
        <v>16.0</v>
      </c>
      <c r="H601" s="1">
        <v>53.0</v>
      </c>
      <c r="I601" s="1" t="s">
        <v>1700</v>
      </c>
      <c r="J601" s="1" t="s">
        <v>602</v>
      </c>
      <c r="K601" s="1">
        <v>1.0</v>
      </c>
      <c r="L601" s="1" t="s">
        <v>602</v>
      </c>
    </row>
    <row r="602" hidden="1">
      <c r="A602" s="34">
        <v>17.0</v>
      </c>
      <c r="B602" s="34">
        <v>3.0</v>
      </c>
      <c r="C602" s="34">
        <v>80.0</v>
      </c>
      <c r="D602" s="1" t="s">
        <v>1700</v>
      </c>
      <c r="E602" s="1" t="s">
        <v>602</v>
      </c>
      <c r="F602" s="1" t="s">
        <v>1733</v>
      </c>
      <c r="G602" s="1">
        <v>16.0</v>
      </c>
      <c r="H602" s="1">
        <v>53.0</v>
      </c>
      <c r="I602" s="1" t="s">
        <v>1700</v>
      </c>
      <c r="J602" s="1" t="s">
        <v>602</v>
      </c>
      <c r="K602" s="1">
        <v>1.0</v>
      </c>
      <c r="L602" s="1" t="s">
        <v>602</v>
      </c>
    </row>
    <row r="603" hidden="1">
      <c r="A603" s="34">
        <v>17.0</v>
      </c>
      <c r="B603" s="34">
        <v>3.0</v>
      </c>
      <c r="C603" s="34">
        <v>84.0</v>
      </c>
      <c r="D603" s="1" t="s">
        <v>1700</v>
      </c>
      <c r="E603" s="1" t="s">
        <v>602</v>
      </c>
      <c r="F603" s="1" t="s">
        <v>1734</v>
      </c>
      <c r="G603" s="1">
        <v>16.0</v>
      </c>
      <c r="H603" s="1">
        <v>53.0</v>
      </c>
      <c r="I603" s="1" t="s">
        <v>1700</v>
      </c>
      <c r="J603" s="1" t="s">
        <v>602</v>
      </c>
      <c r="K603" s="1">
        <v>563.0</v>
      </c>
      <c r="L603" s="1" t="s">
        <v>1735</v>
      </c>
    </row>
    <row r="604" hidden="1">
      <c r="A604" s="34">
        <v>17.0</v>
      </c>
      <c r="B604" s="34">
        <v>3.0</v>
      </c>
      <c r="C604" s="34">
        <v>85.0</v>
      </c>
      <c r="D604" s="1" t="s">
        <v>1700</v>
      </c>
      <c r="E604" s="1" t="s">
        <v>602</v>
      </c>
      <c r="F604" s="1" t="s">
        <v>1736</v>
      </c>
      <c r="G604" s="1">
        <v>16.0</v>
      </c>
      <c r="H604" s="1">
        <v>88.0</v>
      </c>
      <c r="I604" s="1" t="s">
        <v>1700</v>
      </c>
      <c r="J604" s="1" t="s">
        <v>1737</v>
      </c>
      <c r="K604" s="1">
        <v>145.0</v>
      </c>
      <c r="L604" s="1" t="s">
        <v>1738</v>
      </c>
    </row>
    <row r="605" hidden="1">
      <c r="A605" s="34">
        <v>17.0</v>
      </c>
      <c r="B605" s="34">
        <v>9.0</v>
      </c>
      <c r="C605" s="34">
        <v>9.0</v>
      </c>
      <c r="D605" s="1" t="s">
        <v>1700</v>
      </c>
      <c r="E605" s="1" t="s">
        <v>1739</v>
      </c>
      <c r="F605" s="1" t="s">
        <v>1740</v>
      </c>
      <c r="G605" s="1">
        <v>16.0</v>
      </c>
      <c r="H605" s="1">
        <v>6.0</v>
      </c>
      <c r="I605" s="1" t="s">
        <v>1700</v>
      </c>
      <c r="J605" s="1" t="s">
        <v>1741</v>
      </c>
      <c r="K605" s="1">
        <v>1.0</v>
      </c>
      <c r="L605" s="1" t="s">
        <v>1742</v>
      </c>
    </row>
    <row r="606" hidden="1">
      <c r="A606" s="34">
        <v>17.0</v>
      </c>
      <c r="B606" s="34">
        <v>9.0</v>
      </c>
      <c r="C606" s="34">
        <v>11.0</v>
      </c>
      <c r="D606" s="1" t="s">
        <v>1700</v>
      </c>
      <c r="E606" s="1" t="s">
        <v>1739</v>
      </c>
      <c r="F606" s="1" t="s">
        <v>1743</v>
      </c>
      <c r="G606" s="1">
        <v>16.0</v>
      </c>
      <c r="H606" s="1">
        <v>55.0</v>
      </c>
      <c r="I606" s="1" t="s">
        <v>1700</v>
      </c>
      <c r="J606" s="1" t="s">
        <v>1744</v>
      </c>
      <c r="K606" s="1">
        <v>1.0</v>
      </c>
      <c r="L606" s="1" t="s">
        <v>1745</v>
      </c>
    </row>
    <row r="607" hidden="1">
      <c r="A607" s="34">
        <v>17.0</v>
      </c>
      <c r="B607" s="34">
        <v>9.0</v>
      </c>
      <c r="C607" s="34">
        <v>23.0</v>
      </c>
      <c r="D607" s="1" t="s">
        <v>1700</v>
      </c>
      <c r="E607" s="1" t="s">
        <v>1739</v>
      </c>
      <c r="F607" s="1" t="s">
        <v>1746</v>
      </c>
      <c r="G607" s="1">
        <v>16.0</v>
      </c>
      <c r="H607" s="1">
        <v>10.0</v>
      </c>
      <c r="I607" s="1" t="s">
        <v>1700</v>
      </c>
      <c r="J607" s="1" t="s">
        <v>644</v>
      </c>
      <c r="K607" s="1">
        <v>247.0</v>
      </c>
      <c r="L607" s="1" t="s">
        <v>1747</v>
      </c>
    </row>
    <row r="608" hidden="1">
      <c r="A608" s="34">
        <v>17.0</v>
      </c>
      <c r="B608" s="34">
        <v>9.0</v>
      </c>
      <c r="C608" s="34">
        <v>26.0</v>
      </c>
      <c r="D608" s="1" t="s">
        <v>1700</v>
      </c>
      <c r="E608" s="1" t="s">
        <v>1739</v>
      </c>
      <c r="F608" s="1" t="s">
        <v>1748</v>
      </c>
      <c r="G608" s="1">
        <v>16.0</v>
      </c>
      <c r="H608" s="1">
        <v>87.0</v>
      </c>
      <c r="I608" s="1" t="s">
        <v>1700</v>
      </c>
      <c r="J608" s="1" t="s">
        <v>1749</v>
      </c>
      <c r="K608" s="1">
        <v>1.0</v>
      </c>
      <c r="L608" s="1" t="s">
        <v>1749</v>
      </c>
    </row>
    <row r="609" hidden="1">
      <c r="A609" s="34">
        <v>17.0</v>
      </c>
      <c r="B609" s="34">
        <v>9.0</v>
      </c>
      <c r="C609" s="34">
        <v>40.0</v>
      </c>
      <c r="D609" s="1" t="s">
        <v>1700</v>
      </c>
      <c r="E609" s="1" t="s">
        <v>1739</v>
      </c>
      <c r="F609" s="1" t="s">
        <v>1750</v>
      </c>
      <c r="G609" s="1">
        <v>16.0</v>
      </c>
      <c r="H609" s="1">
        <v>15.0</v>
      </c>
      <c r="I609" s="1" t="s">
        <v>1700</v>
      </c>
      <c r="J609" s="1" t="s">
        <v>1751</v>
      </c>
      <c r="K609" s="1">
        <v>1.0</v>
      </c>
      <c r="L609" s="1" t="s">
        <v>1751</v>
      </c>
    </row>
    <row r="610" hidden="1">
      <c r="A610" s="34">
        <v>17.0</v>
      </c>
      <c r="B610" s="34">
        <v>9.0</v>
      </c>
      <c r="C610" s="34">
        <v>52.0</v>
      </c>
      <c r="D610" s="1" t="s">
        <v>1700</v>
      </c>
      <c r="E610" s="1" t="s">
        <v>1739</v>
      </c>
      <c r="F610" s="1" t="s">
        <v>1752</v>
      </c>
      <c r="G610" s="1">
        <v>16.0</v>
      </c>
      <c r="H610" s="1">
        <v>59.0</v>
      </c>
      <c r="I610" s="1" t="s">
        <v>1700</v>
      </c>
      <c r="J610" s="1" t="s">
        <v>1753</v>
      </c>
      <c r="K610" s="1">
        <v>1.0</v>
      </c>
      <c r="L610" s="1" t="s">
        <v>1753</v>
      </c>
    </row>
    <row r="611" hidden="1">
      <c r="A611" s="34">
        <v>17.0</v>
      </c>
      <c r="B611" s="34">
        <v>9.0</v>
      </c>
      <c r="C611" s="34">
        <v>57.0</v>
      </c>
      <c r="D611" s="1" t="s">
        <v>1700</v>
      </c>
      <c r="E611" s="1" t="s">
        <v>1739</v>
      </c>
      <c r="F611" s="1" t="s">
        <v>1754</v>
      </c>
      <c r="G611" s="1">
        <v>16.0</v>
      </c>
      <c r="H611" s="1">
        <v>83.0</v>
      </c>
      <c r="I611" s="1" t="s">
        <v>1700</v>
      </c>
      <c r="J611" s="1" t="s">
        <v>1755</v>
      </c>
      <c r="K611" s="1">
        <v>1.0</v>
      </c>
      <c r="L611" s="1" t="s">
        <v>1755</v>
      </c>
    </row>
    <row r="612" hidden="1">
      <c r="A612" s="34">
        <v>17.0</v>
      </c>
      <c r="B612" s="34">
        <v>9.0</v>
      </c>
      <c r="C612" s="34">
        <v>58.0</v>
      </c>
      <c r="D612" s="1" t="s">
        <v>1700</v>
      </c>
      <c r="E612" s="1" t="s">
        <v>1739</v>
      </c>
      <c r="F612" s="1" t="s">
        <v>1756</v>
      </c>
      <c r="G612" s="1">
        <v>16.0</v>
      </c>
      <c r="H612" s="1">
        <v>89.0</v>
      </c>
      <c r="I612" s="1" t="s">
        <v>1700</v>
      </c>
      <c r="J612" s="1" t="s">
        <v>1757</v>
      </c>
      <c r="K612" s="1">
        <v>1.0</v>
      </c>
      <c r="L612" s="1" t="s">
        <v>1757</v>
      </c>
    </row>
    <row r="613" hidden="1">
      <c r="A613" s="34">
        <v>17.0</v>
      </c>
      <c r="B613" s="34">
        <v>9.0</v>
      </c>
      <c r="C613" s="34">
        <v>73.0</v>
      </c>
      <c r="D613" s="1" t="s">
        <v>1700</v>
      </c>
      <c r="E613" s="1" t="s">
        <v>1739</v>
      </c>
      <c r="F613" s="1" t="s">
        <v>1758</v>
      </c>
      <c r="G613" s="1">
        <v>16.0</v>
      </c>
      <c r="H613" s="1">
        <v>102.0</v>
      </c>
      <c r="I613" s="1" t="s">
        <v>1700</v>
      </c>
      <c r="J613" s="1" t="s">
        <v>1739</v>
      </c>
      <c r="K613" s="1">
        <v>1.0</v>
      </c>
      <c r="L613" s="1" t="s">
        <v>1739</v>
      </c>
    </row>
    <row r="614" hidden="1">
      <c r="A614" s="34">
        <v>17.0</v>
      </c>
      <c r="B614" s="34">
        <v>9.0</v>
      </c>
      <c r="C614" s="34">
        <v>76.0</v>
      </c>
      <c r="D614" s="1" t="s">
        <v>1700</v>
      </c>
      <c r="E614" s="1" t="s">
        <v>1739</v>
      </c>
      <c r="F614" s="1" t="s">
        <v>1759</v>
      </c>
      <c r="G614" s="1">
        <v>16.0</v>
      </c>
      <c r="H614" s="1">
        <v>102.0</v>
      </c>
      <c r="I614" s="1" t="s">
        <v>1700</v>
      </c>
      <c r="J614" s="1" t="s">
        <v>1739</v>
      </c>
      <c r="K614" s="1">
        <v>1.0</v>
      </c>
      <c r="L614" s="1" t="s">
        <v>1739</v>
      </c>
    </row>
    <row r="615" hidden="1">
      <c r="A615" s="34">
        <v>17.0</v>
      </c>
      <c r="B615" s="34">
        <v>9.0</v>
      </c>
      <c r="C615" s="34">
        <v>81.0</v>
      </c>
      <c r="D615" s="1" t="s">
        <v>1700</v>
      </c>
      <c r="E615" s="1" t="s">
        <v>1739</v>
      </c>
      <c r="F615" s="1" t="s">
        <v>1760</v>
      </c>
      <c r="G615" s="1">
        <v>16.0</v>
      </c>
      <c r="H615" s="1">
        <v>102.0</v>
      </c>
      <c r="I615" s="1" t="s">
        <v>1700</v>
      </c>
      <c r="J615" s="1" t="s">
        <v>1739</v>
      </c>
      <c r="K615" s="1">
        <v>1.0</v>
      </c>
      <c r="L615" s="1" t="s">
        <v>1739</v>
      </c>
    </row>
    <row r="616" hidden="1">
      <c r="A616" s="34">
        <v>17.0</v>
      </c>
      <c r="B616" s="34">
        <v>13.0</v>
      </c>
      <c r="C616" s="34">
        <v>5.0</v>
      </c>
      <c r="D616" s="1" t="s">
        <v>1700</v>
      </c>
      <c r="E616" s="1" t="s">
        <v>1761</v>
      </c>
      <c r="F616" s="1" t="s">
        <v>1762</v>
      </c>
      <c r="G616" s="1">
        <v>16.0</v>
      </c>
      <c r="H616" s="1">
        <v>76.0</v>
      </c>
      <c r="I616" s="1" t="s">
        <v>1700</v>
      </c>
      <c r="J616" s="1" t="s">
        <v>1763</v>
      </c>
      <c r="K616" s="1">
        <v>1.0</v>
      </c>
      <c r="L616" s="1" t="s">
        <v>1764</v>
      </c>
    </row>
    <row r="617" hidden="1">
      <c r="A617" s="34">
        <v>17.0</v>
      </c>
      <c r="B617" s="34">
        <v>13.0</v>
      </c>
      <c r="C617" s="34">
        <v>6.0</v>
      </c>
      <c r="D617" s="1" t="s">
        <v>1700</v>
      </c>
      <c r="E617" s="1" t="s">
        <v>1761</v>
      </c>
      <c r="F617" s="1" t="s">
        <v>1765</v>
      </c>
      <c r="G617" s="1">
        <v>16.0</v>
      </c>
      <c r="H617" s="1">
        <v>45.0</v>
      </c>
      <c r="I617" s="1" t="s">
        <v>1700</v>
      </c>
      <c r="J617" s="1" t="s">
        <v>1766</v>
      </c>
      <c r="K617" s="1">
        <v>1.0</v>
      </c>
      <c r="L617" s="1" t="s">
        <v>1767</v>
      </c>
    </row>
    <row r="618" hidden="1">
      <c r="A618" s="34">
        <v>17.0</v>
      </c>
      <c r="B618" s="34">
        <v>13.0</v>
      </c>
      <c r="C618" s="34">
        <v>13.0</v>
      </c>
      <c r="D618" s="1" t="s">
        <v>1700</v>
      </c>
      <c r="E618" s="1" t="s">
        <v>1761</v>
      </c>
      <c r="F618" s="1" t="s">
        <v>1768</v>
      </c>
      <c r="G618" s="1">
        <v>16.0</v>
      </c>
      <c r="H618" s="1">
        <v>19.0</v>
      </c>
      <c r="I618" s="1" t="s">
        <v>1700</v>
      </c>
      <c r="J618" s="1" t="s">
        <v>1769</v>
      </c>
      <c r="K618" s="1">
        <v>1.0</v>
      </c>
      <c r="L618" s="1" t="s">
        <v>1770</v>
      </c>
    </row>
    <row r="619" hidden="1">
      <c r="A619" s="34">
        <v>17.0</v>
      </c>
      <c r="B619" s="34">
        <v>13.0</v>
      </c>
      <c r="C619" s="34">
        <v>17.0</v>
      </c>
      <c r="D619" s="1" t="s">
        <v>1700</v>
      </c>
      <c r="E619" s="1" t="s">
        <v>1761</v>
      </c>
      <c r="F619" s="1" t="s">
        <v>1771</v>
      </c>
      <c r="G619" s="1">
        <v>16.0</v>
      </c>
      <c r="H619" s="1">
        <v>75.0</v>
      </c>
      <c r="I619" s="1" t="s">
        <v>1700</v>
      </c>
      <c r="J619" s="1" t="s">
        <v>1772</v>
      </c>
      <c r="K619" s="1">
        <v>1.0</v>
      </c>
      <c r="L619" s="1" t="s">
        <v>1773</v>
      </c>
    </row>
    <row r="620" hidden="1">
      <c r="A620" s="34">
        <v>17.0</v>
      </c>
      <c r="B620" s="34">
        <v>13.0</v>
      </c>
      <c r="C620" s="34">
        <v>21.0</v>
      </c>
      <c r="D620" s="1" t="s">
        <v>1700</v>
      </c>
      <c r="E620" s="1" t="s">
        <v>1761</v>
      </c>
      <c r="F620" s="1" t="s">
        <v>1774</v>
      </c>
      <c r="G620" s="1">
        <v>16.0</v>
      </c>
      <c r="H620" s="1">
        <v>43.0</v>
      </c>
      <c r="I620" s="1" t="s">
        <v>1700</v>
      </c>
      <c r="J620" s="1" t="s">
        <v>1775</v>
      </c>
      <c r="K620" s="1">
        <v>1.0</v>
      </c>
      <c r="L620" s="1" t="s">
        <v>1776</v>
      </c>
    </row>
    <row r="621" hidden="1">
      <c r="A621" s="34">
        <v>17.0</v>
      </c>
      <c r="B621" s="34">
        <v>13.0</v>
      </c>
      <c r="C621" s="34">
        <v>28.0</v>
      </c>
      <c r="D621" s="1" t="s">
        <v>1700</v>
      </c>
      <c r="E621" s="1" t="s">
        <v>1761</v>
      </c>
      <c r="F621" s="1" t="s">
        <v>1777</v>
      </c>
      <c r="G621" s="1">
        <v>16.0</v>
      </c>
      <c r="H621" s="1">
        <v>95.0</v>
      </c>
      <c r="I621" s="1" t="s">
        <v>1700</v>
      </c>
      <c r="J621" s="1" t="s">
        <v>1778</v>
      </c>
      <c r="K621" s="1">
        <v>1.0</v>
      </c>
      <c r="L621" s="1" t="s">
        <v>1778</v>
      </c>
    </row>
    <row r="622" hidden="1">
      <c r="A622" s="34">
        <v>17.0</v>
      </c>
      <c r="B622" s="34">
        <v>13.0</v>
      </c>
      <c r="C622" s="34">
        <v>54.0</v>
      </c>
      <c r="D622" s="1" t="s">
        <v>1700</v>
      </c>
      <c r="E622" s="1" t="s">
        <v>1761</v>
      </c>
      <c r="F622" s="1" t="s">
        <v>1779</v>
      </c>
      <c r="G622" s="1">
        <v>16.0</v>
      </c>
      <c r="H622" s="1">
        <v>70.0</v>
      </c>
      <c r="I622" s="1" t="s">
        <v>1700</v>
      </c>
      <c r="J622" s="1" t="s">
        <v>1780</v>
      </c>
      <c r="K622" s="1">
        <v>1.0</v>
      </c>
      <c r="L622" s="1" t="s">
        <v>1781</v>
      </c>
    </row>
    <row r="623" hidden="1">
      <c r="A623" s="34">
        <v>17.0</v>
      </c>
      <c r="B623" s="34">
        <v>13.0</v>
      </c>
      <c r="C623" s="34">
        <v>66.0</v>
      </c>
      <c r="D623" s="1" t="s">
        <v>1700</v>
      </c>
      <c r="E623" s="1" t="s">
        <v>1761</v>
      </c>
      <c r="F623" s="1" t="s">
        <v>1782</v>
      </c>
      <c r="G623" s="1">
        <v>16.0</v>
      </c>
      <c r="H623" s="1">
        <v>104.0</v>
      </c>
      <c r="I623" s="1" t="s">
        <v>1700</v>
      </c>
      <c r="J623" s="1" t="s">
        <v>1783</v>
      </c>
      <c r="K623" s="1">
        <v>1.0</v>
      </c>
      <c r="L623" s="1" t="s">
        <v>1783</v>
      </c>
    </row>
    <row r="624" hidden="1">
      <c r="A624" s="34">
        <v>17.0</v>
      </c>
      <c r="B624" s="34">
        <v>13.0</v>
      </c>
      <c r="C624" s="34">
        <v>68.0</v>
      </c>
      <c r="D624" s="1" t="s">
        <v>1700</v>
      </c>
      <c r="E624" s="1" t="s">
        <v>1761</v>
      </c>
      <c r="F624" s="1" t="s">
        <v>1784</v>
      </c>
      <c r="G624" s="1">
        <v>16.0</v>
      </c>
      <c r="H624" s="1">
        <v>105.0</v>
      </c>
      <c r="I624" s="1" t="s">
        <v>1700</v>
      </c>
      <c r="J624" s="1" t="s">
        <v>1785</v>
      </c>
      <c r="K624" s="1">
        <v>1.0</v>
      </c>
      <c r="L624" s="1" t="s">
        <v>1786</v>
      </c>
    </row>
    <row r="625" hidden="1">
      <c r="A625" s="34">
        <v>17.0</v>
      </c>
      <c r="B625" s="34">
        <v>13.0</v>
      </c>
      <c r="C625" s="34">
        <v>72.0</v>
      </c>
      <c r="D625" s="1" t="s">
        <v>1700</v>
      </c>
      <c r="E625" s="1" t="s">
        <v>1761</v>
      </c>
      <c r="F625" s="1" t="s">
        <v>1787</v>
      </c>
      <c r="G625" s="1">
        <v>16.0</v>
      </c>
      <c r="H625" s="1">
        <v>106.0</v>
      </c>
      <c r="I625" s="1" t="s">
        <v>1700</v>
      </c>
      <c r="J625" s="1" t="s">
        <v>1788</v>
      </c>
      <c r="K625" s="1">
        <v>1.0</v>
      </c>
      <c r="L625" s="1" t="s">
        <v>1788</v>
      </c>
    </row>
    <row r="626" hidden="1">
      <c r="A626" s="34">
        <v>17.0</v>
      </c>
      <c r="B626" s="34">
        <v>13.0</v>
      </c>
      <c r="C626" s="34">
        <v>77.0</v>
      </c>
      <c r="D626" s="1" t="s">
        <v>1700</v>
      </c>
      <c r="E626" s="1" t="s">
        <v>1761</v>
      </c>
      <c r="F626" s="1" t="s">
        <v>1789</v>
      </c>
      <c r="G626" s="1">
        <v>16.0</v>
      </c>
      <c r="H626" s="1">
        <v>69.0</v>
      </c>
      <c r="I626" s="1" t="s">
        <v>1700</v>
      </c>
      <c r="J626" s="1" t="s">
        <v>1790</v>
      </c>
      <c r="K626" s="1">
        <v>1.0</v>
      </c>
      <c r="L626" s="1" t="s">
        <v>1791</v>
      </c>
    </row>
    <row r="627" hidden="1">
      <c r="A627" s="34">
        <v>17.0</v>
      </c>
      <c r="B627" s="34">
        <v>13.0</v>
      </c>
      <c r="C627" s="34">
        <v>82.0</v>
      </c>
      <c r="D627" s="1" t="s">
        <v>1700</v>
      </c>
      <c r="E627" s="1" t="s">
        <v>1761</v>
      </c>
      <c r="F627" s="1" t="s">
        <v>1792</v>
      </c>
      <c r="G627" s="1">
        <v>16.0</v>
      </c>
      <c r="H627" s="1">
        <v>108.0</v>
      </c>
      <c r="I627" s="1" t="s">
        <v>1700</v>
      </c>
      <c r="J627" s="1" t="s">
        <v>1761</v>
      </c>
      <c r="K627" s="1">
        <v>1.0</v>
      </c>
      <c r="L627" s="1" t="s">
        <v>1793</v>
      </c>
    </row>
    <row r="628" hidden="1">
      <c r="A628" s="34">
        <v>17.0</v>
      </c>
      <c r="B628" s="34">
        <v>17.0</v>
      </c>
      <c r="C628" s="34">
        <v>10.0</v>
      </c>
      <c r="D628" s="1" t="s">
        <v>1700</v>
      </c>
      <c r="E628" s="1" t="s">
        <v>1794</v>
      </c>
      <c r="F628" s="1" t="s">
        <v>1795</v>
      </c>
      <c r="G628" s="1">
        <v>16.0</v>
      </c>
      <c r="H628" s="1">
        <v>47.0</v>
      </c>
      <c r="I628" s="1" t="s">
        <v>1700</v>
      </c>
      <c r="J628" s="1" t="s">
        <v>1796</v>
      </c>
      <c r="K628" s="1">
        <v>1.0</v>
      </c>
      <c r="L628" s="1" t="s">
        <v>1797</v>
      </c>
    </row>
    <row r="629" hidden="1">
      <c r="A629" s="34">
        <v>17.0</v>
      </c>
      <c r="B629" s="34">
        <v>17.0</v>
      </c>
      <c r="C629" s="34">
        <v>18.0</v>
      </c>
      <c r="D629" s="1" t="s">
        <v>1700</v>
      </c>
      <c r="E629" s="1" t="s">
        <v>1794</v>
      </c>
      <c r="F629" s="1" t="s">
        <v>1798</v>
      </c>
      <c r="G629" s="1">
        <v>16.0</v>
      </c>
      <c r="H629" s="1">
        <v>112.0</v>
      </c>
      <c r="I629" s="1" t="s">
        <v>1700</v>
      </c>
      <c r="J629" s="1" t="s">
        <v>1794</v>
      </c>
      <c r="K629" s="1">
        <v>1.0</v>
      </c>
      <c r="L629" s="1" t="s">
        <v>1799</v>
      </c>
    </row>
    <row r="630" hidden="1">
      <c r="A630" s="34">
        <v>17.0</v>
      </c>
      <c r="B630" s="34">
        <v>17.0</v>
      </c>
      <c r="C630" s="34">
        <v>19.0</v>
      </c>
      <c r="D630" s="1" t="s">
        <v>1700</v>
      </c>
      <c r="E630" s="1" t="s">
        <v>1794</v>
      </c>
      <c r="F630" s="1" t="s">
        <v>1800</v>
      </c>
      <c r="G630" s="1">
        <v>16.0</v>
      </c>
      <c r="H630" s="1">
        <v>34.0</v>
      </c>
      <c r="I630" s="1" t="s">
        <v>1700</v>
      </c>
      <c r="J630" s="1" t="s">
        <v>96</v>
      </c>
      <c r="K630" s="1">
        <v>1.0</v>
      </c>
      <c r="L630" s="1" t="s">
        <v>798</v>
      </c>
    </row>
    <row r="631" hidden="1">
      <c r="A631" s="34">
        <v>17.0</v>
      </c>
      <c r="B631" s="34">
        <v>17.0</v>
      </c>
      <c r="C631" s="34">
        <v>37.0</v>
      </c>
      <c r="D631" s="1" t="s">
        <v>1700</v>
      </c>
      <c r="E631" s="1" t="s">
        <v>1794</v>
      </c>
      <c r="F631" s="1" t="s">
        <v>1801</v>
      </c>
      <c r="G631" s="1">
        <v>16.0</v>
      </c>
      <c r="H631" s="1">
        <v>5.0</v>
      </c>
      <c r="I631" s="1" t="s">
        <v>1700</v>
      </c>
      <c r="J631" s="1" t="s">
        <v>1802</v>
      </c>
      <c r="K631" s="1">
        <v>1.0</v>
      </c>
      <c r="L631" s="1" t="s">
        <v>1803</v>
      </c>
    </row>
    <row r="632" hidden="1">
      <c r="A632" s="34">
        <v>17.0</v>
      </c>
      <c r="B632" s="34">
        <v>17.0</v>
      </c>
      <c r="C632" s="34">
        <v>48.0</v>
      </c>
      <c r="D632" s="1" t="s">
        <v>1700</v>
      </c>
      <c r="E632" s="1" t="s">
        <v>1794</v>
      </c>
      <c r="F632" s="1" t="s">
        <v>1804</v>
      </c>
      <c r="G632" s="1">
        <v>16.0</v>
      </c>
      <c r="H632" s="1">
        <v>38.0</v>
      </c>
      <c r="I632" s="1" t="s">
        <v>1700</v>
      </c>
      <c r="J632" s="1" t="s">
        <v>1805</v>
      </c>
      <c r="K632" s="1">
        <v>1.0</v>
      </c>
      <c r="L632" s="1" t="s">
        <v>1806</v>
      </c>
    </row>
    <row r="633" hidden="1">
      <c r="A633" s="34">
        <v>17.0</v>
      </c>
      <c r="B633" s="34">
        <v>17.0</v>
      </c>
      <c r="C633" s="34">
        <v>50.0</v>
      </c>
      <c r="D633" s="1" t="s">
        <v>1700</v>
      </c>
      <c r="E633" s="1" t="s">
        <v>1794</v>
      </c>
      <c r="F633" s="1" t="s">
        <v>1807</v>
      </c>
      <c r="G633" s="1">
        <v>16.0</v>
      </c>
      <c r="H633" s="1">
        <v>50.0</v>
      </c>
      <c r="I633" s="1" t="s">
        <v>1700</v>
      </c>
      <c r="J633" s="1" t="s">
        <v>1808</v>
      </c>
      <c r="K633" s="1">
        <v>1.0</v>
      </c>
      <c r="L633" s="1" t="s">
        <v>1809</v>
      </c>
    </row>
    <row r="634" hidden="1">
      <c r="A634" s="34">
        <v>17.0</v>
      </c>
      <c r="B634" s="34">
        <v>17.0</v>
      </c>
      <c r="C634" s="34">
        <v>61.0</v>
      </c>
      <c r="D634" s="1" t="s">
        <v>1700</v>
      </c>
      <c r="E634" s="1" t="s">
        <v>1794</v>
      </c>
      <c r="F634" s="1" t="s">
        <v>1810</v>
      </c>
      <c r="G634" s="1">
        <v>16.0</v>
      </c>
      <c r="H634" s="1">
        <v>99.0</v>
      </c>
      <c r="I634" s="1" t="s">
        <v>1700</v>
      </c>
      <c r="J634" s="1" t="s">
        <v>1811</v>
      </c>
      <c r="K634" s="1">
        <v>1.0</v>
      </c>
      <c r="L634" s="1" t="s">
        <v>1811</v>
      </c>
    </row>
    <row r="635" hidden="1">
      <c r="A635" s="34">
        <v>17.0</v>
      </c>
      <c r="B635" s="34">
        <v>17.0</v>
      </c>
      <c r="C635" s="34">
        <v>79.0</v>
      </c>
      <c r="D635" s="1" t="s">
        <v>1700</v>
      </c>
      <c r="E635" s="1" t="s">
        <v>1794</v>
      </c>
      <c r="F635" s="1" t="s">
        <v>1812</v>
      </c>
      <c r="G635" s="1">
        <v>16.0</v>
      </c>
      <c r="H635" s="1">
        <v>93.0</v>
      </c>
      <c r="I635" s="1" t="s">
        <v>1700</v>
      </c>
      <c r="J635" s="1" t="s">
        <v>1813</v>
      </c>
      <c r="K635" s="1">
        <v>1.0</v>
      </c>
      <c r="L635" s="1" t="s">
        <v>1814</v>
      </c>
    </row>
    <row r="636" hidden="1">
      <c r="A636" s="34">
        <v>17.0</v>
      </c>
      <c r="B636" s="34">
        <v>27.0</v>
      </c>
      <c r="C636" s="34">
        <v>12.0</v>
      </c>
      <c r="D636" s="1" t="s">
        <v>1700</v>
      </c>
      <c r="E636" s="1" t="s">
        <v>874</v>
      </c>
      <c r="F636" s="1" t="s">
        <v>1815</v>
      </c>
      <c r="G636" s="1">
        <v>16.0</v>
      </c>
      <c r="H636" s="1">
        <v>52.0</v>
      </c>
      <c r="I636" s="1" t="s">
        <v>1700</v>
      </c>
      <c r="J636" s="1" t="s">
        <v>874</v>
      </c>
      <c r="K636" s="1">
        <v>1.0</v>
      </c>
      <c r="L636" s="1" t="s">
        <v>1816</v>
      </c>
    </row>
    <row r="637" hidden="1">
      <c r="A637" s="34">
        <v>17.0</v>
      </c>
      <c r="B637" s="34">
        <v>27.0</v>
      </c>
      <c r="C637" s="34">
        <v>23.0</v>
      </c>
      <c r="D637" s="1" t="s">
        <v>1700</v>
      </c>
      <c r="E637" s="1" t="s">
        <v>874</v>
      </c>
      <c r="F637" s="1" t="s">
        <v>1746</v>
      </c>
      <c r="G637" s="1">
        <v>16.0</v>
      </c>
      <c r="H637" s="1">
        <v>10.0</v>
      </c>
      <c r="I637" s="1" t="s">
        <v>1700</v>
      </c>
      <c r="J637" s="1" t="s">
        <v>644</v>
      </c>
      <c r="K637" s="1">
        <v>247.0</v>
      </c>
      <c r="L637" s="1" t="s">
        <v>1747</v>
      </c>
    </row>
    <row r="638" hidden="1">
      <c r="A638" s="34">
        <v>17.0</v>
      </c>
      <c r="B638" s="34">
        <v>27.0</v>
      </c>
      <c r="C638" s="34">
        <v>27.0</v>
      </c>
      <c r="D638" s="1" t="s">
        <v>1700</v>
      </c>
      <c r="E638" s="1" t="s">
        <v>874</v>
      </c>
      <c r="F638" s="1" t="s">
        <v>1817</v>
      </c>
      <c r="G638" s="1">
        <v>16.0</v>
      </c>
      <c r="H638" s="1">
        <v>52.0</v>
      </c>
      <c r="I638" s="1" t="s">
        <v>1700</v>
      </c>
      <c r="J638" s="1" t="s">
        <v>874</v>
      </c>
      <c r="K638" s="1">
        <v>1.0</v>
      </c>
      <c r="L638" s="1" t="s">
        <v>1818</v>
      </c>
    </row>
    <row r="639" hidden="1">
      <c r="A639" s="34">
        <v>17.0</v>
      </c>
      <c r="B639" s="34">
        <v>27.0</v>
      </c>
      <c r="C639" s="34">
        <v>31.0</v>
      </c>
      <c r="D639" s="1" t="s">
        <v>1700</v>
      </c>
      <c r="E639" s="1" t="s">
        <v>874</v>
      </c>
      <c r="F639" s="1" t="s">
        <v>1819</v>
      </c>
      <c r="G639" s="1">
        <v>16.0</v>
      </c>
      <c r="H639" s="1">
        <v>52.0</v>
      </c>
      <c r="I639" s="1" t="s">
        <v>1700</v>
      </c>
      <c r="J639" s="1" t="s">
        <v>874</v>
      </c>
      <c r="K639" s="1">
        <v>77.0</v>
      </c>
      <c r="L639" s="1" t="s">
        <v>1820</v>
      </c>
    </row>
    <row r="640" hidden="1">
      <c r="A640" s="34">
        <v>17.0</v>
      </c>
      <c r="B640" s="34">
        <v>27.0</v>
      </c>
      <c r="C640" s="34">
        <v>78.0</v>
      </c>
      <c r="D640" s="1" t="s">
        <v>1700</v>
      </c>
      <c r="E640" s="1" t="s">
        <v>874</v>
      </c>
      <c r="F640" s="1" t="s">
        <v>1821</v>
      </c>
      <c r="G640" s="1">
        <v>16.0</v>
      </c>
      <c r="H640" s="1">
        <v>52.0</v>
      </c>
      <c r="I640" s="1" t="s">
        <v>1700</v>
      </c>
      <c r="J640" s="1" t="s">
        <v>874</v>
      </c>
      <c r="K640" s="1">
        <v>1.0</v>
      </c>
      <c r="L640" s="1" t="s">
        <v>1816</v>
      </c>
    </row>
    <row r="641" hidden="1">
      <c r="A641" s="34">
        <v>18.0</v>
      </c>
      <c r="B641" s="34">
        <v>1.0</v>
      </c>
      <c r="C641" s="34">
        <v>1.0</v>
      </c>
      <c r="D641" s="1" t="s">
        <v>105</v>
      </c>
      <c r="E641" s="1" t="s">
        <v>1822</v>
      </c>
      <c r="F641" s="1" t="s">
        <v>1823</v>
      </c>
      <c r="G641" s="1">
        <v>17.0</v>
      </c>
      <c r="H641" s="1">
        <v>7.0</v>
      </c>
      <c r="I641" s="1" t="s">
        <v>105</v>
      </c>
      <c r="J641" s="1" t="s">
        <v>1822</v>
      </c>
      <c r="K641" s="1">
        <v>1.0</v>
      </c>
      <c r="L641" s="1" t="s">
        <v>1822</v>
      </c>
    </row>
    <row r="642" hidden="1">
      <c r="A642" s="34">
        <v>18.0</v>
      </c>
      <c r="B642" s="34">
        <v>1.0</v>
      </c>
      <c r="C642" s="34">
        <v>2.0</v>
      </c>
      <c r="D642" s="1" t="s">
        <v>105</v>
      </c>
      <c r="E642" s="1" t="s">
        <v>1822</v>
      </c>
      <c r="F642" s="1" t="s">
        <v>1824</v>
      </c>
      <c r="G642" s="1">
        <v>17.0</v>
      </c>
      <c r="H642" s="1">
        <v>28.0</v>
      </c>
      <c r="I642" s="1" t="s">
        <v>105</v>
      </c>
      <c r="J642" s="1" t="s">
        <v>1825</v>
      </c>
      <c r="K642" s="1">
        <v>1.0</v>
      </c>
      <c r="L642" s="1" t="s">
        <v>1825</v>
      </c>
    </row>
    <row r="643" hidden="1">
      <c r="A643" s="34">
        <v>18.0</v>
      </c>
      <c r="B643" s="34">
        <v>1.0</v>
      </c>
      <c r="C643" s="34">
        <v>3.0</v>
      </c>
      <c r="D643" s="1" t="s">
        <v>105</v>
      </c>
      <c r="E643" s="1" t="s">
        <v>1822</v>
      </c>
      <c r="F643" s="1" t="s">
        <v>1826</v>
      </c>
      <c r="G643" s="1">
        <v>17.0</v>
      </c>
      <c r="H643" s="1">
        <v>11.0</v>
      </c>
      <c r="I643" s="1" t="s">
        <v>105</v>
      </c>
      <c r="J643" s="1" t="s">
        <v>1827</v>
      </c>
      <c r="K643" s="1">
        <v>1.0</v>
      </c>
      <c r="L643" s="1" t="s">
        <v>1827</v>
      </c>
    </row>
    <row r="644" hidden="1">
      <c r="A644" s="34">
        <v>18.0</v>
      </c>
      <c r="B644" s="34">
        <v>1.0</v>
      </c>
      <c r="C644" s="34">
        <v>16.0</v>
      </c>
      <c r="D644" s="1" t="s">
        <v>105</v>
      </c>
      <c r="E644" s="1" t="s">
        <v>1822</v>
      </c>
      <c r="F644" s="1" t="s">
        <v>1828</v>
      </c>
      <c r="G644" s="1">
        <v>17.0</v>
      </c>
      <c r="H644" s="1">
        <v>18.0</v>
      </c>
      <c r="I644" s="1" t="s">
        <v>105</v>
      </c>
      <c r="J644" s="1" t="s">
        <v>1829</v>
      </c>
      <c r="K644" s="1">
        <v>1.0</v>
      </c>
      <c r="L644" s="1" t="s">
        <v>1829</v>
      </c>
    </row>
    <row r="645" hidden="1">
      <c r="A645" s="34">
        <v>18.0</v>
      </c>
      <c r="B645" s="34">
        <v>1.0</v>
      </c>
      <c r="C645" s="34">
        <v>17.0</v>
      </c>
      <c r="D645" s="1" t="s">
        <v>105</v>
      </c>
      <c r="E645" s="1" t="s">
        <v>1822</v>
      </c>
      <c r="F645" s="1" t="s">
        <v>1830</v>
      </c>
      <c r="G645" s="1">
        <v>17.0</v>
      </c>
      <c r="H645" s="1">
        <v>8.0</v>
      </c>
      <c r="I645" s="1" t="s">
        <v>105</v>
      </c>
      <c r="J645" s="1" t="s">
        <v>1831</v>
      </c>
      <c r="K645" s="1">
        <v>4.0</v>
      </c>
      <c r="L645" s="1" t="s">
        <v>1592</v>
      </c>
    </row>
    <row r="646" hidden="1">
      <c r="A646" s="34">
        <v>18.0</v>
      </c>
      <c r="B646" s="34">
        <v>1.0</v>
      </c>
      <c r="C646" s="34">
        <v>18.0</v>
      </c>
      <c r="D646" s="1" t="s">
        <v>105</v>
      </c>
      <c r="E646" s="1" t="s">
        <v>1822</v>
      </c>
      <c r="F646" s="1" t="s">
        <v>1832</v>
      </c>
      <c r="G646" s="1">
        <v>17.0</v>
      </c>
      <c r="H646" s="1">
        <v>8.0</v>
      </c>
      <c r="I646" s="1" t="s">
        <v>105</v>
      </c>
      <c r="J646" s="1" t="s">
        <v>1831</v>
      </c>
      <c r="K646" s="1">
        <v>1.0</v>
      </c>
      <c r="L646" s="1" t="s">
        <v>1831</v>
      </c>
    </row>
    <row r="647" hidden="1">
      <c r="A647" s="34">
        <v>18.0</v>
      </c>
      <c r="B647" s="34">
        <v>1.0</v>
      </c>
      <c r="C647" s="34">
        <v>19.0</v>
      </c>
      <c r="D647" s="1" t="s">
        <v>105</v>
      </c>
      <c r="E647" s="1" t="s">
        <v>1822</v>
      </c>
      <c r="F647" s="1" t="s">
        <v>1833</v>
      </c>
      <c r="G647" s="1">
        <v>17.0</v>
      </c>
      <c r="H647" s="1">
        <v>20.0</v>
      </c>
      <c r="I647" s="1" t="s">
        <v>105</v>
      </c>
      <c r="J647" s="1" t="s">
        <v>1834</v>
      </c>
      <c r="K647" s="1">
        <v>1.0</v>
      </c>
      <c r="L647" s="1" t="s">
        <v>1834</v>
      </c>
    </row>
    <row r="648" hidden="1">
      <c r="A648" s="34">
        <v>18.0</v>
      </c>
      <c r="B648" s="34">
        <v>1.0</v>
      </c>
      <c r="C648" s="34">
        <v>20.0</v>
      </c>
      <c r="D648" s="1" t="s">
        <v>105</v>
      </c>
      <c r="E648" s="1" t="s">
        <v>1822</v>
      </c>
      <c r="F648" s="1" t="s">
        <v>1835</v>
      </c>
      <c r="G648" s="1">
        <v>17.0</v>
      </c>
      <c r="H648" s="1">
        <v>7.0</v>
      </c>
      <c r="I648" s="1" t="s">
        <v>105</v>
      </c>
      <c r="J648" s="1" t="s">
        <v>1822</v>
      </c>
      <c r="K648" s="1">
        <v>1.0</v>
      </c>
      <c r="L648" s="1" t="s">
        <v>1822</v>
      </c>
    </row>
    <row r="649" hidden="1">
      <c r="A649" s="34">
        <v>18.0</v>
      </c>
      <c r="B649" s="34">
        <v>1.0</v>
      </c>
      <c r="C649" s="34">
        <v>23.0</v>
      </c>
      <c r="D649" s="1" t="s">
        <v>105</v>
      </c>
      <c r="E649" s="1" t="s">
        <v>1822</v>
      </c>
      <c r="F649" s="1" t="s">
        <v>1836</v>
      </c>
      <c r="G649" s="1">
        <v>17.0</v>
      </c>
      <c r="H649" s="1">
        <v>11.0</v>
      </c>
      <c r="I649" s="1" t="s">
        <v>105</v>
      </c>
      <c r="J649" s="1" t="s">
        <v>1827</v>
      </c>
      <c r="K649" s="1">
        <v>1.0</v>
      </c>
      <c r="L649" s="1" t="s">
        <v>1827</v>
      </c>
    </row>
    <row r="650" hidden="1">
      <c r="A650" s="34">
        <v>18.0</v>
      </c>
      <c r="B650" s="34">
        <v>11.0</v>
      </c>
      <c r="C650" s="34">
        <v>7.0</v>
      </c>
      <c r="D650" s="1" t="s">
        <v>105</v>
      </c>
      <c r="E650" s="1" t="s">
        <v>1837</v>
      </c>
      <c r="F650" s="1" t="s">
        <v>1838</v>
      </c>
      <c r="G650" s="1">
        <v>17.0</v>
      </c>
      <c r="H650" s="1">
        <v>6.0</v>
      </c>
      <c r="I650" s="1" t="s">
        <v>105</v>
      </c>
      <c r="J650" s="1" t="s">
        <v>1837</v>
      </c>
      <c r="K650" s="1">
        <v>1.0</v>
      </c>
      <c r="L650" s="1" t="s">
        <v>1837</v>
      </c>
    </row>
    <row r="651" hidden="1">
      <c r="A651" s="34">
        <v>18.0</v>
      </c>
      <c r="B651" s="34">
        <v>11.0</v>
      </c>
      <c r="C651" s="34">
        <v>8.0</v>
      </c>
      <c r="D651" s="1" t="s">
        <v>105</v>
      </c>
      <c r="E651" s="1" t="s">
        <v>1837</v>
      </c>
      <c r="F651" s="1" t="s">
        <v>1839</v>
      </c>
      <c r="G651" s="1">
        <v>17.0</v>
      </c>
      <c r="H651" s="1">
        <v>4.0</v>
      </c>
      <c r="I651" s="1" t="s">
        <v>105</v>
      </c>
      <c r="J651" s="1" t="s">
        <v>1840</v>
      </c>
      <c r="K651" s="1">
        <v>1.0</v>
      </c>
      <c r="L651" s="1" t="s">
        <v>1841</v>
      </c>
    </row>
    <row r="652" hidden="1">
      <c r="A652" s="34">
        <v>18.0</v>
      </c>
      <c r="B652" s="34">
        <v>11.0</v>
      </c>
      <c r="C652" s="34">
        <v>10.0</v>
      </c>
      <c r="D652" s="1" t="s">
        <v>105</v>
      </c>
      <c r="E652" s="1" t="s">
        <v>1837</v>
      </c>
      <c r="F652" s="1" t="s">
        <v>1842</v>
      </c>
      <c r="G652" s="1">
        <v>17.0</v>
      </c>
      <c r="H652" s="1">
        <v>4.0</v>
      </c>
      <c r="I652" s="1" t="s">
        <v>105</v>
      </c>
      <c r="J652" s="1" t="s">
        <v>1840</v>
      </c>
      <c r="K652" s="1">
        <v>8.0</v>
      </c>
      <c r="L652" s="1" t="s">
        <v>1843</v>
      </c>
    </row>
    <row r="653" hidden="1">
      <c r="A653" s="34">
        <v>18.0</v>
      </c>
      <c r="B653" s="34">
        <v>11.0</v>
      </c>
      <c r="C653" s="34">
        <v>12.0</v>
      </c>
      <c r="D653" s="1" t="s">
        <v>105</v>
      </c>
      <c r="E653" s="1" t="s">
        <v>1837</v>
      </c>
      <c r="F653" s="1" t="s">
        <v>1844</v>
      </c>
      <c r="G653" s="1">
        <v>17.0</v>
      </c>
      <c r="H653" s="1">
        <v>29.0</v>
      </c>
      <c r="I653" s="1" t="s">
        <v>105</v>
      </c>
      <c r="J653" s="1" t="s">
        <v>1845</v>
      </c>
      <c r="K653" s="1">
        <v>1.0</v>
      </c>
      <c r="L653" s="1" t="s">
        <v>1846</v>
      </c>
    </row>
    <row r="654" hidden="1">
      <c r="A654" s="34">
        <v>18.0</v>
      </c>
      <c r="B654" s="34">
        <v>11.0</v>
      </c>
      <c r="C654" s="34">
        <v>14.0</v>
      </c>
      <c r="D654" s="1" t="s">
        <v>105</v>
      </c>
      <c r="E654" s="1" t="s">
        <v>1837</v>
      </c>
      <c r="F654" s="1" t="s">
        <v>1847</v>
      </c>
      <c r="G654" s="1">
        <v>17.0</v>
      </c>
      <c r="H654" s="1">
        <v>29.0</v>
      </c>
      <c r="I654" s="1" t="s">
        <v>105</v>
      </c>
      <c r="J654" s="1" t="s">
        <v>1845</v>
      </c>
      <c r="K654" s="1">
        <v>12.0</v>
      </c>
      <c r="L654" s="1" t="s">
        <v>1848</v>
      </c>
    </row>
    <row r="655" hidden="1">
      <c r="A655" s="34">
        <v>18.0</v>
      </c>
      <c r="B655" s="34">
        <v>11.0</v>
      </c>
      <c r="C655" s="34">
        <v>15.0</v>
      </c>
      <c r="D655" s="1" t="s">
        <v>105</v>
      </c>
      <c r="E655" s="1" t="s">
        <v>1837</v>
      </c>
      <c r="F655" s="1" t="s">
        <v>1849</v>
      </c>
      <c r="G655" s="1">
        <v>17.0</v>
      </c>
      <c r="H655" s="1">
        <v>6.0</v>
      </c>
      <c r="I655" s="1" t="s">
        <v>105</v>
      </c>
      <c r="J655" s="1" t="s">
        <v>1837</v>
      </c>
      <c r="K655" s="1">
        <v>142.0</v>
      </c>
      <c r="L655" s="1" t="s">
        <v>1850</v>
      </c>
    </row>
    <row r="656" hidden="1">
      <c r="A656" s="34">
        <v>18.0</v>
      </c>
      <c r="B656" s="34">
        <v>11.0</v>
      </c>
      <c r="C656" s="34">
        <v>21.0</v>
      </c>
      <c r="D656" s="1" t="s">
        <v>105</v>
      </c>
      <c r="E656" s="1" t="s">
        <v>1837</v>
      </c>
      <c r="F656" s="1" t="s">
        <v>1851</v>
      </c>
      <c r="G656" s="1">
        <v>17.0</v>
      </c>
      <c r="H656" s="1">
        <v>10.0</v>
      </c>
      <c r="I656" s="1" t="s">
        <v>105</v>
      </c>
      <c r="J656" s="1" t="s">
        <v>1852</v>
      </c>
      <c r="K656" s="1">
        <v>1.0</v>
      </c>
      <c r="L656" s="1" t="s">
        <v>1852</v>
      </c>
    </row>
    <row r="657" hidden="1">
      <c r="A657" s="34">
        <v>18.0</v>
      </c>
      <c r="B657" s="34">
        <v>11.0</v>
      </c>
      <c r="C657" s="34">
        <v>22.0</v>
      </c>
      <c r="D657" s="1" t="s">
        <v>105</v>
      </c>
      <c r="E657" s="1" t="s">
        <v>1837</v>
      </c>
      <c r="F657" s="1" t="s">
        <v>1853</v>
      </c>
      <c r="G657" s="1">
        <v>17.0</v>
      </c>
      <c r="H657" s="1">
        <v>19.0</v>
      </c>
      <c r="I657" s="1" t="s">
        <v>105</v>
      </c>
      <c r="J657" s="1" t="s">
        <v>1854</v>
      </c>
      <c r="K657" s="1">
        <v>1.0</v>
      </c>
      <c r="L657" s="1" t="s">
        <v>1854</v>
      </c>
    </row>
    <row r="658" hidden="1">
      <c r="A658" s="34">
        <v>18.0</v>
      </c>
      <c r="B658" s="34">
        <v>11.0</v>
      </c>
      <c r="C658" s="34">
        <v>24.0</v>
      </c>
      <c r="D658" s="1" t="s">
        <v>105</v>
      </c>
      <c r="E658" s="1" t="s">
        <v>1837</v>
      </c>
      <c r="F658" s="1" t="s">
        <v>1855</v>
      </c>
      <c r="G658" s="1">
        <v>17.0</v>
      </c>
      <c r="H658" s="1">
        <v>30.0</v>
      </c>
      <c r="I658" s="1" t="s">
        <v>105</v>
      </c>
      <c r="J658" s="1" t="s">
        <v>1856</v>
      </c>
      <c r="K658" s="1">
        <v>1.0</v>
      </c>
      <c r="L658" s="1" t="s">
        <v>1856</v>
      </c>
    </row>
    <row r="659" hidden="1">
      <c r="A659" s="34">
        <v>18.0</v>
      </c>
      <c r="B659" s="34">
        <v>15.0</v>
      </c>
      <c r="C659" s="34">
        <v>4.0</v>
      </c>
      <c r="D659" s="1" t="s">
        <v>105</v>
      </c>
      <c r="E659" s="1" t="s">
        <v>1857</v>
      </c>
      <c r="F659" s="1" t="s">
        <v>1858</v>
      </c>
      <c r="G659" s="1">
        <v>17.0</v>
      </c>
      <c r="H659" s="1">
        <v>12.0</v>
      </c>
      <c r="I659" s="1" t="s">
        <v>105</v>
      </c>
      <c r="J659" s="1" t="s">
        <v>1859</v>
      </c>
      <c r="K659" s="1">
        <v>1.0</v>
      </c>
      <c r="L659" s="1" t="s">
        <v>1859</v>
      </c>
    </row>
    <row r="660" hidden="1">
      <c r="A660" s="34">
        <v>18.0</v>
      </c>
      <c r="B660" s="34">
        <v>15.0</v>
      </c>
      <c r="C660" s="34">
        <v>5.0</v>
      </c>
      <c r="D660" s="1" t="s">
        <v>105</v>
      </c>
      <c r="E660" s="1" t="s">
        <v>1857</v>
      </c>
      <c r="F660" s="1" t="s">
        <v>1860</v>
      </c>
      <c r="G660" s="1">
        <v>17.0</v>
      </c>
      <c r="H660" s="1">
        <v>31.0</v>
      </c>
      <c r="I660" s="1" t="s">
        <v>105</v>
      </c>
      <c r="J660" s="1" t="s">
        <v>1857</v>
      </c>
      <c r="K660" s="1">
        <v>1.0</v>
      </c>
      <c r="L660" s="1" t="s">
        <v>1861</v>
      </c>
    </row>
    <row r="661" hidden="1">
      <c r="A661" s="34">
        <v>18.0</v>
      </c>
      <c r="B661" s="34">
        <v>15.0</v>
      </c>
      <c r="C661" s="34">
        <v>6.0</v>
      </c>
      <c r="D661" s="1" t="s">
        <v>105</v>
      </c>
      <c r="E661" s="1" t="s">
        <v>1857</v>
      </c>
      <c r="F661" s="1" t="s">
        <v>1862</v>
      </c>
      <c r="G661" s="1">
        <v>17.0</v>
      </c>
      <c r="H661" s="1">
        <v>17.0</v>
      </c>
      <c r="I661" s="1" t="s">
        <v>105</v>
      </c>
      <c r="J661" s="1" t="s">
        <v>1863</v>
      </c>
      <c r="K661" s="1">
        <v>1.0</v>
      </c>
      <c r="L661" s="1" t="s">
        <v>1863</v>
      </c>
    </row>
    <row r="662" hidden="1">
      <c r="A662" s="34">
        <v>18.0</v>
      </c>
      <c r="B662" s="34">
        <v>15.0</v>
      </c>
      <c r="C662" s="34">
        <v>9.0</v>
      </c>
      <c r="D662" s="1" t="s">
        <v>105</v>
      </c>
      <c r="E662" s="1" t="s">
        <v>1857</v>
      </c>
      <c r="F662" s="1" t="s">
        <v>1864</v>
      </c>
      <c r="G662" s="1">
        <v>17.0</v>
      </c>
      <c r="H662" s="1">
        <v>24.0</v>
      </c>
      <c r="I662" s="1" t="s">
        <v>105</v>
      </c>
      <c r="J662" s="1" t="s">
        <v>1865</v>
      </c>
      <c r="K662" s="1">
        <v>1.0</v>
      </c>
      <c r="L662" s="1" t="s">
        <v>1866</v>
      </c>
    </row>
    <row r="663" hidden="1">
      <c r="A663" s="34">
        <v>18.0</v>
      </c>
      <c r="B663" s="34">
        <v>15.0</v>
      </c>
      <c r="C663" s="34">
        <v>11.0</v>
      </c>
      <c r="D663" s="1" t="s">
        <v>105</v>
      </c>
      <c r="E663" s="1" t="s">
        <v>1857</v>
      </c>
      <c r="F663" s="1" t="s">
        <v>1867</v>
      </c>
      <c r="G663" s="1">
        <v>17.0</v>
      </c>
      <c r="H663" s="1">
        <v>25.0</v>
      </c>
      <c r="I663" s="1" t="s">
        <v>105</v>
      </c>
      <c r="J663" s="1" t="s">
        <v>1868</v>
      </c>
      <c r="K663" s="1">
        <v>1.0</v>
      </c>
      <c r="L663" s="1" t="s">
        <v>1868</v>
      </c>
    </row>
    <row r="664" hidden="1">
      <c r="A664" s="34">
        <v>18.0</v>
      </c>
      <c r="B664" s="34">
        <v>15.0</v>
      </c>
      <c r="C664" s="34">
        <v>13.0</v>
      </c>
      <c r="D664" s="1" t="s">
        <v>105</v>
      </c>
      <c r="E664" s="1" t="s">
        <v>1857</v>
      </c>
      <c r="F664" s="1" t="s">
        <v>1869</v>
      </c>
      <c r="G664" s="1">
        <v>17.0</v>
      </c>
      <c r="H664" s="1">
        <v>15.0</v>
      </c>
      <c r="I664" s="1" t="s">
        <v>105</v>
      </c>
      <c r="J664" s="1" t="s">
        <v>1870</v>
      </c>
      <c r="K664" s="1">
        <v>1.0</v>
      </c>
      <c r="L664" s="1" t="s">
        <v>1870</v>
      </c>
    </row>
    <row r="665" hidden="1">
      <c r="A665" s="34">
        <v>19.0</v>
      </c>
      <c r="B665" s="34">
        <v>1.0</v>
      </c>
      <c r="C665" s="34">
        <v>2.0</v>
      </c>
      <c r="D665" s="1" t="s">
        <v>106</v>
      </c>
      <c r="E665" s="1" t="s">
        <v>1871</v>
      </c>
      <c r="F665" s="1" t="s">
        <v>1872</v>
      </c>
      <c r="G665" s="1">
        <v>18.0</v>
      </c>
      <c r="H665" s="1">
        <v>17.0</v>
      </c>
      <c r="I665" s="1" t="s">
        <v>106</v>
      </c>
      <c r="J665" s="1" t="s">
        <v>1871</v>
      </c>
      <c r="K665" s="1">
        <v>122.0</v>
      </c>
      <c r="L665" s="1" t="s">
        <v>1873</v>
      </c>
    </row>
    <row r="666" hidden="1">
      <c r="A666" s="34">
        <v>19.0</v>
      </c>
      <c r="B666" s="34">
        <v>1.0</v>
      </c>
      <c r="C666" s="34">
        <v>3.0</v>
      </c>
      <c r="D666" s="1" t="s">
        <v>106</v>
      </c>
      <c r="E666" s="1" t="s">
        <v>1871</v>
      </c>
      <c r="F666" s="1" t="s">
        <v>1874</v>
      </c>
      <c r="G666" s="1">
        <v>18.0</v>
      </c>
      <c r="H666" s="1">
        <v>15.0</v>
      </c>
      <c r="I666" s="1" t="s">
        <v>106</v>
      </c>
      <c r="J666" s="1" t="s">
        <v>1875</v>
      </c>
      <c r="K666" s="1">
        <v>20.0</v>
      </c>
      <c r="L666" s="1" t="s">
        <v>1876</v>
      </c>
    </row>
    <row r="667" hidden="1">
      <c r="A667" s="34">
        <v>19.0</v>
      </c>
      <c r="B667" s="34">
        <v>1.0</v>
      </c>
      <c r="C667" s="34">
        <v>4.0</v>
      </c>
      <c r="D667" s="1" t="s">
        <v>106</v>
      </c>
      <c r="E667" s="1" t="s">
        <v>1871</v>
      </c>
      <c r="F667" s="1" t="s">
        <v>1877</v>
      </c>
      <c r="G667" s="1">
        <v>18.0</v>
      </c>
      <c r="H667" s="1">
        <v>15.0</v>
      </c>
      <c r="I667" s="1" t="s">
        <v>106</v>
      </c>
      <c r="J667" s="1" t="s">
        <v>1875</v>
      </c>
      <c r="K667" s="1">
        <v>80.0</v>
      </c>
      <c r="L667" s="1" t="s">
        <v>1878</v>
      </c>
    </row>
    <row r="668" hidden="1">
      <c r="A668" s="34">
        <v>19.0</v>
      </c>
      <c r="B668" s="34">
        <v>1.0</v>
      </c>
      <c r="C668" s="34">
        <v>5.0</v>
      </c>
      <c r="D668" s="1" t="s">
        <v>106</v>
      </c>
      <c r="E668" s="1" t="s">
        <v>1871</v>
      </c>
      <c r="F668" s="1" t="s">
        <v>1879</v>
      </c>
      <c r="G668" s="1">
        <v>18.0</v>
      </c>
      <c r="H668" s="1">
        <v>17.0</v>
      </c>
      <c r="I668" s="1" t="s">
        <v>106</v>
      </c>
      <c r="J668" s="1" t="s">
        <v>1871</v>
      </c>
      <c r="K668" s="1">
        <v>1.0</v>
      </c>
      <c r="L668" s="1" t="s">
        <v>1871</v>
      </c>
    </row>
    <row r="669" hidden="1">
      <c r="A669" s="34">
        <v>19.0</v>
      </c>
      <c r="B669" s="34">
        <v>1.0</v>
      </c>
      <c r="C669" s="34">
        <v>6.0</v>
      </c>
      <c r="D669" s="1" t="s">
        <v>106</v>
      </c>
      <c r="E669" s="1" t="s">
        <v>1871</v>
      </c>
      <c r="F669" s="1" t="s">
        <v>1880</v>
      </c>
      <c r="G669" s="1">
        <v>18.0</v>
      </c>
      <c r="H669" s="1">
        <v>1.0</v>
      </c>
      <c r="I669" s="1" t="s">
        <v>106</v>
      </c>
      <c r="J669" s="1" t="s">
        <v>1881</v>
      </c>
      <c r="K669" s="1">
        <v>1.0</v>
      </c>
      <c r="L669" s="1" t="s">
        <v>1881</v>
      </c>
    </row>
    <row r="670" hidden="1">
      <c r="A670" s="34">
        <v>19.0</v>
      </c>
      <c r="B670" s="34">
        <v>1.0</v>
      </c>
      <c r="C670" s="34">
        <v>7.0</v>
      </c>
      <c r="D670" s="1" t="s">
        <v>106</v>
      </c>
      <c r="E670" s="1" t="s">
        <v>1871</v>
      </c>
      <c r="F670" s="1" t="s">
        <v>1882</v>
      </c>
      <c r="G670" s="1">
        <v>18.0</v>
      </c>
      <c r="H670" s="1">
        <v>16.0</v>
      </c>
      <c r="I670" s="1" t="s">
        <v>106</v>
      </c>
      <c r="J670" s="1" t="s">
        <v>1883</v>
      </c>
      <c r="K670" s="1">
        <v>1.0</v>
      </c>
      <c r="L670" s="1" t="s">
        <v>1883</v>
      </c>
    </row>
    <row r="671" hidden="1">
      <c r="A671" s="34">
        <v>19.0</v>
      </c>
      <c r="B671" s="34">
        <v>1.0</v>
      </c>
      <c r="C671" s="34">
        <v>8.0</v>
      </c>
      <c r="D671" s="1" t="s">
        <v>106</v>
      </c>
      <c r="E671" s="1" t="s">
        <v>1871</v>
      </c>
      <c r="F671" s="1" t="s">
        <v>1884</v>
      </c>
      <c r="G671" s="1">
        <v>18.0</v>
      </c>
      <c r="H671" s="1">
        <v>18.0</v>
      </c>
      <c r="I671" s="1" t="s">
        <v>106</v>
      </c>
      <c r="J671" s="1" t="s">
        <v>1295</v>
      </c>
      <c r="K671" s="1">
        <v>1.0</v>
      </c>
      <c r="L671" s="1" t="s">
        <v>1295</v>
      </c>
    </row>
    <row r="672" hidden="1">
      <c r="A672" s="34">
        <v>19.0</v>
      </c>
      <c r="B672" s="34">
        <v>1.0</v>
      </c>
      <c r="C672" s="34">
        <v>9.0</v>
      </c>
      <c r="D672" s="1" t="s">
        <v>106</v>
      </c>
      <c r="E672" s="1" t="s">
        <v>1871</v>
      </c>
      <c r="F672" s="1" t="s">
        <v>1885</v>
      </c>
      <c r="G672" s="1">
        <v>18.0</v>
      </c>
      <c r="H672" s="1">
        <v>11.0</v>
      </c>
      <c r="I672" s="1" t="s">
        <v>106</v>
      </c>
      <c r="J672" s="1" t="s">
        <v>1886</v>
      </c>
      <c r="K672" s="1">
        <v>1.0</v>
      </c>
      <c r="L672" s="1" t="s">
        <v>1887</v>
      </c>
    </row>
    <row r="673" hidden="1">
      <c r="A673" s="34">
        <v>19.0</v>
      </c>
      <c r="B673" s="34">
        <v>1.0</v>
      </c>
      <c r="C673" s="34">
        <v>10.0</v>
      </c>
      <c r="D673" s="1" t="s">
        <v>106</v>
      </c>
      <c r="E673" s="1" t="s">
        <v>1871</v>
      </c>
      <c r="F673" s="1" t="s">
        <v>1888</v>
      </c>
      <c r="G673" s="1">
        <v>18.0</v>
      </c>
      <c r="H673" s="1">
        <v>15.0</v>
      </c>
      <c r="I673" s="1" t="s">
        <v>106</v>
      </c>
      <c r="J673" s="1" t="s">
        <v>1875</v>
      </c>
      <c r="K673" s="1">
        <v>1.0</v>
      </c>
      <c r="L673" s="1" t="s">
        <v>1875</v>
      </c>
    </row>
    <row r="674" hidden="1">
      <c r="A674" s="34">
        <v>19.0</v>
      </c>
      <c r="B674" s="34">
        <v>1.0</v>
      </c>
      <c r="C674" s="34">
        <v>11.0</v>
      </c>
      <c r="D674" s="1" t="s">
        <v>106</v>
      </c>
      <c r="E674" s="1" t="s">
        <v>1871</v>
      </c>
      <c r="F674" s="1" t="s">
        <v>1889</v>
      </c>
      <c r="G674" s="1">
        <v>18.0</v>
      </c>
      <c r="H674" s="1">
        <v>15.0</v>
      </c>
      <c r="I674" s="1" t="s">
        <v>106</v>
      </c>
      <c r="J674" s="1" t="s">
        <v>1875</v>
      </c>
      <c r="K674" s="1">
        <v>82.0</v>
      </c>
      <c r="L674" s="1" t="s">
        <v>1890</v>
      </c>
    </row>
    <row r="675" hidden="1">
      <c r="A675" s="34">
        <v>19.0</v>
      </c>
      <c r="B675" s="34">
        <v>1.0</v>
      </c>
      <c r="C675" s="34">
        <v>12.0</v>
      </c>
      <c r="D675" s="1" t="s">
        <v>106</v>
      </c>
      <c r="E675" s="1" t="s">
        <v>1871</v>
      </c>
      <c r="F675" s="1" t="s">
        <v>1891</v>
      </c>
      <c r="G675" s="1">
        <v>18.0</v>
      </c>
      <c r="H675" s="1">
        <v>12.0</v>
      </c>
      <c r="I675" s="1" t="s">
        <v>106</v>
      </c>
      <c r="J675" s="1" t="s">
        <v>1892</v>
      </c>
      <c r="K675" s="1">
        <v>4.0</v>
      </c>
      <c r="L675" s="1" t="s">
        <v>1893</v>
      </c>
    </row>
    <row r="676" hidden="1">
      <c r="A676" s="34">
        <v>19.0</v>
      </c>
      <c r="B676" s="34">
        <v>1.0</v>
      </c>
      <c r="C676" s="34">
        <v>13.0</v>
      </c>
      <c r="D676" s="1" t="s">
        <v>106</v>
      </c>
      <c r="E676" s="1" t="s">
        <v>1871</v>
      </c>
      <c r="F676" s="1" t="s">
        <v>1894</v>
      </c>
      <c r="G676" s="1">
        <v>18.0</v>
      </c>
      <c r="H676" s="1">
        <v>12.0</v>
      </c>
      <c r="I676" s="1" t="s">
        <v>106</v>
      </c>
      <c r="J676" s="1" t="s">
        <v>1892</v>
      </c>
      <c r="K676" s="1">
        <v>1.0</v>
      </c>
      <c r="L676" s="1" t="s">
        <v>1892</v>
      </c>
    </row>
    <row r="677" hidden="1">
      <c r="A677" s="34">
        <v>19.0</v>
      </c>
      <c r="B677" s="34">
        <v>1.0</v>
      </c>
      <c r="C677" s="34">
        <v>14.0</v>
      </c>
      <c r="D677" s="1" t="s">
        <v>106</v>
      </c>
      <c r="E677" s="1" t="s">
        <v>1871</v>
      </c>
      <c r="F677" s="1" t="s">
        <v>1895</v>
      </c>
      <c r="G677" s="1">
        <v>18.0</v>
      </c>
      <c r="H677" s="1">
        <v>4.0</v>
      </c>
      <c r="I677" s="1" t="s">
        <v>106</v>
      </c>
      <c r="J677" s="1" t="s">
        <v>1896</v>
      </c>
      <c r="K677" s="1">
        <v>1.0</v>
      </c>
      <c r="L677" s="1" t="s">
        <v>1896</v>
      </c>
    </row>
    <row r="678" hidden="1">
      <c r="A678" s="34">
        <v>19.0</v>
      </c>
      <c r="B678" s="34">
        <v>1.0</v>
      </c>
      <c r="C678" s="34">
        <v>15.0</v>
      </c>
      <c r="D678" s="1" t="s">
        <v>106</v>
      </c>
      <c r="E678" s="1" t="s">
        <v>1871</v>
      </c>
      <c r="F678" s="1" t="s">
        <v>1897</v>
      </c>
      <c r="G678" s="1">
        <v>18.0</v>
      </c>
      <c r="H678" s="1">
        <v>4.0</v>
      </c>
      <c r="I678" s="1" t="s">
        <v>106</v>
      </c>
      <c r="J678" s="1" t="s">
        <v>1896</v>
      </c>
      <c r="K678" s="1">
        <v>186.0</v>
      </c>
      <c r="L678" s="1" t="s">
        <v>1898</v>
      </c>
    </row>
    <row r="679" hidden="1">
      <c r="A679" s="34">
        <v>19.0</v>
      </c>
      <c r="B679" s="34">
        <v>1.0</v>
      </c>
      <c r="C679" s="34">
        <v>16.0</v>
      </c>
      <c r="D679" s="1" t="s">
        <v>106</v>
      </c>
      <c r="E679" s="1" t="s">
        <v>1871</v>
      </c>
      <c r="F679" s="1" t="s">
        <v>1899</v>
      </c>
      <c r="G679" s="1">
        <v>18.0</v>
      </c>
      <c r="H679" s="1">
        <v>4.0</v>
      </c>
      <c r="I679" s="1" t="s">
        <v>106</v>
      </c>
      <c r="J679" s="1" t="s">
        <v>1896</v>
      </c>
      <c r="K679" s="1">
        <v>128.0</v>
      </c>
      <c r="L679" s="1" t="s">
        <v>1900</v>
      </c>
    </row>
    <row r="680" hidden="1">
      <c r="A680" s="34">
        <v>19.0</v>
      </c>
      <c r="B680" s="34">
        <v>1.0</v>
      </c>
      <c r="C680" s="34">
        <v>17.0</v>
      </c>
      <c r="D680" s="1" t="s">
        <v>106</v>
      </c>
      <c r="E680" s="1" t="s">
        <v>1871</v>
      </c>
      <c r="F680" s="1" t="s">
        <v>1901</v>
      </c>
      <c r="G680" s="1">
        <v>18.0</v>
      </c>
      <c r="H680" s="1">
        <v>2.0</v>
      </c>
      <c r="I680" s="1" t="s">
        <v>106</v>
      </c>
      <c r="J680" s="1" t="s">
        <v>1902</v>
      </c>
      <c r="K680" s="1">
        <v>1.0</v>
      </c>
      <c r="L680" s="1" t="s">
        <v>1902</v>
      </c>
    </row>
    <row r="681" hidden="1">
      <c r="A681" s="34">
        <v>19.0</v>
      </c>
      <c r="B681" s="34">
        <v>1.0</v>
      </c>
      <c r="C681" s="34">
        <v>18.0</v>
      </c>
      <c r="D681" s="1" t="s">
        <v>106</v>
      </c>
      <c r="E681" s="1" t="s">
        <v>1871</v>
      </c>
      <c r="F681" s="1" t="s">
        <v>1903</v>
      </c>
      <c r="G681" s="1">
        <v>18.0</v>
      </c>
      <c r="H681" s="1">
        <v>6.0</v>
      </c>
      <c r="I681" s="1" t="s">
        <v>106</v>
      </c>
      <c r="J681" s="1" t="s">
        <v>1904</v>
      </c>
      <c r="K681" s="1">
        <v>1.0</v>
      </c>
      <c r="L681" s="1" t="s">
        <v>1904</v>
      </c>
    </row>
    <row r="682" hidden="1">
      <c r="A682" s="34">
        <v>19.0</v>
      </c>
      <c r="B682" s="34">
        <v>1.0</v>
      </c>
      <c r="C682" s="34">
        <v>19.0</v>
      </c>
      <c r="D682" s="1" t="s">
        <v>106</v>
      </c>
      <c r="E682" s="1" t="s">
        <v>1871</v>
      </c>
      <c r="F682" s="1" t="s">
        <v>1918</v>
      </c>
      <c r="G682" s="1">
        <v>18.0</v>
      </c>
      <c r="H682" s="1">
        <v>20.0</v>
      </c>
      <c r="I682" s="1" t="s">
        <v>106</v>
      </c>
      <c r="J682" s="1" t="s">
        <v>1921</v>
      </c>
      <c r="K682" s="1">
        <v>53.0</v>
      </c>
      <c r="L682" s="1" t="s">
        <v>1923</v>
      </c>
    </row>
    <row r="683" hidden="1">
      <c r="A683" s="34">
        <v>19.0</v>
      </c>
      <c r="B683" s="34">
        <v>1.0</v>
      </c>
      <c r="C683" s="34">
        <v>20.0</v>
      </c>
      <c r="D683" s="1" t="s">
        <v>106</v>
      </c>
      <c r="E683" s="1" t="s">
        <v>1871</v>
      </c>
      <c r="F683" s="1" t="s">
        <v>1931</v>
      </c>
      <c r="G683" s="1">
        <v>18.0</v>
      </c>
      <c r="H683" s="1">
        <v>17.0</v>
      </c>
      <c r="I683" s="1" t="s">
        <v>106</v>
      </c>
      <c r="J683" s="1" t="s">
        <v>1871</v>
      </c>
      <c r="K683" s="1">
        <v>1.0</v>
      </c>
      <c r="L683" s="1" t="s">
        <v>1871</v>
      </c>
    </row>
    <row r="684" hidden="1">
      <c r="A684" s="34">
        <v>19.0</v>
      </c>
      <c r="B684" s="34">
        <v>1.0</v>
      </c>
      <c r="C684" s="34">
        <v>21.0</v>
      </c>
      <c r="D684" s="1" t="s">
        <v>106</v>
      </c>
      <c r="E684" s="1" t="s">
        <v>1871</v>
      </c>
      <c r="F684" s="1" t="s">
        <v>1938</v>
      </c>
      <c r="G684" s="1">
        <v>18.0</v>
      </c>
      <c r="H684" s="1">
        <v>18.0</v>
      </c>
      <c r="I684" s="1" t="s">
        <v>106</v>
      </c>
      <c r="J684" s="1" t="s">
        <v>1295</v>
      </c>
      <c r="K684" s="1">
        <v>1.0</v>
      </c>
      <c r="L684" s="1" t="s">
        <v>1295</v>
      </c>
    </row>
    <row r="685" hidden="1">
      <c r="A685" s="34">
        <v>19.0</v>
      </c>
      <c r="B685" s="34">
        <v>1.0</v>
      </c>
      <c r="C685" s="34">
        <v>22.0</v>
      </c>
      <c r="D685" s="1" t="s">
        <v>106</v>
      </c>
      <c r="E685" s="1" t="s">
        <v>1871</v>
      </c>
      <c r="F685" s="1" t="s">
        <v>1939</v>
      </c>
      <c r="G685" s="1">
        <v>18.0</v>
      </c>
      <c r="H685" s="1">
        <v>20.0</v>
      </c>
      <c r="I685" s="1" t="s">
        <v>106</v>
      </c>
      <c r="J685" s="1" t="s">
        <v>1921</v>
      </c>
      <c r="K685" s="1">
        <v>84.0</v>
      </c>
      <c r="L685" s="1" t="s">
        <v>1940</v>
      </c>
    </row>
    <row r="686" hidden="1">
      <c r="A686" s="34">
        <v>19.0</v>
      </c>
      <c r="B686" s="34">
        <v>1.0</v>
      </c>
      <c r="C686" s="34">
        <v>24.0</v>
      </c>
      <c r="D686" s="1" t="s">
        <v>106</v>
      </c>
      <c r="E686" s="1" t="s">
        <v>1871</v>
      </c>
      <c r="F686" s="1" t="s">
        <v>1944</v>
      </c>
      <c r="G686" s="1">
        <v>18.0</v>
      </c>
      <c r="H686" s="1">
        <v>17.0</v>
      </c>
      <c r="I686" s="1" t="s">
        <v>106</v>
      </c>
      <c r="J686" s="1" t="s">
        <v>1871</v>
      </c>
      <c r="K686" s="1">
        <v>1.0</v>
      </c>
      <c r="L686" s="1" t="s">
        <v>1871</v>
      </c>
    </row>
    <row r="687" hidden="1">
      <c r="A687" s="34">
        <v>19.0</v>
      </c>
      <c r="B687" s="34">
        <v>1.0</v>
      </c>
      <c r="C687" s="34">
        <v>25.0</v>
      </c>
      <c r="D687" s="1" t="s">
        <v>106</v>
      </c>
      <c r="E687" s="1" t="s">
        <v>1871</v>
      </c>
      <c r="F687" s="1" t="s">
        <v>1950</v>
      </c>
      <c r="G687" s="1">
        <v>18.0</v>
      </c>
      <c r="H687" s="1">
        <v>17.0</v>
      </c>
      <c r="I687" s="1" t="s">
        <v>106</v>
      </c>
      <c r="J687" s="1" t="s">
        <v>1871</v>
      </c>
      <c r="K687" s="1">
        <v>1.0</v>
      </c>
      <c r="L687" s="1" t="s">
        <v>1871</v>
      </c>
    </row>
    <row r="688" hidden="1">
      <c r="A688" s="34">
        <v>19.0</v>
      </c>
      <c r="B688" s="34">
        <v>1.0</v>
      </c>
      <c r="C688" s="34">
        <v>26.0</v>
      </c>
      <c r="D688" s="1" t="s">
        <v>106</v>
      </c>
      <c r="E688" s="1" t="s">
        <v>1871</v>
      </c>
      <c r="F688" s="1" t="s">
        <v>1955</v>
      </c>
      <c r="G688" s="1">
        <v>18.0</v>
      </c>
      <c r="H688" s="1">
        <v>8.0</v>
      </c>
      <c r="I688" s="1" t="s">
        <v>106</v>
      </c>
      <c r="J688" s="1" t="s">
        <v>1956</v>
      </c>
      <c r="K688" s="1">
        <v>1.0</v>
      </c>
      <c r="L688" s="1" t="s">
        <v>1956</v>
      </c>
    </row>
    <row r="689" hidden="1">
      <c r="A689" s="34">
        <v>19.0</v>
      </c>
      <c r="B689" s="34">
        <v>1.0</v>
      </c>
      <c r="C689" s="34">
        <v>27.0</v>
      </c>
      <c r="D689" s="1" t="s">
        <v>106</v>
      </c>
      <c r="E689" s="1" t="s">
        <v>1871</v>
      </c>
      <c r="F689" s="1" t="s">
        <v>1960</v>
      </c>
      <c r="G689" s="1">
        <v>18.0</v>
      </c>
      <c r="H689" s="1">
        <v>20.0</v>
      </c>
      <c r="I689" s="1" t="s">
        <v>106</v>
      </c>
      <c r="J689" s="1" t="s">
        <v>1921</v>
      </c>
      <c r="K689" s="1">
        <v>83.0</v>
      </c>
      <c r="L689" s="1" t="s">
        <v>1962</v>
      </c>
    </row>
    <row r="690" hidden="1">
      <c r="A690" s="34">
        <v>20.0</v>
      </c>
      <c r="B690" s="34">
        <v>6.0</v>
      </c>
      <c r="C690" s="34">
        <v>11.0</v>
      </c>
      <c r="D690" s="1" t="s">
        <v>392</v>
      </c>
      <c r="E690" s="1" t="s">
        <v>1966</v>
      </c>
      <c r="F690" s="1" t="s">
        <v>1967</v>
      </c>
      <c r="G690" s="1">
        <v>19.0</v>
      </c>
      <c r="H690" s="1">
        <v>38.0</v>
      </c>
      <c r="I690" s="1" t="s">
        <v>392</v>
      </c>
      <c r="J690" s="1" t="s">
        <v>1966</v>
      </c>
      <c r="K690" s="1">
        <v>1.0</v>
      </c>
      <c r="L690" s="1" t="s">
        <v>1966</v>
      </c>
    </row>
    <row r="691" hidden="1">
      <c r="A691" s="34">
        <v>20.0</v>
      </c>
      <c r="B691" s="34">
        <v>6.0</v>
      </c>
      <c r="C691" s="34">
        <v>12.0</v>
      </c>
      <c r="D691" s="1" t="s">
        <v>392</v>
      </c>
      <c r="E691" s="1" t="s">
        <v>1966</v>
      </c>
      <c r="F691" s="1" t="s">
        <v>1972</v>
      </c>
      <c r="G691" s="1">
        <v>19.0</v>
      </c>
      <c r="H691" s="1">
        <v>33.0</v>
      </c>
      <c r="I691" s="1" t="s">
        <v>392</v>
      </c>
      <c r="J691" s="1" t="s">
        <v>1973</v>
      </c>
      <c r="K691" s="1">
        <v>1.0</v>
      </c>
      <c r="L691" s="1" t="s">
        <v>1973</v>
      </c>
    </row>
    <row r="692" hidden="1">
      <c r="A692" s="34">
        <v>20.0</v>
      </c>
      <c r="B692" s="34">
        <v>6.0</v>
      </c>
      <c r="C692" s="34">
        <v>13.0</v>
      </c>
      <c r="D692" s="1" t="s">
        <v>392</v>
      </c>
      <c r="E692" s="1" t="s">
        <v>1966</v>
      </c>
      <c r="F692" s="1" t="s">
        <v>1978</v>
      </c>
      <c r="G692" s="1">
        <v>19.0</v>
      </c>
      <c r="H692" s="1">
        <v>22.0</v>
      </c>
      <c r="I692" s="1" t="s">
        <v>392</v>
      </c>
      <c r="J692" s="1" t="s">
        <v>1979</v>
      </c>
      <c r="K692" s="1">
        <v>1.0</v>
      </c>
      <c r="L692" s="1" t="s">
        <v>1980</v>
      </c>
    </row>
    <row r="693" hidden="1">
      <c r="A693" s="34">
        <v>20.0</v>
      </c>
      <c r="B693" s="34">
        <v>6.0</v>
      </c>
      <c r="C693" s="34">
        <v>16.0</v>
      </c>
      <c r="D693" s="1" t="s">
        <v>392</v>
      </c>
      <c r="E693" s="1" t="s">
        <v>1966</v>
      </c>
      <c r="F693" s="1" t="s">
        <v>1984</v>
      </c>
      <c r="G693" s="1">
        <v>19.0</v>
      </c>
      <c r="H693" s="1">
        <v>4.0</v>
      </c>
      <c r="I693" s="1" t="s">
        <v>392</v>
      </c>
      <c r="J693" s="1" t="s">
        <v>682</v>
      </c>
      <c r="K693" s="1">
        <v>1.0</v>
      </c>
      <c r="L693" s="1" t="s">
        <v>1986</v>
      </c>
    </row>
    <row r="694" hidden="1">
      <c r="A694" s="34">
        <v>20.0</v>
      </c>
      <c r="B694" s="34">
        <v>6.0</v>
      </c>
      <c r="C694" s="34">
        <v>18.0</v>
      </c>
      <c r="D694" s="1" t="s">
        <v>392</v>
      </c>
      <c r="E694" s="1" t="s">
        <v>1966</v>
      </c>
      <c r="F694" s="1" t="s">
        <v>1987</v>
      </c>
      <c r="G694" s="1">
        <v>19.0</v>
      </c>
      <c r="H694" s="1">
        <v>29.0</v>
      </c>
      <c r="I694" s="1" t="s">
        <v>392</v>
      </c>
      <c r="J694" s="1" t="s">
        <v>1988</v>
      </c>
      <c r="K694" s="1">
        <v>1.0</v>
      </c>
      <c r="L694" s="1" t="s">
        <v>1988</v>
      </c>
    </row>
    <row r="695" hidden="1">
      <c r="A695" s="34">
        <v>20.0</v>
      </c>
      <c r="B695" s="34">
        <v>6.0</v>
      </c>
      <c r="C695" s="34">
        <v>52.0</v>
      </c>
      <c r="D695" s="1" t="s">
        <v>392</v>
      </c>
      <c r="E695" s="1" t="s">
        <v>1966</v>
      </c>
      <c r="F695" s="1" t="s">
        <v>1989</v>
      </c>
      <c r="G695" s="1">
        <v>19.0</v>
      </c>
      <c r="H695" s="1">
        <v>17.0</v>
      </c>
      <c r="I695" s="1" t="s">
        <v>392</v>
      </c>
      <c r="J695" s="1" t="s">
        <v>1990</v>
      </c>
      <c r="K695" s="1">
        <v>153.0</v>
      </c>
      <c r="L695" s="1" t="s">
        <v>849</v>
      </c>
    </row>
    <row r="696" hidden="1">
      <c r="A696" s="34">
        <v>20.0</v>
      </c>
      <c r="B696" s="34">
        <v>6.0</v>
      </c>
      <c r="C696" s="34">
        <v>53.0</v>
      </c>
      <c r="D696" s="1" t="s">
        <v>392</v>
      </c>
      <c r="E696" s="1" t="s">
        <v>1966</v>
      </c>
      <c r="F696" s="1" t="s">
        <v>1992</v>
      </c>
      <c r="G696" s="1">
        <v>19.0</v>
      </c>
      <c r="H696" s="1">
        <v>17.0</v>
      </c>
      <c r="I696" s="1" t="s">
        <v>392</v>
      </c>
      <c r="J696" s="1" t="s">
        <v>1990</v>
      </c>
      <c r="K696" s="1">
        <v>1.0</v>
      </c>
      <c r="L696" s="1" t="s">
        <v>1990</v>
      </c>
    </row>
    <row r="697" hidden="1">
      <c r="A697" s="34">
        <v>20.0</v>
      </c>
      <c r="B697" s="34">
        <v>6.0</v>
      </c>
      <c r="C697" s="34">
        <v>54.0</v>
      </c>
      <c r="D697" s="1" t="s">
        <v>392</v>
      </c>
      <c r="E697" s="1" t="s">
        <v>1966</v>
      </c>
      <c r="F697" s="1" t="s">
        <v>1996</v>
      </c>
      <c r="G697" s="1">
        <v>19.0</v>
      </c>
      <c r="H697" s="1">
        <v>7.0</v>
      </c>
      <c r="I697" s="1" t="s">
        <v>392</v>
      </c>
      <c r="J697" s="1" t="s">
        <v>1998</v>
      </c>
      <c r="K697" s="1">
        <v>1.0</v>
      </c>
      <c r="L697" s="1" t="s">
        <v>1998</v>
      </c>
    </row>
    <row r="698" hidden="1">
      <c r="A698" s="34">
        <v>20.0</v>
      </c>
      <c r="B698" s="34">
        <v>6.0</v>
      </c>
      <c r="C698" s="34">
        <v>55.0</v>
      </c>
      <c r="D698" s="1" t="s">
        <v>392</v>
      </c>
      <c r="E698" s="1" t="s">
        <v>1966</v>
      </c>
      <c r="F698" s="1" t="s">
        <v>2002</v>
      </c>
      <c r="G698" s="1">
        <v>19.0</v>
      </c>
      <c r="H698" s="1">
        <v>14.0</v>
      </c>
      <c r="I698" s="1" t="s">
        <v>392</v>
      </c>
      <c r="J698" s="1" t="s">
        <v>2003</v>
      </c>
      <c r="K698" s="1">
        <v>1.0</v>
      </c>
      <c r="L698" s="1" t="s">
        <v>2003</v>
      </c>
    </row>
    <row r="699" hidden="1">
      <c r="A699" s="34">
        <v>20.0</v>
      </c>
      <c r="B699" s="34">
        <v>6.0</v>
      </c>
      <c r="C699" s="34">
        <v>56.0</v>
      </c>
      <c r="D699" s="1" t="s">
        <v>392</v>
      </c>
      <c r="E699" s="1" t="s">
        <v>1966</v>
      </c>
      <c r="F699" s="1" t="s">
        <v>2008</v>
      </c>
      <c r="G699" s="1">
        <v>19.0</v>
      </c>
      <c r="H699" s="1">
        <v>7.0</v>
      </c>
      <c r="I699" s="1" t="s">
        <v>392</v>
      </c>
      <c r="J699" s="1" t="s">
        <v>1998</v>
      </c>
      <c r="K699" s="1">
        <v>8.0</v>
      </c>
      <c r="L699" s="1" t="s">
        <v>2010</v>
      </c>
    </row>
    <row r="700" hidden="1">
      <c r="A700" s="34">
        <v>20.0</v>
      </c>
      <c r="B700" s="34">
        <v>8.0</v>
      </c>
      <c r="C700" s="34">
        <v>19.0</v>
      </c>
      <c r="D700" s="1" t="s">
        <v>392</v>
      </c>
      <c r="E700" s="1" t="s">
        <v>2013</v>
      </c>
      <c r="F700" s="1" t="s">
        <v>2014</v>
      </c>
      <c r="G700" s="1">
        <v>19.0</v>
      </c>
      <c r="H700" s="1">
        <v>6.0</v>
      </c>
      <c r="I700" s="1" t="s">
        <v>392</v>
      </c>
      <c r="J700" s="1" t="s">
        <v>2013</v>
      </c>
      <c r="K700" s="1">
        <v>1.0</v>
      </c>
      <c r="L700" s="1" t="s">
        <v>2016</v>
      </c>
    </row>
    <row r="701" hidden="1">
      <c r="A701" s="34">
        <v>20.0</v>
      </c>
      <c r="B701" s="34">
        <v>8.0</v>
      </c>
      <c r="C701" s="34">
        <v>41.0</v>
      </c>
      <c r="D701" s="1" t="s">
        <v>392</v>
      </c>
      <c r="E701" s="1" t="s">
        <v>2013</v>
      </c>
      <c r="F701" s="1" t="s">
        <v>2020</v>
      </c>
      <c r="G701" s="1">
        <v>19.0</v>
      </c>
      <c r="H701" s="1">
        <v>16.0</v>
      </c>
      <c r="I701" s="1" t="s">
        <v>392</v>
      </c>
      <c r="J701" s="1" t="s">
        <v>2022</v>
      </c>
      <c r="K701" s="1">
        <v>1.0</v>
      </c>
      <c r="L701" s="1" t="s">
        <v>2023</v>
      </c>
    </row>
    <row r="702" hidden="1">
      <c r="A702" s="34">
        <v>20.0</v>
      </c>
      <c r="B702" s="34">
        <v>8.0</v>
      </c>
      <c r="C702" s="34">
        <v>49.0</v>
      </c>
      <c r="D702" s="1" t="s">
        <v>392</v>
      </c>
      <c r="E702" s="1" t="s">
        <v>2013</v>
      </c>
      <c r="F702" s="1" t="s">
        <v>2031</v>
      </c>
      <c r="G702" s="1">
        <v>19.0</v>
      </c>
      <c r="H702" s="1">
        <v>2.0</v>
      </c>
      <c r="I702" s="1" t="s">
        <v>392</v>
      </c>
      <c r="J702" s="1" t="s">
        <v>2033</v>
      </c>
      <c r="K702" s="1">
        <v>1.0</v>
      </c>
      <c r="L702" s="1" t="s">
        <v>2033</v>
      </c>
    </row>
    <row r="703" hidden="1">
      <c r="A703" s="34">
        <v>20.0</v>
      </c>
      <c r="B703" s="34">
        <v>8.0</v>
      </c>
      <c r="C703" s="34">
        <v>50.0</v>
      </c>
      <c r="D703" s="1" t="s">
        <v>392</v>
      </c>
      <c r="E703" s="1" t="s">
        <v>2013</v>
      </c>
      <c r="F703" s="1" t="s">
        <v>2037</v>
      </c>
      <c r="G703" s="1">
        <v>19.0</v>
      </c>
      <c r="H703" s="1">
        <v>11.0</v>
      </c>
      <c r="I703" s="1" t="s">
        <v>392</v>
      </c>
      <c r="J703" s="1" t="s">
        <v>2038</v>
      </c>
      <c r="K703" s="1">
        <v>1.0</v>
      </c>
      <c r="L703" s="1" t="s">
        <v>2040</v>
      </c>
    </row>
    <row r="704" hidden="1">
      <c r="A704" s="34">
        <v>20.0</v>
      </c>
      <c r="B704" s="34">
        <v>8.0</v>
      </c>
      <c r="C704" s="34">
        <v>66.0</v>
      </c>
      <c r="D704" s="1" t="s">
        <v>392</v>
      </c>
      <c r="E704" s="1" t="s">
        <v>2013</v>
      </c>
      <c r="F704" s="1" t="s">
        <v>2043</v>
      </c>
      <c r="G704" s="1">
        <v>19.0</v>
      </c>
      <c r="H704" s="1">
        <v>6.0</v>
      </c>
      <c r="I704" s="1" t="s">
        <v>392</v>
      </c>
      <c r="J704" s="1" t="s">
        <v>2013</v>
      </c>
      <c r="K704" s="1">
        <v>1.0</v>
      </c>
      <c r="L704" s="1" t="s">
        <v>2016</v>
      </c>
    </row>
    <row r="705" hidden="1">
      <c r="A705" s="34">
        <v>20.0</v>
      </c>
      <c r="B705" s="34">
        <v>8.0</v>
      </c>
      <c r="C705" s="34">
        <v>70.0</v>
      </c>
      <c r="D705" s="1" t="s">
        <v>392</v>
      </c>
      <c r="E705" s="1" t="s">
        <v>2013</v>
      </c>
      <c r="F705" s="1" t="s">
        <v>2048</v>
      </c>
      <c r="G705" s="1">
        <v>19.0</v>
      </c>
      <c r="H705" s="1">
        <v>25.0</v>
      </c>
      <c r="I705" s="1" t="s">
        <v>392</v>
      </c>
      <c r="J705" s="1" t="s">
        <v>2049</v>
      </c>
      <c r="K705" s="1">
        <v>1.0</v>
      </c>
      <c r="L705" s="1" t="s">
        <v>2051</v>
      </c>
    </row>
    <row r="706" hidden="1">
      <c r="A706" s="34">
        <v>20.0</v>
      </c>
      <c r="B706" s="34">
        <v>8.0</v>
      </c>
      <c r="C706" s="34">
        <v>71.0</v>
      </c>
      <c r="D706" s="1" t="s">
        <v>392</v>
      </c>
      <c r="E706" s="1" t="s">
        <v>2013</v>
      </c>
      <c r="F706" s="1" t="s">
        <v>2014</v>
      </c>
      <c r="G706" s="1">
        <v>19.0</v>
      </c>
      <c r="H706" s="1">
        <v>6.0</v>
      </c>
      <c r="I706" s="1" t="s">
        <v>392</v>
      </c>
      <c r="J706" s="1" t="s">
        <v>2013</v>
      </c>
      <c r="K706" s="1">
        <v>1.0</v>
      </c>
      <c r="L706" s="1" t="s">
        <v>2016</v>
      </c>
    </row>
    <row r="707" hidden="1">
      <c r="A707" s="34">
        <v>20.0</v>
      </c>
      <c r="B707" s="34">
        <v>31.0</v>
      </c>
      <c r="C707" s="34">
        <v>6.0</v>
      </c>
      <c r="D707" s="1" t="s">
        <v>392</v>
      </c>
      <c r="E707" s="1" t="s">
        <v>2061</v>
      </c>
      <c r="F707" s="1" t="s">
        <v>2062</v>
      </c>
      <c r="G707" s="1">
        <v>19.0</v>
      </c>
      <c r="H707" s="1">
        <v>46.0</v>
      </c>
      <c r="I707" s="1" t="s">
        <v>392</v>
      </c>
      <c r="J707" s="1" t="s">
        <v>2063</v>
      </c>
      <c r="K707" s="1">
        <v>1.0</v>
      </c>
      <c r="L707" s="1" t="s">
        <v>2065</v>
      </c>
    </row>
    <row r="708" hidden="1">
      <c r="A708" s="34">
        <v>20.0</v>
      </c>
      <c r="B708" s="34">
        <v>31.0</v>
      </c>
      <c r="C708" s="34">
        <v>9.0</v>
      </c>
      <c r="D708" s="1" t="s">
        <v>392</v>
      </c>
      <c r="E708" s="1" t="s">
        <v>2061</v>
      </c>
      <c r="F708" s="1" t="s">
        <v>2067</v>
      </c>
      <c r="G708" s="1">
        <v>19.0</v>
      </c>
      <c r="H708" s="1">
        <v>45.0</v>
      </c>
      <c r="I708" s="1" t="s">
        <v>392</v>
      </c>
      <c r="J708" s="1" t="s">
        <v>2068</v>
      </c>
      <c r="K708" s="1">
        <v>1.0</v>
      </c>
      <c r="L708" s="1" t="s">
        <v>2068</v>
      </c>
    </row>
    <row r="709" hidden="1">
      <c r="A709" s="34">
        <v>20.0</v>
      </c>
      <c r="B709" s="34">
        <v>31.0</v>
      </c>
      <c r="C709" s="34">
        <v>10.0</v>
      </c>
      <c r="D709" s="1" t="s">
        <v>392</v>
      </c>
      <c r="E709" s="1" t="s">
        <v>2061</v>
      </c>
      <c r="F709" s="1" t="s">
        <v>2072</v>
      </c>
      <c r="G709" s="1">
        <v>19.0</v>
      </c>
      <c r="H709" s="1">
        <v>44.0</v>
      </c>
      <c r="I709" s="1" t="s">
        <v>392</v>
      </c>
      <c r="J709" s="1" t="s">
        <v>2073</v>
      </c>
      <c r="K709" s="1">
        <v>1.0</v>
      </c>
      <c r="L709" s="1" t="s">
        <v>2075</v>
      </c>
    </row>
    <row r="710" hidden="1">
      <c r="A710" s="34">
        <v>20.0</v>
      </c>
      <c r="B710" s="34">
        <v>31.0</v>
      </c>
      <c r="C710" s="34">
        <v>15.0</v>
      </c>
      <c r="D710" s="1" t="s">
        <v>392</v>
      </c>
      <c r="E710" s="1" t="s">
        <v>2061</v>
      </c>
      <c r="F710" s="1" t="s">
        <v>2112</v>
      </c>
      <c r="G710" s="1">
        <v>19.0</v>
      </c>
      <c r="H710" s="1">
        <v>39.0</v>
      </c>
      <c r="I710" s="1" t="s">
        <v>392</v>
      </c>
      <c r="J710" s="1" t="s">
        <v>2113</v>
      </c>
      <c r="K710" s="1">
        <v>1.0</v>
      </c>
      <c r="L710" s="1" t="s">
        <v>2113</v>
      </c>
    </row>
    <row r="711" hidden="1">
      <c r="A711" s="34">
        <v>20.0</v>
      </c>
      <c r="B711" s="34">
        <v>31.0</v>
      </c>
      <c r="C711" s="34">
        <v>31.0</v>
      </c>
      <c r="D711" s="1" t="s">
        <v>392</v>
      </c>
      <c r="E711" s="1" t="s">
        <v>2061</v>
      </c>
      <c r="F711" s="1" t="s">
        <v>2118</v>
      </c>
      <c r="G711" s="1">
        <v>19.0</v>
      </c>
      <c r="H711" s="1">
        <v>46.0</v>
      </c>
      <c r="I711" s="1" t="s">
        <v>392</v>
      </c>
      <c r="J711" s="1" t="s">
        <v>2063</v>
      </c>
      <c r="K711" s="1">
        <v>1.0</v>
      </c>
      <c r="L711" s="1" t="s">
        <v>2065</v>
      </c>
    </row>
    <row r="712" hidden="1">
      <c r="A712" s="34">
        <v>20.0</v>
      </c>
      <c r="B712" s="34">
        <v>31.0</v>
      </c>
      <c r="C712" s="34">
        <v>42.0</v>
      </c>
      <c r="D712" s="1" t="s">
        <v>392</v>
      </c>
      <c r="E712" s="1" t="s">
        <v>2061</v>
      </c>
      <c r="F712" s="1" t="s">
        <v>2123</v>
      </c>
      <c r="G712" s="1">
        <v>19.0</v>
      </c>
      <c r="H712" s="1">
        <v>10.0</v>
      </c>
      <c r="I712" s="1" t="s">
        <v>392</v>
      </c>
      <c r="J712" s="1" t="s">
        <v>2124</v>
      </c>
      <c r="K712" s="1">
        <v>1.0</v>
      </c>
      <c r="L712" s="1" t="s">
        <v>635</v>
      </c>
    </row>
    <row r="713" hidden="1">
      <c r="A713" s="34">
        <v>20.0</v>
      </c>
      <c r="B713" s="34">
        <v>31.0</v>
      </c>
      <c r="C713" s="34">
        <v>43.0</v>
      </c>
      <c r="D713" s="1" t="s">
        <v>392</v>
      </c>
      <c r="E713" s="1" t="s">
        <v>2061</v>
      </c>
      <c r="F713" s="1" t="s">
        <v>2129</v>
      </c>
      <c r="G713" s="1">
        <v>19.0</v>
      </c>
      <c r="H713" s="1">
        <v>21.0</v>
      </c>
      <c r="I713" s="1" t="s">
        <v>392</v>
      </c>
      <c r="J713" s="1" t="s">
        <v>2130</v>
      </c>
      <c r="K713" s="1">
        <v>1.0</v>
      </c>
      <c r="L713" s="1" t="s">
        <v>2131</v>
      </c>
    </row>
    <row r="714" hidden="1">
      <c r="A714" s="34">
        <v>20.0</v>
      </c>
      <c r="B714" s="34">
        <v>31.0</v>
      </c>
      <c r="C714" s="34">
        <v>44.0</v>
      </c>
      <c r="D714" s="1" t="s">
        <v>392</v>
      </c>
      <c r="E714" s="1" t="s">
        <v>2061</v>
      </c>
      <c r="F714" s="1" t="s">
        <v>2136</v>
      </c>
      <c r="G714" s="1">
        <v>19.0</v>
      </c>
      <c r="H714" s="1">
        <v>12.0</v>
      </c>
      <c r="I714" s="1" t="s">
        <v>392</v>
      </c>
      <c r="J714" s="1" t="s">
        <v>2138</v>
      </c>
      <c r="K714" s="1">
        <v>1.0</v>
      </c>
      <c r="L714" s="1" t="s">
        <v>2138</v>
      </c>
    </row>
    <row r="715" hidden="1">
      <c r="A715" s="34">
        <v>20.0</v>
      </c>
      <c r="B715" s="34">
        <v>31.0</v>
      </c>
      <c r="C715" s="34">
        <v>45.0</v>
      </c>
      <c r="D715" s="1" t="s">
        <v>392</v>
      </c>
      <c r="E715" s="1" t="s">
        <v>2061</v>
      </c>
      <c r="F715" s="1" t="s">
        <v>2142</v>
      </c>
      <c r="G715" s="1">
        <v>19.0</v>
      </c>
      <c r="H715" s="1">
        <v>47.0</v>
      </c>
      <c r="I715" s="1" t="s">
        <v>392</v>
      </c>
      <c r="J715" s="1" t="s">
        <v>96</v>
      </c>
      <c r="K715" s="1">
        <v>1.0</v>
      </c>
      <c r="L715" s="1" t="s">
        <v>96</v>
      </c>
    </row>
    <row r="716" hidden="1">
      <c r="A716" s="34">
        <v>20.0</v>
      </c>
      <c r="B716" s="34">
        <v>31.0</v>
      </c>
      <c r="C716" s="34">
        <v>46.0</v>
      </c>
      <c r="D716" s="1" t="s">
        <v>392</v>
      </c>
      <c r="E716" s="1" t="s">
        <v>2061</v>
      </c>
      <c r="F716" s="1" t="s">
        <v>2144</v>
      </c>
      <c r="G716" s="1">
        <v>19.0</v>
      </c>
      <c r="H716" s="1">
        <v>51.0</v>
      </c>
      <c r="I716" s="1" t="s">
        <v>392</v>
      </c>
      <c r="J716" s="1" t="s">
        <v>2146</v>
      </c>
      <c r="K716" s="1">
        <v>1.0</v>
      </c>
      <c r="L716" s="1" t="s">
        <v>2147</v>
      </c>
    </row>
    <row r="717" hidden="1">
      <c r="A717" s="34">
        <v>20.0</v>
      </c>
      <c r="B717" s="34">
        <v>31.0</v>
      </c>
      <c r="C717" s="34">
        <v>47.0</v>
      </c>
      <c r="D717" s="1" t="s">
        <v>392</v>
      </c>
      <c r="E717" s="1" t="s">
        <v>2061</v>
      </c>
      <c r="F717" s="1" t="s">
        <v>2152</v>
      </c>
      <c r="G717" s="1">
        <v>19.0</v>
      </c>
      <c r="H717" s="1">
        <v>32.0</v>
      </c>
      <c r="I717" s="1" t="s">
        <v>392</v>
      </c>
      <c r="J717" s="1" t="s">
        <v>2154</v>
      </c>
      <c r="K717" s="1">
        <v>1.0</v>
      </c>
      <c r="L717" s="1" t="s">
        <v>2154</v>
      </c>
    </row>
    <row r="718" hidden="1">
      <c r="A718" s="34">
        <v>20.0</v>
      </c>
      <c r="B718" s="34">
        <v>31.0</v>
      </c>
      <c r="C718" s="34">
        <v>48.0</v>
      </c>
      <c r="D718" s="1" t="s">
        <v>392</v>
      </c>
      <c r="E718" s="1" t="s">
        <v>2061</v>
      </c>
      <c r="F718" s="1" t="s">
        <v>2155</v>
      </c>
      <c r="G718" s="1">
        <v>19.0</v>
      </c>
      <c r="H718" s="1">
        <v>5.0</v>
      </c>
      <c r="I718" s="1" t="s">
        <v>392</v>
      </c>
      <c r="J718" s="1" t="s">
        <v>2162</v>
      </c>
      <c r="K718" s="1">
        <v>1.0</v>
      </c>
      <c r="L718" s="1" t="s">
        <v>2162</v>
      </c>
    </row>
    <row r="719" hidden="1">
      <c r="A719" s="34">
        <v>20.0</v>
      </c>
      <c r="B719" s="34">
        <v>31.0</v>
      </c>
      <c r="C719" s="34">
        <v>72.0</v>
      </c>
      <c r="D719" s="1" t="s">
        <v>392</v>
      </c>
      <c r="E719" s="1" t="s">
        <v>2061</v>
      </c>
      <c r="F719" s="1" t="s">
        <v>2166</v>
      </c>
      <c r="G719" s="1">
        <v>19.0</v>
      </c>
      <c r="H719" s="1">
        <v>10.0</v>
      </c>
      <c r="I719" s="1" t="s">
        <v>392</v>
      </c>
      <c r="J719" s="1" t="s">
        <v>2124</v>
      </c>
      <c r="K719" s="1">
        <v>9.0</v>
      </c>
      <c r="L719" s="1" t="s">
        <v>635</v>
      </c>
    </row>
    <row r="720" hidden="1">
      <c r="A720" s="34">
        <v>20.0</v>
      </c>
      <c r="B720" s="34">
        <v>31.0</v>
      </c>
      <c r="C720" s="34">
        <v>73.0</v>
      </c>
      <c r="D720" s="1" t="s">
        <v>392</v>
      </c>
      <c r="E720" s="1" t="s">
        <v>2061</v>
      </c>
      <c r="F720" s="1" t="s">
        <v>2171</v>
      </c>
      <c r="G720" s="1">
        <v>19.0</v>
      </c>
      <c r="H720" s="1">
        <v>46.0</v>
      </c>
      <c r="I720" s="1" t="s">
        <v>392</v>
      </c>
      <c r="J720" s="1" t="s">
        <v>2063</v>
      </c>
      <c r="K720" s="1">
        <v>1.0</v>
      </c>
      <c r="L720" s="1" t="s">
        <v>2065</v>
      </c>
    </row>
    <row r="721" hidden="1">
      <c r="A721" s="34">
        <v>20.0</v>
      </c>
      <c r="B721" s="34">
        <v>32.0</v>
      </c>
      <c r="C721" s="34">
        <v>26.0</v>
      </c>
      <c r="D721" s="1" t="s">
        <v>392</v>
      </c>
      <c r="E721" s="1" t="s">
        <v>2176</v>
      </c>
      <c r="F721" s="1" t="s">
        <v>2177</v>
      </c>
      <c r="G721" s="1">
        <v>19.0</v>
      </c>
      <c r="H721" s="1">
        <v>39.0</v>
      </c>
      <c r="I721" s="1" t="s">
        <v>392</v>
      </c>
      <c r="J721" s="1" t="s">
        <v>2113</v>
      </c>
      <c r="K721" s="1">
        <v>1.0</v>
      </c>
      <c r="L721" s="1" t="s">
        <v>2113</v>
      </c>
    </row>
    <row r="722" hidden="1">
      <c r="A722" s="34">
        <v>20.0</v>
      </c>
      <c r="B722" s="34">
        <v>32.0</v>
      </c>
      <c r="C722" s="34">
        <v>28.0</v>
      </c>
      <c r="D722" s="1" t="s">
        <v>392</v>
      </c>
      <c r="E722" s="1" t="s">
        <v>2176</v>
      </c>
      <c r="F722" s="1" t="s">
        <v>2182</v>
      </c>
      <c r="G722" s="1">
        <v>19.0</v>
      </c>
      <c r="H722" s="1">
        <v>39.0</v>
      </c>
      <c r="I722" s="1" t="s">
        <v>392</v>
      </c>
      <c r="J722" s="1" t="s">
        <v>2113</v>
      </c>
      <c r="K722" s="1">
        <v>1.0</v>
      </c>
      <c r="L722" s="1" t="s">
        <v>2113</v>
      </c>
    </row>
    <row r="723" hidden="1">
      <c r="A723" s="34">
        <v>20.0</v>
      </c>
      <c r="B723" s="34">
        <v>32.0</v>
      </c>
      <c r="C723" s="34">
        <v>31.0</v>
      </c>
      <c r="D723" s="1" t="s">
        <v>392</v>
      </c>
      <c r="E723" s="1" t="s">
        <v>2176</v>
      </c>
      <c r="F723" s="1" t="s">
        <v>2118</v>
      </c>
      <c r="G723" s="1">
        <v>19.0</v>
      </c>
      <c r="H723" s="1">
        <v>46.0</v>
      </c>
      <c r="I723" s="1" t="s">
        <v>392</v>
      </c>
      <c r="J723" s="1" t="s">
        <v>2063</v>
      </c>
      <c r="K723" s="1">
        <v>1.0</v>
      </c>
      <c r="L723" s="1" t="s">
        <v>2065</v>
      </c>
    </row>
    <row r="724" hidden="1">
      <c r="A724" s="34">
        <v>20.0</v>
      </c>
      <c r="B724" s="34">
        <v>32.0</v>
      </c>
      <c r="C724" s="34">
        <v>35.0</v>
      </c>
      <c r="D724" s="1" t="s">
        <v>392</v>
      </c>
      <c r="E724" s="1" t="s">
        <v>2176</v>
      </c>
      <c r="F724" s="1" t="s">
        <v>2191</v>
      </c>
      <c r="G724" s="1">
        <v>19.0</v>
      </c>
      <c r="H724" s="1">
        <v>39.0</v>
      </c>
      <c r="I724" s="1" t="s">
        <v>392</v>
      </c>
      <c r="J724" s="1" t="s">
        <v>2113</v>
      </c>
      <c r="K724" s="1">
        <v>1.0</v>
      </c>
      <c r="L724" s="1" t="s">
        <v>2113</v>
      </c>
    </row>
    <row r="725" hidden="1">
      <c r="A725" s="34">
        <v>20.0</v>
      </c>
      <c r="B725" s="34">
        <v>32.0</v>
      </c>
      <c r="C725" s="34">
        <v>37.0</v>
      </c>
      <c r="D725" s="1" t="s">
        <v>392</v>
      </c>
      <c r="E725" s="1" t="s">
        <v>2176</v>
      </c>
      <c r="F725" s="1" t="s">
        <v>2197</v>
      </c>
      <c r="G725" s="1">
        <v>19.0</v>
      </c>
      <c r="H725" s="1">
        <v>39.0</v>
      </c>
      <c r="I725" s="1" t="s">
        <v>392</v>
      </c>
      <c r="J725" s="1" t="s">
        <v>2113</v>
      </c>
      <c r="K725" s="1">
        <v>1.0</v>
      </c>
      <c r="L725" s="1" t="s">
        <v>2113</v>
      </c>
    </row>
    <row r="726" hidden="1">
      <c r="A726" s="34">
        <v>20.0</v>
      </c>
      <c r="B726" s="34">
        <v>32.0</v>
      </c>
      <c r="C726" s="34">
        <v>39.0</v>
      </c>
      <c r="D726" s="1" t="s">
        <v>392</v>
      </c>
      <c r="E726" s="1" t="s">
        <v>2176</v>
      </c>
      <c r="F726" s="1" t="s">
        <v>2202</v>
      </c>
      <c r="G726" s="1">
        <v>19.0</v>
      </c>
      <c r="H726" s="1">
        <v>39.0</v>
      </c>
      <c r="I726" s="1" t="s">
        <v>392</v>
      </c>
      <c r="J726" s="1" t="s">
        <v>2113</v>
      </c>
      <c r="K726" s="1">
        <v>1.0</v>
      </c>
      <c r="L726" s="1" t="s">
        <v>2113</v>
      </c>
    </row>
    <row r="727" hidden="1">
      <c r="A727" s="34">
        <v>20.0</v>
      </c>
      <c r="B727" s="34">
        <v>32.0</v>
      </c>
      <c r="C727" s="34">
        <v>69.0</v>
      </c>
      <c r="D727" s="1" t="s">
        <v>392</v>
      </c>
      <c r="E727" s="1" t="s">
        <v>2176</v>
      </c>
      <c r="F727" s="1" t="s">
        <v>2206</v>
      </c>
      <c r="G727" s="1">
        <v>19.0</v>
      </c>
      <c r="H727" s="1">
        <v>39.0</v>
      </c>
      <c r="I727" s="1" t="s">
        <v>392</v>
      </c>
      <c r="J727" s="1" t="s">
        <v>2113</v>
      </c>
      <c r="K727" s="1">
        <v>1.0</v>
      </c>
      <c r="L727" s="1" t="s">
        <v>2113</v>
      </c>
    </row>
    <row r="728" hidden="1">
      <c r="A728" s="34">
        <v>20.0</v>
      </c>
      <c r="B728" s="34">
        <v>33.0</v>
      </c>
      <c r="C728" s="34">
        <v>2.0</v>
      </c>
      <c r="D728" s="1" t="s">
        <v>392</v>
      </c>
      <c r="E728" s="1" t="s">
        <v>2210</v>
      </c>
      <c r="F728" s="1" t="s">
        <v>2211</v>
      </c>
      <c r="G728" s="1">
        <v>19.0</v>
      </c>
      <c r="H728" s="1">
        <v>39.0</v>
      </c>
      <c r="I728" s="1" t="s">
        <v>392</v>
      </c>
      <c r="J728" s="1" t="s">
        <v>2113</v>
      </c>
      <c r="K728" s="1">
        <v>1.0</v>
      </c>
      <c r="L728" s="1" t="s">
        <v>2113</v>
      </c>
    </row>
    <row r="729" hidden="1">
      <c r="A729" s="34">
        <v>20.0</v>
      </c>
      <c r="B729" s="34">
        <v>33.0</v>
      </c>
      <c r="C729" s="34">
        <v>3.0</v>
      </c>
      <c r="D729" s="1" t="s">
        <v>392</v>
      </c>
      <c r="E729" s="1" t="s">
        <v>2210</v>
      </c>
      <c r="F729" s="1" t="s">
        <v>2217</v>
      </c>
      <c r="G729" s="1">
        <v>19.0</v>
      </c>
      <c r="H729" s="1">
        <v>39.0</v>
      </c>
      <c r="I729" s="1" t="s">
        <v>392</v>
      </c>
      <c r="J729" s="1" t="s">
        <v>2113</v>
      </c>
      <c r="K729" s="1">
        <v>1.0</v>
      </c>
      <c r="L729" s="1" t="s">
        <v>2113</v>
      </c>
    </row>
    <row r="730" hidden="1">
      <c r="A730" s="34">
        <v>20.0</v>
      </c>
      <c r="B730" s="34">
        <v>33.0</v>
      </c>
      <c r="C730" s="34">
        <v>14.0</v>
      </c>
      <c r="D730" s="1" t="s">
        <v>392</v>
      </c>
      <c r="E730" s="1" t="s">
        <v>2210</v>
      </c>
      <c r="F730" s="1" t="s">
        <v>2222</v>
      </c>
      <c r="G730" s="1">
        <v>19.0</v>
      </c>
      <c r="H730" s="1">
        <v>9.0</v>
      </c>
      <c r="I730" s="1" t="s">
        <v>392</v>
      </c>
      <c r="J730" s="1" t="s">
        <v>2224</v>
      </c>
      <c r="K730" s="1">
        <v>1.0</v>
      </c>
      <c r="L730" s="1" t="s">
        <v>2224</v>
      </c>
    </row>
    <row r="731" hidden="1">
      <c r="A731" s="34">
        <v>20.0</v>
      </c>
      <c r="B731" s="34">
        <v>33.0</v>
      </c>
      <c r="C731" s="34">
        <v>20.0</v>
      </c>
      <c r="D731" s="1" t="s">
        <v>392</v>
      </c>
      <c r="E731" s="1" t="s">
        <v>2210</v>
      </c>
      <c r="F731" s="1" t="s">
        <v>2228</v>
      </c>
      <c r="G731" s="1">
        <v>19.0</v>
      </c>
      <c r="H731" s="1">
        <v>31.0</v>
      </c>
      <c r="I731" s="1" t="s">
        <v>392</v>
      </c>
      <c r="J731" s="1" t="s">
        <v>787</v>
      </c>
      <c r="K731" s="1">
        <v>1.0</v>
      </c>
      <c r="L731" s="1" t="s">
        <v>2230</v>
      </c>
    </row>
    <row r="732" hidden="1">
      <c r="A732" s="34">
        <v>20.0</v>
      </c>
      <c r="B732" s="34">
        <v>33.0</v>
      </c>
      <c r="C732" s="34">
        <v>27.0</v>
      </c>
      <c r="D732" s="1" t="s">
        <v>392</v>
      </c>
      <c r="E732" s="1" t="s">
        <v>2210</v>
      </c>
      <c r="F732" s="1" t="s">
        <v>2234</v>
      </c>
      <c r="G732" s="1">
        <v>19.0</v>
      </c>
      <c r="H732" s="1">
        <v>26.0</v>
      </c>
      <c r="I732" s="1" t="s">
        <v>392</v>
      </c>
      <c r="J732" s="1" t="s">
        <v>892</v>
      </c>
      <c r="K732" s="1">
        <v>1.0</v>
      </c>
      <c r="L732" s="1" t="s">
        <v>892</v>
      </c>
    </row>
    <row r="733" hidden="1">
      <c r="A733" s="34">
        <v>20.0</v>
      </c>
      <c r="B733" s="34">
        <v>33.0</v>
      </c>
      <c r="C733" s="34">
        <v>29.0</v>
      </c>
      <c r="D733" s="1" t="s">
        <v>392</v>
      </c>
      <c r="E733" s="1" t="s">
        <v>2210</v>
      </c>
      <c r="F733" s="1" t="s">
        <v>2242</v>
      </c>
      <c r="G733" s="1">
        <v>19.0</v>
      </c>
      <c r="H733" s="1">
        <v>26.0</v>
      </c>
      <c r="I733" s="1" t="s">
        <v>392</v>
      </c>
      <c r="J733" s="1" t="s">
        <v>892</v>
      </c>
      <c r="K733" s="1">
        <v>1.0</v>
      </c>
      <c r="L733" s="1" t="s">
        <v>892</v>
      </c>
    </row>
    <row r="734" hidden="1">
      <c r="A734" s="34">
        <v>20.0</v>
      </c>
      <c r="B734" s="34">
        <v>33.0</v>
      </c>
      <c r="C734" s="34">
        <v>30.0</v>
      </c>
      <c r="D734" s="1" t="s">
        <v>392</v>
      </c>
      <c r="E734" s="1" t="s">
        <v>2210</v>
      </c>
      <c r="F734" s="1" t="s">
        <v>2250</v>
      </c>
      <c r="G734" s="1">
        <v>19.0</v>
      </c>
      <c r="H734" s="1">
        <v>26.0</v>
      </c>
      <c r="I734" s="1" t="s">
        <v>392</v>
      </c>
      <c r="J734" s="1" t="s">
        <v>892</v>
      </c>
      <c r="K734" s="1">
        <v>1.0</v>
      </c>
      <c r="L734" s="1" t="s">
        <v>892</v>
      </c>
    </row>
    <row r="735" hidden="1">
      <c r="A735" s="34">
        <v>20.0</v>
      </c>
      <c r="B735" s="34">
        <v>33.0</v>
      </c>
      <c r="C735" s="34">
        <v>32.0</v>
      </c>
      <c r="D735" s="1" t="s">
        <v>392</v>
      </c>
      <c r="E735" s="1" t="s">
        <v>2210</v>
      </c>
      <c r="F735" s="1" t="s">
        <v>2254</v>
      </c>
      <c r="G735" s="1">
        <v>19.0</v>
      </c>
      <c r="H735" s="1">
        <v>26.0</v>
      </c>
      <c r="I735" s="1" t="s">
        <v>392</v>
      </c>
      <c r="J735" s="1" t="s">
        <v>892</v>
      </c>
      <c r="K735" s="1">
        <v>1.0</v>
      </c>
      <c r="L735" s="1" t="s">
        <v>892</v>
      </c>
    </row>
    <row r="736" hidden="1">
      <c r="A736" s="34">
        <v>20.0</v>
      </c>
      <c r="B736" s="34">
        <v>33.0</v>
      </c>
      <c r="C736" s="34">
        <v>36.0</v>
      </c>
      <c r="D736" s="1" t="s">
        <v>392</v>
      </c>
      <c r="E736" s="1" t="s">
        <v>2210</v>
      </c>
      <c r="F736" s="1" t="s">
        <v>2260</v>
      </c>
      <c r="G736" s="1">
        <v>19.0</v>
      </c>
      <c r="H736" s="1">
        <v>39.0</v>
      </c>
      <c r="I736" s="1" t="s">
        <v>392</v>
      </c>
      <c r="J736" s="1" t="s">
        <v>2113</v>
      </c>
      <c r="K736" s="1">
        <v>1.0</v>
      </c>
      <c r="L736" s="1" t="s">
        <v>2113</v>
      </c>
    </row>
    <row r="737" hidden="1">
      <c r="A737" s="34">
        <v>20.0</v>
      </c>
      <c r="B737" s="34">
        <v>33.0</v>
      </c>
      <c r="C737" s="34">
        <v>51.0</v>
      </c>
      <c r="D737" s="1" t="s">
        <v>392</v>
      </c>
      <c r="E737" s="1" t="s">
        <v>2210</v>
      </c>
      <c r="F737" s="1" t="s">
        <v>2265</v>
      </c>
      <c r="G737" s="1">
        <v>19.0</v>
      </c>
      <c r="H737" s="1">
        <v>13.0</v>
      </c>
      <c r="I737" s="1" t="s">
        <v>392</v>
      </c>
      <c r="J737" s="1" t="s">
        <v>2266</v>
      </c>
      <c r="K737" s="1">
        <v>1.0</v>
      </c>
      <c r="L737" s="1" t="s">
        <v>2266</v>
      </c>
    </row>
    <row r="738" hidden="1">
      <c r="A738" s="34">
        <v>20.0</v>
      </c>
      <c r="B738" s="34">
        <v>33.0</v>
      </c>
      <c r="C738" s="34">
        <v>68.0</v>
      </c>
      <c r="D738" s="1" t="s">
        <v>392</v>
      </c>
      <c r="E738" s="1" t="s">
        <v>2210</v>
      </c>
      <c r="F738" s="1" t="s">
        <v>2272</v>
      </c>
      <c r="G738" s="1">
        <v>19.0</v>
      </c>
      <c r="H738" s="1">
        <v>26.0</v>
      </c>
      <c r="I738" s="1" t="s">
        <v>392</v>
      </c>
      <c r="J738" s="1" t="s">
        <v>892</v>
      </c>
      <c r="K738" s="1">
        <v>1.0</v>
      </c>
      <c r="L738" s="1" t="s">
        <v>892</v>
      </c>
    </row>
    <row r="739" hidden="1">
      <c r="A739" s="34">
        <v>20.0</v>
      </c>
      <c r="B739" s="34">
        <v>33.0</v>
      </c>
      <c r="C739" s="34">
        <v>74.0</v>
      </c>
      <c r="D739" s="1" t="s">
        <v>392</v>
      </c>
      <c r="E739" s="1" t="s">
        <v>2210</v>
      </c>
      <c r="F739" s="1" t="s">
        <v>2277</v>
      </c>
      <c r="G739" s="1">
        <v>19.0</v>
      </c>
      <c r="H739" s="1">
        <v>31.0</v>
      </c>
      <c r="I739" s="1" t="s">
        <v>392</v>
      </c>
      <c r="J739" s="1" t="s">
        <v>787</v>
      </c>
      <c r="K739" s="1">
        <v>1.0</v>
      </c>
      <c r="L739" s="1" t="s">
        <v>2230</v>
      </c>
    </row>
    <row r="740" hidden="1">
      <c r="A740" s="34">
        <v>20.0</v>
      </c>
      <c r="B740" s="34">
        <v>34.0</v>
      </c>
      <c r="C740" s="34">
        <v>5.0</v>
      </c>
      <c r="D740" s="1" t="s">
        <v>392</v>
      </c>
      <c r="E740" s="1" t="s">
        <v>2282</v>
      </c>
      <c r="F740" s="1" t="s">
        <v>2283</v>
      </c>
      <c r="G740" s="1">
        <v>19.0</v>
      </c>
      <c r="H740" s="1">
        <v>39.0</v>
      </c>
      <c r="I740" s="1" t="s">
        <v>392</v>
      </c>
      <c r="J740" s="1" t="s">
        <v>2113</v>
      </c>
      <c r="K740" s="1">
        <v>1.0</v>
      </c>
      <c r="L740" s="1" t="s">
        <v>2113</v>
      </c>
    </row>
    <row r="741" hidden="1">
      <c r="A741" s="34">
        <v>20.0</v>
      </c>
      <c r="B741" s="34">
        <v>34.0</v>
      </c>
      <c r="C741" s="34">
        <v>7.0</v>
      </c>
      <c r="D741" s="1" t="s">
        <v>392</v>
      </c>
      <c r="E741" s="1" t="s">
        <v>2282</v>
      </c>
      <c r="F741" s="1" t="s">
        <v>2288</v>
      </c>
      <c r="G741" s="1">
        <v>19.0</v>
      </c>
      <c r="H741" s="1">
        <v>19.0</v>
      </c>
      <c r="I741" s="1" t="s">
        <v>392</v>
      </c>
      <c r="J741" s="1" t="s">
        <v>2290</v>
      </c>
      <c r="K741" s="1">
        <v>1.0</v>
      </c>
      <c r="L741" s="1" t="s">
        <v>2290</v>
      </c>
    </row>
    <row r="742" hidden="1">
      <c r="A742" s="34">
        <v>20.0</v>
      </c>
      <c r="B742" s="34">
        <v>34.0</v>
      </c>
      <c r="C742" s="34">
        <v>8.0</v>
      </c>
      <c r="D742" s="1" t="s">
        <v>392</v>
      </c>
      <c r="E742" s="1" t="s">
        <v>2282</v>
      </c>
      <c r="F742" s="1" t="s">
        <v>2294</v>
      </c>
      <c r="G742" s="1">
        <v>19.0</v>
      </c>
      <c r="H742" s="1">
        <v>49.0</v>
      </c>
      <c r="I742" s="1" t="s">
        <v>392</v>
      </c>
      <c r="J742" s="1" t="s">
        <v>2295</v>
      </c>
      <c r="K742" s="1">
        <v>1.0</v>
      </c>
      <c r="L742" s="1" t="s">
        <v>2295</v>
      </c>
    </row>
    <row r="743" hidden="1">
      <c r="A743" s="34">
        <v>20.0</v>
      </c>
      <c r="B743" s="34">
        <v>34.0</v>
      </c>
      <c r="C743" s="34">
        <v>24.0</v>
      </c>
      <c r="D743" s="1" t="s">
        <v>392</v>
      </c>
      <c r="E743" s="1" t="s">
        <v>2282</v>
      </c>
      <c r="F743" s="1" t="s">
        <v>2300</v>
      </c>
      <c r="G743" s="1">
        <v>19.0</v>
      </c>
      <c r="H743" s="1">
        <v>18.0</v>
      </c>
      <c r="I743" s="1" t="s">
        <v>392</v>
      </c>
      <c r="J743" s="1" t="s">
        <v>2302</v>
      </c>
      <c r="K743" s="1">
        <v>1.0</v>
      </c>
      <c r="L743" s="1" t="s">
        <v>2302</v>
      </c>
    </row>
    <row r="744" hidden="1">
      <c r="A744" s="34">
        <v>20.0</v>
      </c>
      <c r="B744" s="34">
        <v>34.0</v>
      </c>
      <c r="C744" s="34">
        <v>38.0</v>
      </c>
      <c r="D744" s="1" t="s">
        <v>392</v>
      </c>
      <c r="E744" s="1" t="s">
        <v>2282</v>
      </c>
      <c r="F744" s="1" t="s">
        <v>2307</v>
      </c>
      <c r="G744" s="1">
        <v>19.0</v>
      </c>
      <c r="H744" s="1">
        <v>39.0</v>
      </c>
      <c r="I744" s="1" t="s">
        <v>392</v>
      </c>
      <c r="J744" s="1" t="s">
        <v>2113</v>
      </c>
      <c r="K744" s="1">
        <v>1.0</v>
      </c>
      <c r="L744" s="1" t="s">
        <v>2113</v>
      </c>
    </row>
    <row r="745" hidden="1">
      <c r="A745" s="34">
        <v>20.0</v>
      </c>
      <c r="B745" s="34">
        <v>34.0</v>
      </c>
      <c r="C745" s="34">
        <v>58.0</v>
      </c>
      <c r="D745" s="1" t="s">
        <v>392</v>
      </c>
      <c r="E745" s="1" t="s">
        <v>2282</v>
      </c>
      <c r="F745" s="1" t="s">
        <v>2312</v>
      </c>
      <c r="G745" s="1">
        <v>19.0</v>
      </c>
      <c r="H745" s="1">
        <v>19.0</v>
      </c>
      <c r="I745" s="1" t="s">
        <v>392</v>
      </c>
      <c r="J745" s="1" t="s">
        <v>2290</v>
      </c>
      <c r="K745" s="1">
        <v>1.0</v>
      </c>
      <c r="L745" s="1" t="s">
        <v>2314</v>
      </c>
    </row>
    <row r="746" hidden="1">
      <c r="A746" s="34">
        <v>20.0</v>
      </c>
      <c r="B746" s="34">
        <v>34.0</v>
      </c>
      <c r="C746" s="34">
        <v>64.0</v>
      </c>
      <c r="D746" s="1" t="s">
        <v>392</v>
      </c>
      <c r="E746" s="1" t="s">
        <v>2282</v>
      </c>
      <c r="F746" s="1" t="s">
        <v>2319</v>
      </c>
      <c r="G746" s="1">
        <v>19.0</v>
      </c>
      <c r="H746" s="1">
        <v>48.0</v>
      </c>
      <c r="I746" s="1" t="s">
        <v>392</v>
      </c>
      <c r="J746" s="1" t="s">
        <v>2320</v>
      </c>
      <c r="K746" s="1">
        <v>1.0</v>
      </c>
      <c r="L746" s="1" t="s">
        <v>2320</v>
      </c>
    </row>
    <row r="747" hidden="1">
      <c r="A747" s="34">
        <v>21.0</v>
      </c>
      <c r="B747" s="34">
        <v>2.0</v>
      </c>
      <c r="C747" s="34">
        <v>1.0</v>
      </c>
      <c r="D747" s="1" t="s">
        <v>109</v>
      </c>
      <c r="E747" s="1" t="s">
        <v>109</v>
      </c>
      <c r="F747" s="1" t="s">
        <v>2324</v>
      </c>
      <c r="G747" s="1">
        <v>20.0</v>
      </c>
      <c r="H747" s="1">
        <v>67.0</v>
      </c>
      <c r="I747" s="1" t="s">
        <v>109</v>
      </c>
      <c r="J747" s="1" t="s">
        <v>2329</v>
      </c>
      <c r="K747" s="1">
        <v>1.0</v>
      </c>
      <c r="L747" s="1" t="s">
        <v>2329</v>
      </c>
    </row>
    <row r="748" hidden="1">
      <c r="A748" s="34">
        <v>21.0</v>
      </c>
      <c r="B748" s="34">
        <v>2.0</v>
      </c>
      <c r="C748" s="34">
        <v>13.0</v>
      </c>
      <c r="D748" s="1" t="s">
        <v>109</v>
      </c>
      <c r="E748" s="1" t="s">
        <v>109</v>
      </c>
      <c r="F748" s="1" t="s">
        <v>2333</v>
      </c>
      <c r="G748" s="1">
        <v>20.0</v>
      </c>
      <c r="H748" s="1">
        <v>177.0</v>
      </c>
      <c r="I748" s="1" t="s">
        <v>109</v>
      </c>
      <c r="J748" s="1" t="s">
        <v>2335</v>
      </c>
      <c r="K748" s="1">
        <v>1.0</v>
      </c>
      <c r="L748" s="1" t="s">
        <v>2335</v>
      </c>
    </row>
    <row r="749" hidden="1">
      <c r="A749" s="34">
        <v>21.0</v>
      </c>
      <c r="B749" s="34">
        <v>2.0</v>
      </c>
      <c r="C749" s="34">
        <v>17.0</v>
      </c>
      <c r="D749" s="1" t="s">
        <v>109</v>
      </c>
      <c r="E749" s="1" t="s">
        <v>109</v>
      </c>
      <c r="F749" s="1" t="s">
        <v>2339</v>
      </c>
      <c r="G749" s="1">
        <v>20.0</v>
      </c>
      <c r="H749" s="1">
        <v>45.0</v>
      </c>
      <c r="I749" s="1" t="s">
        <v>109</v>
      </c>
      <c r="J749" s="1" t="s">
        <v>2341</v>
      </c>
      <c r="K749" s="1">
        <v>1.0</v>
      </c>
      <c r="L749" s="1" t="s">
        <v>2341</v>
      </c>
    </row>
    <row r="750" hidden="1">
      <c r="A750" s="34">
        <v>21.0</v>
      </c>
      <c r="B750" s="34">
        <v>2.0</v>
      </c>
      <c r="C750" s="34">
        <v>18.0</v>
      </c>
      <c r="D750" s="1" t="s">
        <v>109</v>
      </c>
      <c r="E750" s="1" t="s">
        <v>109</v>
      </c>
      <c r="F750" s="1" t="s">
        <v>2346</v>
      </c>
      <c r="G750" s="1">
        <v>20.0</v>
      </c>
      <c r="H750" s="1">
        <v>39.0</v>
      </c>
      <c r="I750" s="1" t="s">
        <v>109</v>
      </c>
      <c r="J750" s="1" t="s">
        <v>2347</v>
      </c>
      <c r="K750" s="1">
        <v>1.0</v>
      </c>
      <c r="L750" s="1" t="s">
        <v>2348</v>
      </c>
    </row>
    <row r="751" hidden="1">
      <c r="A751" s="34">
        <v>21.0</v>
      </c>
      <c r="B751" s="34">
        <v>2.0</v>
      </c>
      <c r="C751" s="34">
        <v>21.0</v>
      </c>
      <c r="D751" s="1" t="s">
        <v>109</v>
      </c>
      <c r="E751" s="1" t="s">
        <v>109</v>
      </c>
      <c r="F751" s="1" t="s">
        <v>2353</v>
      </c>
      <c r="G751" s="1">
        <v>20.0</v>
      </c>
      <c r="H751" s="1">
        <v>540.0</v>
      </c>
      <c r="I751" s="1" t="s">
        <v>109</v>
      </c>
      <c r="J751" s="1" t="s">
        <v>2354</v>
      </c>
      <c r="K751" s="1">
        <v>1.0</v>
      </c>
      <c r="L751" s="1" t="s">
        <v>2355</v>
      </c>
    </row>
    <row r="752" hidden="1">
      <c r="A752" s="34">
        <v>21.0</v>
      </c>
      <c r="B752" s="34">
        <v>2.0</v>
      </c>
      <c r="C752" s="34">
        <v>24.0</v>
      </c>
      <c r="D752" s="1" t="s">
        <v>109</v>
      </c>
      <c r="E752" s="1" t="s">
        <v>109</v>
      </c>
      <c r="F752" s="1" t="s">
        <v>2359</v>
      </c>
      <c r="G752" s="1">
        <v>20.0</v>
      </c>
      <c r="H752" s="1">
        <v>59.0</v>
      </c>
      <c r="I752" s="1" t="s">
        <v>109</v>
      </c>
      <c r="J752" s="1" t="s">
        <v>2360</v>
      </c>
      <c r="K752" s="1">
        <v>1.0</v>
      </c>
      <c r="L752" s="1" t="s">
        <v>2361</v>
      </c>
    </row>
    <row r="753" hidden="1">
      <c r="A753" s="34">
        <v>21.0</v>
      </c>
      <c r="B753" s="34">
        <v>2.0</v>
      </c>
      <c r="C753" s="34">
        <v>27.0</v>
      </c>
      <c r="D753" s="1" t="s">
        <v>109</v>
      </c>
      <c r="E753" s="1" t="s">
        <v>109</v>
      </c>
      <c r="F753" s="1" t="s">
        <v>2365</v>
      </c>
      <c r="G753" s="1">
        <v>20.0</v>
      </c>
      <c r="H753" s="1">
        <v>68.0</v>
      </c>
      <c r="I753" s="1" t="s">
        <v>109</v>
      </c>
      <c r="J753" s="1" t="s">
        <v>2367</v>
      </c>
      <c r="K753" s="1">
        <v>1.0</v>
      </c>
      <c r="L753" s="1" t="s">
        <v>2367</v>
      </c>
    </row>
    <row r="754" hidden="1">
      <c r="A754" s="34">
        <v>21.0</v>
      </c>
      <c r="B754" s="34">
        <v>2.0</v>
      </c>
      <c r="C754" s="34">
        <v>31.0</v>
      </c>
      <c r="D754" s="1" t="s">
        <v>109</v>
      </c>
      <c r="E754" s="1" t="s">
        <v>109</v>
      </c>
      <c r="F754" s="1" t="s">
        <v>2371</v>
      </c>
      <c r="G754" s="1">
        <v>20.0</v>
      </c>
      <c r="H754" s="1">
        <v>570.0</v>
      </c>
      <c r="I754" s="1" t="s">
        <v>109</v>
      </c>
      <c r="J754" s="1" t="s">
        <v>2373</v>
      </c>
      <c r="K754" s="1">
        <v>1.0</v>
      </c>
      <c r="L754" s="1" t="s">
        <v>2373</v>
      </c>
    </row>
    <row r="755" hidden="1">
      <c r="A755" s="34">
        <v>21.0</v>
      </c>
      <c r="B755" s="34">
        <v>2.0</v>
      </c>
      <c r="C755" s="34">
        <v>34.0</v>
      </c>
      <c r="D755" s="1" t="s">
        <v>109</v>
      </c>
      <c r="E755" s="1" t="s">
        <v>109</v>
      </c>
      <c r="F755" s="1" t="s">
        <v>2377</v>
      </c>
      <c r="G755" s="1">
        <v>20.0</v>
      </c>
      <c r="H755" s="1">
        <v>397.0</v>
      </c>
      <c r="I755" s="1" t="s">
        <v>109</v>
      </c>
      <c r="J755" s="1" t="s">
        <v>2378</v>
      </c>
      <c r="K755" s="1">
        <v>1.0</v>
      </c>
      <c r="L755" s="1" t="s">
        <v>2380</v>
      </c>
    </row>
    <row r="756" hidden="1">
      <c r="A756" s="34">
        <v>21.0</v>
      </c>
      <c r="B756" s="34">
        <v>2.0</v>
      </c>
      <c r="C756" s="34">
        <v>36.0</v>
      </c>
      <c r="D756" s="1" t="s">
        <v>109</v>
      </c>
      <c r="E756" s="1" t="s">
        <v>109</v>
      </c>
      <c r="F756" s="1" t="s">
        <v>2382</v>
      </c>
      <c r="G756" s="1">
        <v>20.0</v>
      </c>
      <c r="H756" s="1">
        <v>551.0</v>
      </c>
      <c r="I756" s="1" t="s">
        <v>109</v>
      </c>
      <c r="J756" s="1" t="s">
        <v>2383</v>
      </c>
      <c r="K756" s="1">
        <v>1.0</v>
      </c>
      <c r="L756" s="1" t="s">
        <v>2383</v>
      </c>
    </row>
    <row r="757" hidden="1">
      <c r="A757" s="34">
        <v>21.0</v>
      </c>
      <c r="B757" s="34">
        <v>2.0</v>
      </c>
      <c r="C757" s="34">
        <v>38.0</v>
      </c>
      <c r="D757" s="1" t="s">
        <v>109</v>
      </c>
      <c r="E757" s="1" t="s">
        <v>109</v>
      </c>
      <c r="F757" s="1" t="s">
        <v>2388</v>
      </c>
      <c r="G757" s="1">
        <v>20.0</v>
      </c>
      <c r="H757" s="1">
        <v>67.0</v>
      </c>
      <c r="I757" s="1" t="s">
        <v>109</v>
      </c>
      <c r="J757" s="1" t="s">
        <v>2329</v>
      </c>
      <c r="K757" s="1">
        <v>1.0</v>
      </c>
      <c r="L757" s="1" t="s">
        <v>2329</v>
      </c>
    </row>
    <row r="758" hidden="1">
      <c r="A758" s="34">
        <v>21.0</v>
      </c>
      <c r="B758" s="34">
        <v>2.0</v>
      </c>
      <c r="C758" s="34">
        <v>40.0</v>
      </c>
      <c r="D758" s="1" t="s">
        <v>109</v>
      </c>
      <c r="E758" s="1" t="s">
        <v>109</v>
      </c>
      <c r="F758" s="1" t="s">
        <v>2393</v>
      </c>
      <c r="G758" s="1">
        <v>20.0</v>
      </c>
      <c r="H758" s="1">
        <v>42.0</v>
      </c>
      <c r="I758" s="1" t="s">
        <v>109</v>
      </c>
      <c r="J758" s="1" t="s">
        <v>2394</v>
      </c>
      <c r="K758" s="1">
        <v>1.0</v>
      </c>
      <c r="L758" s="1" t="s">
        <v>2394</v>
      </c>
    </row>
    <row r="759" hidden="1">
      <c r="A759" s="34">
        <v>21.0</v>
      </c>
      <c r="B759" s="34">
        <v>2.0</v>
      </c>
      <c r="C759" s="34">
        <v>43.0</v>
      </c>
      <c r="D759" s="1" t="s">
        <v>109</v>
      </c>
      <c r="E759" s="1" t="s">
        <v>109</v>
      </c>
      <c r="F759" s="1" t="s">
        <v>2400</v>
      </c>
      <c r="G759" s="1">
        <v>20.0</v>
      </c>
      <c r="H759" s="1">
        <v>41.0</v>
      </c>
      <c r="I759" s="1" t="s">
        <v>109</v>
      </c>
      <c r="J759" s="1" t="s">
        <v>2401</v>
      </c>
      <c r="K759" s="1">
        <v>1.0</v>
      </c>
      <c r="L759" s="1" t="s">
        <v>2401</v>
      </c>
    </row>
    <row r="760" hidden="1">
      <c r="A760" s="34">
        <v>21.0</v>
      </c>
      <c r="B760" s="34">
        <v>2.0</v>
      </c>
      <c r="C760" s="34">
        <v>56.0</v>
      </c>
      <c r="D760" s="1" t="s">
        <v>109</v>
      </c>
      <c r="E760" s="1" t="s">
        <v>109</v>
      </c>
      <c r="F760" s="1" t="s">
        <v>2405</v>
      </c>
      <c r="G760" s="1">
        <v>20.0</v>
      </c>
      <c r="H760" s="1">
        <v>294.0</v>
      </c>
      <c r="I760" s="1" t="s">
        <v>109</v>
      </c>
      <c r="J760" s="1" t="s">
        <v>2406</v>
      </c>
      <c r="K760" s="1">
        <v>1.0</v>
      </c>
      <c r="L760" s="1" t="s">
        <v>2406</v>
      </c>
    </row>
    <row r="761" hidden="1">
      <c r="A761" s="34">
        <v>21.0</v>
      </c>
      <c r="B761" s="34">
        <v>2.0</v>
      </c>
      <c r="C761" s="34">
        <v>57.0</v>
      </c>
      <c r="D761" s="1" t="s">
        <v>109</v>
      </c>
      <c r="E761" s="1" t="s">
        <v>109</v>
      </c>
      <c r="F761" s="1" t="s">
        <v>2411</v>
      </c>
      <c r="G761" s="1">
        <v>20.0</v>
      </c>
      <c r="H761" s="1">
        <v>338.0</v>
      </c>
      <c r="I761" s="1" t="s">
        <v>109</v>
      </c>
      <c r="J761" s="1" t="s">
        <v>2412</v>
      </c>
      <c r="K761" s="1">
        <v>1.0</v>
      </c>
      <c r="L761" s="1" t="s">
        <v>2412</v>
      </c>
    </row>
    <row r="762" hidden="1">
      <c r="A762" s="34">
        <v>21.0</v>
      </c>
      <c r="B762" s="34">
        <v>2.0</v>
      </c>
      <c r="C762" s="34">
        <v>58.0</v>
      </c>
      <c r="D762" s="1" t="s">
        <v>109</v>
      </c>
      <c r="E762" s="1" t="s">
        <v>109</v>
      </c>
      <c r="F762" s="1" t="s">
        <v>2439</v>
      </c>
      <c r="G762" s="1">
        <v>20.0</v>
      </c>
      <c r="H762" s="1">
        <v>545.0</v>
      </c>
      <c r="I762" s="1" t="s">
        <v>109</v>
      </c>
      <c r="J762" s="1" t="s">
        <v>2440</v>
      </c>
      <c r="K762" s="1">
        <v>1.0</v>
      </c>
      <c r="L762" s="1" t="s">
        <v>2440</v>
      </c>
    </row>
    <row r="763" hidden="1">
      <c r="A763" s="34">
        <v>21.0</v>
      </c>
      <c r="B763" s="34">
        <v>2.0</v>
      </c>
      <c r="C763" s="34">
        <v>65.0</v>
      </c>
      <c r="D763" s="1" t="s">
        <v>109</v>
      </c>
      <c r="E763" s="1" t="s">
        <v>109</v>
      </c>
      <c r="F763" s="1" t="s">
        <v>2441</v>
      </c>
      <c r="G763" s="1">
        <v>20.0</v>
      </c>
      <c r="H763" s="1">
        <v>390.0</v>
      </c>
      <c r="I763" s="1" t="s">
        <v>109</v>
      </c>
      <c r="J763" s="1" t="s">
        <v>2442</v>
      </c>
      <c r="K763" s="1">
        <v>1.0</v>
      </c>
      <c r="L763" s="1" t="s">
        <v>2442</v>
      </c>
    </row>
    <row r="764" hidden="1">
      <c r="A764" s="34">
        <v>21.0</v>
      </c>
      <c r="B764" s="34">
        <v>2.0</v>
      </c>
      <c r="C764" s="34">
        <v>66.0</v>
      </c>
      <c r="D764" s="1" t="s">
        <v>109</v>
      </c>
      <c r="E764" s="1" t="s">
        <v>109</v>
      </c>
      <c r="F764" s="1" t="s">
        <v>2443</v>
      </c>
      <c r="G764" s="1">
        <v>20.0</v>
      </c>
      <c r="H764" s="1">
        <v>469.0</v>
      </c>
      <c r="I764" s="1" t="s">
        <v>109</v>
      </c>
      <c r="J764" s="1" t="s">
        <v>2444</v>
      </c>
      <c r="K764" s="1">
        <v>1.0</v>
      </c>
      <c r="L764" s="1" t="s">
        <v>2444</v>
      </c>
    </row>
    <row r="765" hidden="1">
      <c r="A765" s="34">
        <v>21.0</v>
      </c>
      <c r="B765" s="34">
        <v>3.0</v>
      </c>
      <c r="C765" s="34">
        <v>2.0</v>
      </c>
      <c r="D765" s="1" t="s">
        <v>109</v>
      </c>
      <c r="E765" s="1" t="s">
        <v>2445</v>
      </c>
      <c r="F765" s="1" t="s">
        <v>2446</v>
      </c>
      <c r="G765" s="1">
        <v>20.0</v>
      </c>
      <c r="H765" s="1">
        <v>79.0</v>
      </c>
      <c r="I765" s="1" t="s">
        <v>109</v>
      </c>
      <c r="J765" s="1" t="s">
        <v>2445</v>
      </c>
      <c r="K765" s="1">
        <v>1.0</v>
      </c>
      <c r="L765" s="1" t="s">
        <v>2445</v>
      </c>
    </row>
    <row r="766" hidden="1">
      <c r="A766" s="34">
        <v>21.0</v>
      </c>
      <c r="B766" s="34">
        <v>3.0</v>
      </c>
      <c r="C766" s="34">
        <v>5.0</v>
      </c>
      <c r="D766" s="1" t="s">
        <v>109</v>
      </c>
      <c r="E766" s="1" t="s">
        <v>2445</v>
      </c>
      <c r="F766" s="1" t="s">
        <v>2447</v>
      </c>
      <c r="G766" s="1">
        <v>20.0</v>
      </c>
      <c r="H766" s="1">
        <v>515.0</v>
      </c>
      <c r="I766" s="1" t="s">
        <v>109</v>
      </c>
      <c r="J766" s="1" t="s">
        <v>2448</v>
      </c>
      <c r="K766" s="1">
        <v>1.0</v>
      </c>
      <c r="L766" s="1" t="s">
        <v>2449</v>
      </c>
    </row>
    <row r="767" hidden="1">
      <c r="A767" s="34">
        <v>21.0</v>
      </c>
      <c r="B767" s="34">
        <v>3.0</v>
      </c>
      <c r="C767" s="34">
        <v>6.0</v>
      </c>
      <c r="D767" s="1" t="s">
        <v>109</v>
      </c>
      <c r="E767" s="1" t="s">
        <v>2445</v>
      </c>
      <c r="F767" s="1" t="s">
        <v>2450</v>
      </c>
      <c r="G767" s="1">
        <v>20.0</v>
      </c>
      <c r="H767" s="1">
        <v>43.0</v>
      </c>
      <c r="I767" s="1" t="s">
        <v>109</v>
      </c>
      <c r="J767" s="1" t="s">
        <v>2451</v>
      </c>
      <c r="K767" s="1">
        <v>1.0</v>
      </c>
      <c r="L767" s="1" t="s">
        <v>2452</v>
      </c>
    </row>
    <row r="768" hidden="1">
      <c r="A768" s="34">
        <v>21.0</v>
      </c>
      <c r="B768" s="34">
        <v>3.0</v>
      </c>
      <c r="C768" s="34">
        <v>12.0</v>
      </c>
      <c r="D768" s="1" t="s">
        <v>109</v>
      </c>
      <c r="E768" s="1" t="s">
        <v>2445</v>
      </c>
      <c r="F768" s="1" t="s">
        <v>2453</v>
      </c>
      <c r="G768" s="1">
        <v>20.0</v>
      </c>
      <c r="H768" s="1">
        <v>505.0</v>
      </c>
      <c r="I768" s="1" t="s">
        <v>109</v>
      </c>
      <c r="J768" s="1" t="s">
        <v>2454</v>
      </c>
      <c r="K768" s="1">
        <v>1.0</v>
      </c>
      <c r="L768" s="1" t="s">
        <v>2454</v>
      </c>
    </row>
    <row r="769" hidden="1">
      <c r="A769" s="34">
        <v>21.0</v>
      </c>
      <c r="B769" s="34">
        <v>3.0</v>
      </c>
      <c r="C769" s="34">
        <v>23.0</v>
      </c>
      <c r="D769" s="1" t="s">
        <v>109</v>
      </c>
      <c r="E769" s="1" t="s">
        <v>2445</v>
      </c>
      <c r="F769" s="1" t="s">
        <v>2455</v>
      </c>
      <c r="G769" s="1">
        <v>20.0</v>
      </c>
      <c r="H769" s="1">
        <v>14.0</v>
      </c>
      <c r="I769" s="1" t="s">
        <v>109</v>
      </c>
      <c r="J769" s="1" t="s">
        <v>2456</v>
      </c>
      <c r="K769" s="1">
        <v>1.0</v>
      </c>
      <c r="L769" s="1" t="s">
        <v>2456</v>
      </c>
    </row>
    <row r="770" hidden="1">
      <c r="A770" s="34">
        <v>21.0</v>
      </c>
      <c r="B770" s="34">
        <v>3.0</v>
      </c>
      <c r="C770" s="34">
        <v>29.0</v>
      </c>
      <c r="D770" s="1" t="s">
        <v>109</v>
      </c>
      <c r="E770" s="1" t="s">
        <v>2445</v>
      </c>
      <c r="F770" s="1" t="s">
        <v>2457</v>
      </c>
      <c r="G770" s="1">
        <v>20.0</v>
      </c>
      <c r="H770" s="1">
        <v>10.0</v>
      </c>
      <c r="I770" s="1" t="s">
        <v>109</v>
      </c>
      <c r="J770" s="1" t="s">
        <v>2458</v>
      </c>
      <c r="K770" s="1">
        <v>1.0</v>
      </c>
      <c r="L770" s="1" t="s">
        <v>2459</v>
      </c>
    </row>
    <row r="771" hidden="1">
      <c r="A771" s="34">
        <v>21.0</v>
      </c>
      <c r="B771" s="34">
        <v>3.0</v>
      </c>
      <c r="C771" s="34">
        <v>30.0</v>
      </c>
      <c r="D771" s="1" t="s">
        <v>109</v>
      </c>
      <c r="E771" s="1" t="s">
        <v>2445</v>
      </c>
      <c r="F771" s="1" t="s">
        <v>2460</v>
      </c>
      <c r="G771" s="1">
        <v>20.0</v>
      </c>
      <c r="H771" s="1">
        <v>327.0</v>
      </c>
      <c r="I771" s="1" t="s">
        <v>109</v>
      </c>
      <c r="J771" s="1" t="s">
        <v>2461</v>
      </c>
      <c r="K771" s="1">
        <v>1.0</v>
      </c>
      <c r="L771" s="1" t="s">
        <v>2461</v>
      </c>
    </row>
    <row r="772" hidden="1">
      <c r="A772" s="34">
        <v>21.0</v>
      </c>
      <c r="B772" s="34">
        <v>3.0</v>
      </c>
      <c r="C772" s="34">
        <v>37.0</v>
      </c>
      <c r="D772" s="1" t="s">
        <v>109</v>
      </c>
      <c r="E772" s="1" t="s">
        <v>2445</v>
      </c>
      <c r="F772" s="1" t="s">
        <v>2462</v>
      </c>
      <c r="G772" s="1">
        <v>20.0</v>
      </c>
      <c r="H772" s="1">
        <v>57.0</v>
      </c>
      <c r="I772" s="1" t="s">
        <v>109</v>
      </c>
      <c r="J772" s="1" t="s">
        <v>2463</v>
      </c>
      <c r="K772" s="1">
        <v>1.0</v>
      </c>
      <c r="L772" s="1" t="s">
        <v>2463</v>
      </c>
    </row>
    <row r="773" hidden="1">
      <c r="A773" s="34">
        <v>21.0</v>
      </c>
      <c r="B773" s="34">
        <v>4.0</v>
      </c>
      <c r="C773" s="34">
        <v>59.0</v>
      </c>
      <c r="D773" s="1" t="s">
        <v>109</v>
      </c>
      <c r="E773" s="1" t="s">
        <v>2464</v>
      </c>
      <c r="F773" s="1" t="s">
        <v>2465</v>
      </c>
      <c r="G773" s="1">
        <v>20.0</v>
      </c>
      <c r="H773" s="1">
        <v>44.0</v>
      </c>
      <c r="I773" s="1" t="s">
        <v>109</v>
      </c>
      <c r="J773" s="1" t="s">
        <v>2466</v>
      </c>
      <c r="K773" s="1">
        <v>1.0</v>
      </c>
      <c r="L773" s="1" t="s">
        <v>2466</v>
      </c>
    </row>
    <row r="774" hidden="1">
      <c r="A774" s="34">
        <v>21.0</v>
      </c>
      <c r="B774" s="34">
        <v>4.0</v>
      </c>
      <c r="C774" s="34">
        <v>64.0</v>
      </c>
      <c r="D774" s="1" t="s">
        <v>109</v>
      </c>
      <c r="E774" s="1" t="s">
        <v>2464</v>
      </c>
      <c r="F774" s="1" t="s">
        <v>2467</v>
      </c>
      <c r="G774" s="1">
        <v>20.0</v>
      </c>
      <c r="H774" s="1">
        <v>184.0</v>
      </c>
      <c r="I774" s="1" t="s">
        <v>109</v>
      </c>
      <c r="J774" s="1" t="s">
        <v>2468</v>
      </c>
      <c r="K774" s="1">
        <v>1.0</v>
      </c>
      <c r="L774" s="1" t="s">
        <v>2468</v>
      </c>
    </row>
    <row r="775" hidden="1">
      <c r="A775" s="34">
        <v>21.0</v>
      </c>
      <c r="B775" s="34">
        <v>53.0</v>
      </c>
      <c r="C775" s="34">
        <v>26.0</v>
      </c>
      <c r="D775" s="1" t="s">
        <v>109</v>
      </c>
      <c r="E775" s="1" t="s">
        <v>2469</v>
      </c>
      <c r="F775" s="1" t="s">
        <v>2470</v>
      </c>
      <c r="G775" s="1">
        <v>20.0</v>
      </c>
      <c r="H775" s="1">
        <v>482.0</v>
      </c>
      <c r="I775" s="1" t="s">
        <v>109</v>
      </c>
      <c r="J775" s="1" t="s">
        <v>2471</v>
      </c>
      <c r="K775" s="1">
        <v>1.0</v>
      </c>
      <c r="L775" s="1" t="s">
        <v>2472</v>
      </c>
    </row>
    <row r="776" hidden="1">
      <c r="A776" s="34">
        <v>21.0</v>
      </c>
      <c r="B776" s="34">
        <v>53.0</v>
      </c>
      <c r="C776" s="34">
        <v>32.0</v>
      </c>
      <c r="D776" s="1" t="s">
        <v>109</v>
      </c>
      <c r="E776" s="1" t="s">
        <v>2469</v>
      </c>
      <c r="F776" s="1" t="s">
        <v>2473</v>
      </c>
      <c r="G776" s="1">
        <v>20.0</v>
      </c>
      <c r="H776" s="1">
        <v>318.0</v>
      </c>
      <c r="I776" s="1" t="s">
        <v>109</v>
      </c>
      <c r="J776" s="1" t="s">
        <v>2474</v>
      </c>
      <c r="K776" s="1">
        <v>9.0</v>
      </c>
      <c r="L776" s="1" t="s">
        <v>2475</v>
      </c>
    </row>
    <row r="777" hidden="1">
      <c r="A777" s="34">
        <v>21.0</v>
      </c>
      <c r="B777" s="34">
        <v>53.0</v>
      </c>
      <c r="C777" s="34">
        <v>33.0</v>
      </c>
      <c r="D777" s="1" t="s">
        <v>109</v>
      </c>
      <c r="E777" s="1" t="s">
        <v>2469</v>
      </c>
      <c r="F777" s="1" t="s">
        <v>2476</v>
      </c>
      <c r="G777" s="1">
        <v>20.0</v>
      </c>
      <c r="H777" s="1">
        <v>324.0</v>
      </c>
      <c r="I777" s="1" t="s">
        <v>109</v>
      </c>
      <c r="J777" s="1" t="s">
        <v>2477</v>
      </c>
      <c r="K777" s="1">
        <v>1.0</v>
      </c>
      <c r="L777" s="1" t="s">
        <v>2477</v>
      </c>
    </row>
    <row r="778" hidden="1">
      <c r="A778" s="34">
        <v>21.0</v>
      </c>
      <c r="B778" s="34">
        <v>53.0</v>
      </c>
      <c r="C778" s="34">
        <v>35.0</v>
      </c>
      <c r="D778" s="1" t="s">
        <v>109</v>
      </c>
      <c r="E778" s="1" t="s">
        <v>2469</v>
      </c>
      <c r="F778" s="1" t="s">
        <v>2478</v>
      </c>
      <c r="G778" s="1">
        <v>20.0</v>
      </c>
      <c r="H778" s="1">
        <v>467.0</v>
      </c>
      <c r="I778" s="1" t="s">
        <v>109</v>
      </c>
      <c r="J778" s="1" t="s">
        <v>2479</v>
      </c>
      <c r="K778" s="1">
        <v>1.0</v>
      </c>
      <c r="L778" s="1" t="s">
        <v>2479</v>
      </c>
    </row>
    <row r="779" hidden="1">
      <c r="A779" s="34">
        <v>21.0</v>
      </c>
      <c r="B779" s="34">
        <v>53.0</v>
      </c>
      <c r="C779" s="34">
        <v>41.0</v>
      </c>
      <c r="D779" s="1" t="s">
        <v>109</v>
      </c>
      <c r="E779" s="1" t="s">
        <v>2469</v>
      </c>
      <c r="F779" s="1" t="s">
        <v>2480</v>
      </c>
      <c r="G779" s="1">
        <v>20.0</v>
      </c>
      <c r="H779" s="1">
        <v>413.0</v>
      </c>
      <c r="I779" s="1" t="s">
        <v>109</v>
      </c>
      <c r="J779" s="1" t="s">
        <v>2469</v>
      </c>
      <c r="K779" s="1">
        <v>21.0</v>
      </c>
      <c r="L779" s="1" t="s">
        <v>2481</v>
      </c>
    </row>
    <row r="780" hidden="1">
      <c r="A780" s="34">
        <v>22.0</v>
      </c>
      <c r="B780" s="34">
        <v>1.0</v>
      </c>
      <c r="C780" s="34">
        <v>2.0</v>
      </c>
      <c r="D780" s="1" t="s">
        <v>113</v>
      </c>
      <c r="E780" s="1" t="s">
        <v>2482</v>
      </c>
      <c r="F780" s="1" t="s">
        <v>2483</v>
      </c>
      <c r="G780" s="1">
        <v>21.0</v>
      </c>
      <c r="H780" s="1">
        <v>114.0</v>
      </c>
      <c r="I780" s="1" t="s">
        <v>113</v>
      </c>
      <c r="J780" s="1" t="s">
        <v>113</v>
      </c>
      <c r="K780" s="1">
        <v>1.0</v>
      </c>
      <c r="L780" s="1" t="s">
        <v>2484</v>
      </c>
    </row>
    <row r="781" hidden="1">
      <c r="A781" s="34">
        <v>22.0</v>
      </c>
      <c r="B781" s="34">
        <v>1.0</v>
      </c>
      <c r="C781" s="34">
        <v>3.0</v>
      </c>
      <c r="D781" s="1" t="s">
        <v>113</v>
      </c>
      <c r="E781" s="1" t="s">
        <v>2482</v>
      </c>
      <c r="F781" s="1" t="s">
        <v>2485</v>
      </c>
      <c r="G781" s="1">
        <v>21.0</v>
      </c>
      <c r="H781" s="1">
        <v>114.0</v>
      </c>
      <c r="I781" s="1" t="s">
        <v>113</v>
      </c>
      <c r="J781" s="1" t="s">
        <v>113</v>
      </c>
      <c r="K781" s="1">
        <v>1.0</v>
      </c>
      <c r="L781" s="1" t="s">
        <v>2484</v>
      </c>
    </row>
    <row r="782" hidden="1">
      <c r="A782" s="34">
        <v>22.0</v>
      </c>
      <c r="B782" s="34">
        <v>1.0</v>
      </c>
      <c r="C782" s="34">
        <v>6.0</v>
      </c>
      <c r="D782" s="1" t="s">
        <v>113</v>
      </c>
      <c r="E782" s="1" t="s">
        <v>2482</v>
      </c>
      <c r="F782" s="1" t="s">
        <v>2486</v>
      </c>
      <c r="G782" s="1">
        <v>21.0</v>
      </c>
      <c r="H782" s="1">
        <v>114.0</v>
      </c>
      <c r="I782" s="1" t="s">
        <v>113</v>
      </c>
      <c r="J782" s="1" t="s">
        <v>113</v>
      </c>
      <c r="K782" s="1">
        <v>1.0</v>
      </c>
      <c r="L782" s="1" t="s">
        <v>2484</v>
      </c>
    </row>
    <row r="783" hidden="1">
      <c r="A783" s="34">
        <v>22.0</v>
      </c>
      <c r="B783" s="34">
        <v>1.0</v>
      </c>
      <c r="C783" s="34">
        <v>17.0</v>
      </c>
      <c r="D783" s="1" t="s">
        <v>113</v>
      </c>
      <c r="E783" s="1" t="s">
        <v>2482</v>
      </c>
      <c r="F783" s="1" t="s">
        <v>2487</v>
      </c>
      <c r="G783" s="1">
        <v>21.0</v>
      </c>
      <c r="H783" s="1">
        <v>197.0</v>
      </c>
      <c r="I783" s="1" t="s">
        <v>113</v>
      </c>
      <c r="J783" s="1" t="s">
        <v>2488</v>
      </c>
      <c r="K783" s="1">
        <v>1.0</v>
      </c>
      <c r="L783" s="1" t="s">
        <v>2489</v>
      </c>
    </row>
    <row r="784" hidden="1">
      <c r="A784" s="34">
        <v>22.0</v>
      </c>
      <c r="B784" s="34">
        <v>1.0</v>
      </c>
      <c r="C784" s="34">
        <v>18.0</v>
      </c>
      <c r="D784" s="1" t="s">
        <v>113</v>
      </c>
      <c r="E784" s="1" t="s">
        <v>2482</v>
      </c>
      <c r="F784" s="1" t="s">
        <v>2490</v>
      </c>
      <c r="G784" s="1">
        <v>21.0</v>
      </c>
      <c r="H784" s="1">
        <v>91.0</v>
      </c>
      <c r="I784" s="1" t="s">
        <v>113</v>
      </c>
      <c r="J784" s="1" t="s">
        <v>2491</v>
      </c>
      <c r="K784" s="1">
        <v>1.0</v>
      </c>
      <c r="L784" s="1" t="s">
        <v>2492</v>
      </c>
    </row>
    <row r="785" hidden="1">
      <c r="A785" s="34">
        <v>22.0</v>
      </c>
      <c r="B785" s="34">
        <v>1.0</v>
      </c>
      <c r="C785" s="34">
        <v>19.0</v>
      </c>
      <c r="D785" s="1" t="s">
        <v>113</v>
      </c>
      <c r="E785" s="1" t="s">
        <v>2482</v>
      </c>
      <c r="F785" s="1" t="s">
        <v>2493</v>
      </c>
      <c r="G785" s="1">
        <v>21.0</v>
      </c>
      <c r="H785" s="1">
        <v>71.0</v>
      </c>
      <c r="I785" s="1" t="s">
        <v>113</v>
      </c>
      <c r="J785" s="1" t="s">
        <v>2494</v>
      </c>
      <c r="K785" s="1">
        <v>1.0</v>
      </c>
      <c r="L785" s="1" t="s">
        <v>2494</v>
      </c>
    </row>
    <row r="786" hidden="1">
      <c r="A786" s="34">
        <v>22.0</v>
      </c>
      <c r="B786" s="34">
        <v>1.0</v>
      </c>
      <c r="C786" s="34">
        <v>39.0</v>
      </c>
      <c r="D786" s="1" t="s">
        <v>113</v>
      </c>
      <c r="E786" s="1" t="s">
        <v>2482</v>
      </c>
      <c r="F786" s="1" t="s">
        <v>2495</v>
      </c>
      <c r="G786" s="1">
        <v>21.0</v>
      </c>
      <c r="H786" s="1">
        <v>208.0</v>
      </c>
      <c r="I786" s="1" t="s">
        <v>113</v>
      </c>
      <c r="J786" s="1" t="s">
        <v>2496</v>
      </c>
      <c r="K786" s="1">
        <v>1.0</v>
      </c>
      <c r="L786" s="1" t="s">
        <v>2496</v>
      </c>
    </row>
    <row r="787" hidden="1">
      <c r="A787" s="34">
        <v>22.0</v>
      </c>
      <c r="B787" s="34">
        <v>1.0</v>
      </c>
      <c r="C787" s="34">
        <v>47.0</v>
      </c>
      <c r="D787" s="1" t="s">
        <v>113</v>
      </c>
      <c r="E787" s="1" t="s">
        <v>2482</v>
      </c>
      <c r="F787" s="1" t="s">
        <v>2497</v>
      </c>
      <c r="G787" s="1">
        <v>21.0</v>
      </c>
      <c r="H787" s="1">
        <v>136.0</v>
      </c>
      <c r="I787" s="1" t="s">
        <v>113</v>
      </c>
      <c r="J787" s="1" t="s">
        <v>2498</v>
      </c>
      <c r="K787" s="1">
        <v>1.0</v>
      </c>
      <c r="L787" s="1" t="s">
        <v>2498</v>
      </c>
    </row>
    <row r="788" hidden="1">
      <c r="A788" s="34">
        <v>22.0</v>
      </c>
      <c r="B788" s="34">
        <v>1.0</v>
      </c>
      <c r="C788" s="34">
        <v>49.0</v>
      </c>
      <c r="D788" s="1" t="s">
        <v>113</v>
      </c>
      <c r="E788" s="1" t="s">
        <v>2482</v>
      </c>
      <c r="F788" s="1" t="s">
        <v>2499</v>
      </c>
      <c r="G788" s="1">
        <v>21.0</v>
      </c>
      <c r="H788" s="1">
        <v>172.0</v>
      </c>
      <c r="I788" s="1" t="s">
        <v>113</v>
      </c>
      <c r="J788" s="1" t="s">
        <v>2500</v>
      </c>
      <c r="K788" s="1">
        <v>1.0</v>
      </c>
      <c r="L788" s="1" t="s">
        <v>2501</v>
      </c>
    </row>
    <row r="789" hidden="1">
      <c r="A789" s="34">
        <v>22.0</v>
      </c>
      <c r="B789" s="34">
        <v>1.0</v>
      </c>
      <c r="C789" s="34">
        <v>55.0</v>
      </c>
      <c r="D789" s="1" t="s">
        <v>113</v>
      </c>
      <c r="E789" s="1" t="s">
        <v>2482</v>
      </c>
      <c r="F789" s="1" t="s">
        <v>2502</v>
      </c>
      <c r="G789" s="1">
        <v>21.0</v>
      </c>
      <c r="H789" s="1">
        <v>114.0</v>
      </c>
      <c r="I789" s="1" t="s">
        <v>113</v>
      </c>
      <c r="J789" s="1" t="s">
        <v>113</v>
      </c>
      <c r="K789" s="1">
        <v>1.0</v>
      </c>
      <c r="L789" s="1" t="s">
        <v>2484</v>
      </c>
    </row>
    <row r="790" hidden="1">
      <c r="A790" s="34">
        <v>22.0</v>
      </c>
      <c r="B790" s="34">
        <v>5.0</v>
      </c>
      <c r="C790" s="34">
        <v>22.0</v>
      </c>
      <c r="D790" s="1" t="s">
        <v>113</v>
      </c>
      <c r="E790" s="1" t="s">
        <v>2503</v>
      </c>
      <c r="F790" s="1" t="s">
        <v>2504</v>
      </c>
      <c r="G790" s="1">
        <v>21.0</v>
      </c>
      <c r="H790" s="1">
        <v>174.0</v>
      </c>
      <c r="I790" s="1" t="s">
        <v>113</v>
      </c>
      <c r="J790" s="1" t="s">
        <v>2503</v>
      </c>
      <c r="K790" s="1">
        <v>1.0</v>
      </c>
      <c r="L790" s="1" t="s">
        <v>2503</v>
      </c>
    </row>
    <row r="791" hidden="1">
      <c r="A791" s="34">
        <v>22.0</v>
      </c>
      <c r="B791" s="34">
        <v>5.0</v>
      </c>
      <c r="C791" s="34">
        <v>25.0</v>
      </c>
      <c r="D791" s="1" t="s">
        <v>113</v>
      </c>
      <c r="E791" s="1" t="s">
        <v>2503</v>
      </c>
      <c r="F791" s="1" t="s">
        <v>2505</v>
      </c>
      <c r="G791" s="1">
        <v>21.0</v>
      </c>
      <c r="H791" s="1">
        <v>174.0</v>
      </c>
      <c r="I791" s="1" t="s">
        <v>113</v>
      </c>
      <c r="J791" s="1" t="s">
        <v>2503</v>
      </c>
      <c r="K791" s="1">
        <v>24.0</v>
      </c>
      <c r="L791" s="1" t="s">
        <v>2506</v>
      </c>
    </row>
    <row r="792" hidden="1">
      <c r="A792" s="34">
        <v>22.0</v>
      </c>
      <c r="B792" s="34">
        <v>5.0</v>
      </c>
      <c r="C792" s="34">
        <v>33.0</v>
      </c>
      <c r="D792" s="1" t="s">
        <v>113</v>
      </c>
      <c r="E792" s="1" t="s">
        <v>2503</v>
      </c>
      <c r="F792" s="1" t="s">
        <v>2507</v>
      </c>
      <c r="G792" s="1">
        <v>21.0</v>
      </c>
      <c r="H792" s="1">
        <v>117.0</v>
      </c>
      <c r="I792" s="1" t="s">
        <v>113</v>
      </c>
      <c r="J792" s="1" t="s">
        <v>2508</v>
      </c>
      <c r="K792" s="1">
        <v>1.0</v>
      </c>
      <c r="L792" s="1" t="s">
        <v>2509</v>
      </c>
    </row>
    <row r="793" hidden="1">
      <c r="A793" s="34">
        <v>22.0</v>
      </c>
      <c r="B793" s="34">
        <v>5.0</v>
      </c>
      <c r="C793" s="34">
        <v>37.0</v>
      </c>
      <c r="D793" s="1" t="s">
        <v>113</v>
      </c>
      <c r="E793" s="1" t="s">
        <v>2503</v>
      </c>
      <c r="F793" s="1" t="s">
        <v>2510</v>
      </c>
      <c r="G793" s="1">
        <v>21.0</v>
      </c>
      <c r="H793" s="1">
        <v>94.0</v>
      </c>
      <c r="I793" s="1" t="s">
        <v>113</v>
      </c>
      <c r="J793" s="1" t="s">
        <v>2511</v>
      </c>
      <c r="K793" s="1">
        <v>1.0</v>
      </c>
      <c r="L793" s="1" t="s">
        <v>2512</v>
      </c>
    </row>
    <row r="794" hidden="1">
      <c r="A794" s="34">
        <v>22.0</v>
      </c>
      <c r="B794" s="34">
        <v>5.0</v>
      </c>
      <c r="C794" s="34">
        <v>40.0</v>
      </c>
      <c r="D794" s="1" t="s">
        <v>113</v>
      </c>
      <c r="E794" s="1" t="s">
        <v>2503</v>
      </c>
      <c r="F794" s="1" t="s">
        <v>2513</v>
      </c>
      <c r="G794" s="1">
        <v>21.0</v>
      </c>
      <c r="H794" s="1">
        <v>108.0</v>
      </c>
      <c r="I794" s="1" t="s">
        <v>113</v>
      </c>
      <c r="J794" s="1" t="s">
        <v>2514</v>
      </c>
      <c r="K794" s="1">
        <v>1.0</v>
      </c>
      <c r="L794" s="1" t="s">
        <v>2514</v>
      </c>
    </row>
    <row r="795" hidden="1">
      <c r="A795" s="34">
        <v>22.0</v>
      </c>
      <c r="B795" s="34">
        <v>5.0</v>
      </c>
      <c r="C795" s="34">
        <v>46.0</v>
      </c>
      <c r="D795" s="1" t="s">
        <v>113</v>
      </c>
      <c r="E795" s="1" t="s">
        <v>2503</v>
      </c>
      <c r="F795" s="1" t="s">
        <v>2515</v>
      </c>
      <c r="G795" s="1">
        <v>21.0</v>
      </c>
      <c r="H795" s="1">
        <v>186.0</v>
      </c>
      <c r="I795" s="1" t="s">
        <v>113</v>
      </c>
      <c r="J795" s="1" t="s">
        <v>2516</v>
      </c>
      <c r="K795" s="1">
        <v>1.0</v>
      </c>
      <c r="L795" s="1" t="s">
        <v>2517</v>
      </c>
    </row>
    <row r="796" hidden="1">
      <c r="A796" s="34">
        <v>22.0</v>
      </c>
      <c r="B796" s="34">
        <v>5.0</v>
      </c>
      <c r="C796" s="34">
        <v>56.0</v>
      </c>
      <c r="D796" s="1" t="s">
        <v>113</v>
      </c>
      <c r="E796" s="1" t="s">
        <v>2503</v>
      </c>
      <c r="F796" s="1" t="s">
        <v>2518</v>
      </c>
      <c r="G796" s="1">
        <v>21.0</v>
      </c>
      <c r="H796" s="1">
        <v>186.0</v>
      </c>
      <c r="I796" s="1" t="s">
        <v>113</v>
      </c>
      <c r="J796" s="1" t="s">
        <v>2516</v>
      </c>
      <c r="K796" s="1">
        <v>22.0</v>
      </c>
      <c r="L796" s="1" t="s">
        <v>2519</v>
      </c>
    </row>
    <row r="797" hidden="1">
      <c r="A797" s="34">
        <v>22.0</v>
      </c>
      <c r="B797" s="34">
        <v>5.0</v>
      </c>
      <c r="C797" s="34">
        <v>58.0</v>
      </c>
      <c r="D797" s="1" t="s">
        <v>113</v>
      </c>
      <c r="E797" s="1" t="s">
        <v>2503</v>
      </c>
      <c r="F797" s="1" t="s">
        <v>2520</v>
      </c>
      <c r="G797" s="1">
        <v>21.0</v>
      </c>
      <c r="H797" s="1">
        <v>128.0</v>
      </c>
      <c r="I797" s="1" t="s">
        <v>113</v>
      </c>
      <c r="J797" s="1" t="s">
        <v>2521</v>
      </c>
      <c r="K797" s="1">
        <v>61.0</v>
      </c>
      <c r="L797" s="1" t="s">
        <v>2522</v>
      </c>
    </row>
    <row r="798" hidden="1">
      <c r="A798" s="34">
        <v>22.0</v>
      </c>
      <c r="B798" s="34">
        <v>6.0</v>
      </c>
      <c r="C798" s="34">
        <v>9.0</v>
      </c>
      <c r="D798" s="1" t="s">
        <v>113</v>
      </c>
      <c r="E798" s="1" t="s">
        <v>2523</v>
      </c>
      <c r="F798" s="1" t="s">
        <v>2524</v>
      </c>
      <c r="G798" s="1">
        <v>21.0</v>
      </c>
      <c r="H798" s="1">
        <v>156.0</v>
      </c>
      <c r="I798" s="1" t="s">
        <v>113</v>
      </c>
      <c r="J798" s="1" t="s">
        <v>2523</v>
      </c>
      <c r="K798" s="1">
        <v>1.0</v>
      </c>
      <c r="L798" s="1" t="s">
        <v>2523</v>
      </c>
    </row>
    <row r="799" hidden="1">
      <c r="A799" s="34">
        <v>22.0</v>
      </c>
      <c r="B799" s="34">
        <v>6.0</v>
      </c>
      <c r="C799" s="34">
        <v>16.0</v>
      </c>
      <c r="D799" s="1" t="s">
        <v>113</v>
      </c>
      <c r="E799" s="1" t="s">
        <v>2523</v>
      </c>
      <c r="F799" s="1" t="s">
        <v>2525</v>
      </c>
      <c r="G799" s="1">
        <v>21.0</v>
      </c>
      <c r="H799" s="1">
        <v>154.0</v>
      </c>
      <c r="I799" s="1" t="s">
        <v>113</v>
      </c>
      <c r="J799" s="1" t="s">
        <v>2526</v>
      </c>
      <c r="K799" s="1">
        <v>1.0</v>
      </c>
      <c r="L799" s="1" t="s">
        <v>2526</v>
      </c>
    </row>
    <row r="800" hidden="1">
      <c r="A800" s="34">
        <v>22.0</v>
      </c>
      <c r="B800" s="34">
        <v>6.0</v>
      </c>
      <c r="C800" s="34">
        <v>27.0</v>
      </c>
      <c r="D800" s="1" t="s">
        <v>113</v>
      </c>
      <c r="E800" s="1" t="s">
        <v>2523</v>
      </c>
      <c r="F800" s="1" t="s">
        <v>2527</v>
      </c>
      <c r="G800" s="1">
        <v>21.0</v>
      </c>
      <c r="H800" s="1">
        <v>10.0</v>
      </c>
      <c r="I800" s="1" t="s">
        <v>113</v>
      </c>
      <c r="J800" s="1" t="s">
        <v>2528</v>
      </c>
      <c r="K800" s="1">
        <v>1.0</v>
      </c>
      <c r="L800" s="1" t="s">
        <v>2529</v>
      </c>
    </row>
    <row r="801" hidden="1">
      <c r="A801" s="34">
        <v>22.0</v>
      </c>
      <c r="B801" s="34">
        <v>6.0</v>
      </c>
      <c r="C801" s="34">
        <v>28.0</v>
      </c>
      <c r="D801" s="1" t="s">
        <v>113</v>
      </c>
      <c r="E801" s="1" t="s">
        <v>2523</v>
      </c>
      <c r="F801" s="1" t="s">
        <v>2530</v>
      </c>
      <c r="G801" s="1">
        <v>21.0</v>
      </c>
      <c r="H801" s="1">
        <v>35.0</v>
      </c>
      <c r="I801" s="1" t="s">
        <v>113</v>
      </c>
      <c r="J801" s="1" t="s">
        <v>2531</v>
      </c>
      <c r="K801" s="1">
        <v>2.0</v>
      </c>
      <c r="L801" s="1" t="s">
        <v>2532</v>
      </c>
    </row>
    <row r="802" hidden="1">
      <c r="A802" s="34">
        <v>22.0</v>
      </c>
      <c r="B802" s="34">
        <v>6.0</v>
      </c>
      <c r="C802" s="34">
        <v>29.0</v>
      </c>
      <c r="D802" s="1" t="s">
        <v>113</v>
      </c>
      <c r="E802" s="1" t="s">
        <v>2523</v>
      </c>
      <c r="F802" s="1" t="s">
        <v>2533</v>
      </c>
      <c r="G802" s="1">
        <v>21.0</v>
      </c>
      <c r="H802" s="1">
        <v>35.0</v>
      </c>
      <c r="I802" s="1" t="s">
        <v>113</v>
      </c>
      <c r="J802" s="1" t="s">
        <v>2531</v>
      </c>
      <c r="K802" s="1">
        <v>8.0</v>
      </c>
      <c r="L802" s="1" t="s">
        <v>2534</v>
      </c>
    </row>
    <row r="803" hidden="1">
      <c r="A803" s="34">
        <v>22.0</v>
      </c>
      <c r="B803" s="34">
        <v>6.0</v>
      </c>
      <c r="C803" s="34">
        <v>30.0</v>
      </c>
      <c r="D803" s="1" t="s">
        <v>113</v>
      </c>
      <c r="E803" s="1" t="s">
        <v>2523</v>
      </c>
      <c r="F803" s="1" t="s">
        <v>2535</v>
      </c>
      <c r="G803" s="1">
        <v>21.0</v>
      </c>
      <c r="H803" s="1">
        <v>156.0</v>
      </c>
      <c r="I803" s="1" t="s">
        <v>113</v>
      </c>
      <c r="J803" s="1" t="s">
        <v>2523</v>
      </c>
      <c r="K803" s="1">
        <v>1.0</v>
      </c>
      <c r="L803" s="1" t="s">
        <v>2523</v>
      </c>
    </row>
    <row r="804" hidden="1">
      <c r="A804" s="34">
        <v>22.0</v>
      </c>
      <c r="B804" s="34">
        <v>6.0</v>
      </c>
      <c r="C804" s="34">
        <v>38.0</v>
      </c>
      <c r="D804" s="1" t="s">
        <v>113</v>
      </c>
      <c r="E804" s="1" t="s">
        <v>2523</v>
      </c>
      <c r="F804" s="1" t="s">
        <v>2536</v>
      </c>
      <c r="G804" s="1">
        <v>21.0</v>
      </c>
      <c r="H804" s="1">
        <v>110.0</v>
      </c>
      <c r="I804" s="1" t="s">
        <v>113</v>
      </c>
      <c r="J804" s="1" t="s">
        <v>2537</v>
      </c>
      <c r="K804" s="1">
        <v>1.0</v>
      </c>
      <c r="L804" s="1" t="s">
        <v>2537</v>
      </c>
    </row>
    <row r="805" hidden="1">
      <c r="A805" s="34">
        <v>22.0</v>
      </c>
      <c r="B805" s="34">
        <v>6.0</v>
      </c>
      <c r="C805" s="34">
        <v>42.0</v>
      </c>
      <c r="D805" s="1" t="s">
        <v>113</v>
      </c>
      <c r="E805" s="1" t="s">
        <v>2523</v>
      </c>
      <c r="F805" s="1" t="s">
        <v>2538</v>
      </c>
      <c r="G805" s="1">
        <v>21.0</v>
      </c>
      <c r="H805" s="1">
        <v>164.0</v>
      </c>
      <c r="I805" s="1" t="s">
        <v>113</v>
      </c>
      <c r="J805" s="1" t="s">
        <v>2539</v>
      </c>
      <c r="K805" s="1">
        <v>1.0</v>
      </c>
      <c r="L805" s="1" t="s">
        <v>2539</v>
      </c>
    </row>
    <row r="806" hidden="1">
      <c r="A806" s="34">
        <v>22.0</v>
      </c>
      <c r="B806" s="34">
        <v>6.0</v>
      </c>
      <c r="C806" s="34">
        <v>43.0</v>
      </c>
      <c r="D806" s="1" t="s">
        <v>113</v>
      </c>
      <c r="E806" s="1" t="s">
        <v>2523</v>
      </c>
      <c r="F806" s="1" t="s">
        <v>2540</v>
      </c>
      <c r="G806" s="1">
        <v>21.0</v>
      </c>
      <c r="H806" s="1">
        <v>45.0</v>
      </c>
      <c r="I806" s="1" t="s">
        <v>113</v>
      </c>
      <c r="J806" s="1" t="s">
        <v>2541</v>
      </c>
      <c r="K806" s="1">
        <v>1.0</v>
      </c>
      <c r="L806" s="1" t="s">
        <v>2542</v>
      </c>
    </row>
    <row r="807" hidden="1">
      <c r="A807" s="34">
        <v>22.0</v>
      </c>
      <c r="B807" s="34">
        <v>6.0</v>
      </c>
      <c r="C807" s="34">
        <v>44.0</v>
      </c>
      <c r="D807" s="1" t="s">
        <v>113</v>
      </c>
      <c r="E807" s="1" t="s">
        <v>2523</v>
      </c>
      <c r="F807" s="1" t="s">
        <v>2543</v>
      </c>
      <c r="G807" s="1">
        <v>21.0</v>
      </c>
      <c r="H807" s="1">
        <v>177.0</v>
      </c>
      <c r="I807" s="1" t="s">
        <v>113</v>
      </c>
      <c r="J807" s="1" t="s">
        <v>2544</v>
      </c>
      <c r="K807" s="1">
        <v>1.0</v>
      </c>
      <c r="L807" s="1" t="s">
        <v>2545</v>
      </c>
    </row>
    <row r="808" hidden="1">
      <c r="A808" s="34">
        <v>22.0</v>
      </c>
      <c r="B808" s="34">
        <v>8.0</v>
      </c>
      <c r="C808" s="34">
        <v>24.0</v>
      </c>
      <c r="D808" s="1" t="s">
        <v>113</v>
      </c>
      <c r="E808" s="1" t="s">
        <v>2546</v>
      </c>
      <c r="F808" s="1" t="s">
        <v>2547</v>
      </c>
      <c r="G808" s="1">
        <v>21.0</v>
      </c>
      <c r="H808" s="1">
        <v>85.0</v>
      </c>
      <c r="I808" s="1" t="s">
        <v>113</v>
      </c>
      <c r="J808" s="1" t="s">
        <v>2546</v>
      </c>
      <c r="K808" s="1">
        <v>1.0</v>
      </c>
      <c r="L808" s="1" t="s">
        <v>2546</v>
      </c>
    </row>
    <row r="809" hidden="1">
      <c r="A809" s="34">
        <v>22.0</v>
      </c>
      <c r="B809" s="34">
        <v>8.0</v>
      </c>
      <c r="C809" s="34">
        <v>26.0</v>
      </c>
      <c r="D809" s="1" t="s">
        <v>113</v>
      </c>
      <c r="E809" s="1" t="s">
        <v>2546</v>
      </c>
      <c r="F809" s="1" t="s">
        <v>2548</v>
      </c>
      <c r="G809" s="1">
        <v>21.0</v>
      </c>
      <c r="H809" s="1">
        <v>51.0</v>
      </c>
      <c r="I809" s="1" t="s">
        <v>113</v>
      </c>
      <c r="J809" s="1" t="s">
        <v>2549</v>
      </c>
      <c r="K809" s="1">
        <v>3.0</v>
      </c>
      <c r="L809" s="1" t="s">
        <v>2550</v>
      </c>
    </row>
    <row r="810" hidden="1">
      <c r="A810" s="34">
        <v>22.0</v>
      </c>
      <c r="B810" s="34">
        <v>8.0</v>
      </c>
      <c r="C810" s="34">
        <v>31.0</v>
      </c>
      <c r="D810" s="1" t="s">
        <v>113</v>
      </c>
      <c r="E810" s="1" t="s">
        <v>2546</v>
      </c>
      <c r="F810" s="1" t="s">
        <v>2551</v>
      </c>
      <c r="G810" s="1">
        <v>21.0</v>
      </c>
      <c r="H810" s="1">
        <v>51.0</v>
      </c>
      <c r="I810" s="1" t="s">
        <v>113</v>
      </c>
      <c r="J810" s="1" t="s">
        <v>2549</v>
      </c>
      <c r="K810" s="1">
        <v>1.0</v>
      </c>
      <c r="L810" s="1" t="s">
        <v>2549</v>
      </c>
    </row>
    <row r="811" hidden="1">
      <c r="A811" s="34">
        <v>22.0</v>
      </c>
      <c r="B811" s="34">
        <v>8.0</v>
      </c>
      <c r="C811" s="34">
        <v>32.0</v>
      </c>
      <c r="D811" s="1" t="s">
        <v>113</v>
      </c>
      <c r="E811" s="1" t="s">
        <v>2546</v>
      </c>
      <c r="F811" s="1" t="s">
        <v>2552</v>
      </c>
      <c r="G811" s="1">
        <v>21.0</v>
      </c>
      <c r="H811" s="1">
        <v>51.0</v>
      </c>
      <c r="I811" s="1" t="s">
        <v>113</v>
      </c>
      <c r="J811" s="1" t="s">
        <v>2549</v>
      </c>
      <c r="K811" s="1">
        <v>15.0</v>
      </c>
      <c r="L811" s="1" t="s">
        <v>2553</v>
      </c>
    </row>
    <row r="812" hidden="1">
      <c r="A812" s="34">
        <v>22.0</v>
      </c>
      <c r="B812" s="34">
        <v>8.0</v>
      </c>
      <c r="C812" s="34">
        <v>34.0</v>
      </c>
      <c r="D812" s="1" t="s">
        <v>113</v>
      </c>
      <c r="E812" s="1" t="s">
        <v>2546</v>
      </c>
      <c r="F812" s="1" t="s">
        <v>2554</v>
      </c>
      <c r="G812" s="1">
        <v>21.0</v>
      </c>
      <c r="H812" s="1">
        <v>19.0</v>
      </c>
      <c r="I812" s="1" t="s">
        <v>113</v>
      </c>
      <c r="J812" s="1" t="s">
        <v>2555</v>
      </c>
      <c r="K812" s="1">
        <v>1.0</v>
      </c>
      <c r="L812" s="1" t="s">
        <v>2555</v>
      </c>
    </row>
    <row r="813" hidden="1">
      <c r="A813" s="34">
        <v>22.0</v>
      </c>
      <c r="B813" s="34">
        <v>8.0</v>
      </c>
      <c r="C813" s="34">
        <v>50.0</v>
      </c>
      <c r="D813" s="1" t="s">
        <v>113</v>
      </c>
      <c r="E813" s="1" t="s">
        <v>2546</v>
      </c>
      <c r="F813" s="1" t="s">
        <v>2556</v>
      </c>
      <c r="G813" s="1">
        <v>21.0</v>
      </c>
      <c r="H813" s="1">
        <v>3.0</v>
      </c>
      <c r="I813" s="1" t="s">
        <v>113</v>
      </c>
      <c r="J813" s="1" t="s">
        <v>2557</v>
      </c>
      <c r="K813" s="1">
        <v>1.0</v>
      </c>
      <c r="L813" s="1" t="s">
        <v>2558</v>
      </c>
    </row>
    <row r="814" hidden="1">
      <c r="A814" s="34">
        <v>22.0</v>
      </c>
      <c r="B814" s="34">
        <v>22.0</v>
      </c>
      <c r="C814" s="34">
        <v>1.0</v>
      </c>
      <c r="D814" s="1" t="s">
        <v>113</v>
      </c>
      <c r="E814" s="1" t="s">
        <v>2565</v>
      </c>
      <c r="F814" s="1" t="s">
        <v>2566</v>
      </c>
      <c r="G814" s="1">
        <v>21.0</v>
      </c>
      <c r="H814" s="1">
        <v>114.0</v>
      </c>
      <c r="I814" s="1" t="s">
        <v>113</v>
      </c>
      <c r="J814" s="1" t="s">
        <v>113</v>
      </c>
      <c r="K814" s="1">
        <v>1.0</v>
      </c>
      <c r="L814" s="1" t="s">
        <v>2484</v>
      </c>
    </row>
    <row r="815" hidden="1">
      <c r="A815" s="34">
        <v>22.0</v>
      </c>
      <c r="B815" s="34">
        <v>22.0</v>
      </c>
      <c r="C815" s="34">
        <v>4.0</v>
      </c>
      <c r="D815" s="1" t="s">
        <v>113</v>
      </c>
      <c r="E815" s="1" t="s">
        <v>2565</v>
      </c>
      <c r="F815" s="1" t="s">
        <v>2570</v>
      </c>
      <c r="G815" s="1">
        <v>21.0</v>
      </c>
      <c r="H815" s="1">
        <v>114.0</v>
      </c>
      <c r="I815" s="1" t="s">
        <v>113</v>
      </c>
      <c r="J815" s="1" t="s">
        <v>113</v>
      </c>
      <c r="K815" s="1">
        <v>1.0</v>
      </c>
      <c r="L815" s="1" t="s">
        <v>2484</v>
      </c>
    </row>
    <row r="816" hidden="1">
      <c r="A816" s="34">
        <v>22.0</v>
      </c>
      <c r="B816" s="34">
        <v>22.0</v>
      </c>
      <c r="C816" s="34">
        <v>7.0</v>
      </c>
      <c r="D816" s="1" t="s">
        <v>113</v>
      </c>
      <c r="E816" s="1" t="s">
        <v>2565</v>
      </c>
      <c r="F816" s="1" t="s">
        <v>2579</v>
      </c>
      <c r="G816" s="1">
        <v>21.0</v>
      </c>
      <c r="H816" s="1">
        <v>114.0</v>
      </c>
      <c r="I816" s="1" t="s">
        <v>113</v>
      </c>
      <c r="J816" s="1" t="s">
        <v>113</v>
      </c>
      <c r="K816" s="1">
        <v>1.0</v>
      </c>
      <c r="L816" s="1" t="s">
        <v>2484</v>
      </c>
    </row>
    <row r="817" hidden="1">
      <c r="A817" s="34">
        <v>22.0</v>
      </c>
      <c r="B817" s="34">
        <v>22.0</v>
      </c>
      <c r="C817" s="34">
        <v>8.0</v>
      </c>
      <c r="D817" s="1" t="s">
        <v>113</v>
      </c>
      <c r="E817" s="1" t="s">
        <v>2565</v>
      </c>
      <c r="F817" s="1" t="s">
        <v>2584</v>
      </c>
      <c r="G817" s="1">
        <v>21.0</v>
      </c>
      <c r="H817" s="1">
        <v>114.0</v>
      </c>
      <c r="I817" s="1" t="s">
        <v>113</v>
      </c>
      <c r="J817" s="1" t="s">
        <v>113</v>
      </c>
      <c r="K817" s="1">
        <v>1.0</v>
      </c>
      <c r="L817" s="1" t="s">
        <v>2484</v>
      </c>
    </row>
    <row r="818" hidden="1">
      <c r="A818" s="34">
        <v>22.0</v>
      </c>
      <c r="B818" s="34">
        <v>22.0</v>
      </c>
      <c r="C818" s="34">
        <v>11.0</v>
      </c>
      <c r="D818" s="1" t="s">
        <v>113</v>
      </c>
      <c r="E818" s="1" t="s">
        <v>2565</v>
      </c>
      <c r="F818" s="1" t="s">
        <v>2590</v>
      </c>
      <c r="G818" s="1">
        <v>21.0</v>
      </c>
      <c r="H818" s="1">
        <v>132.0</v>
      </c>
      <c r="I818" s="1" t="s">
        <v>113</v>
      </c>
      <c r="J818" s="1" t="s">
        <v>2591</v>
      </c>
      <c r="K818" s="1">
        <v>1.0</v>
      </c>
      <c r="L818" s="1" t="s">
        <v>2592</v>
      </c>
    </row>
    <row r="819" hidden="1">
      <c r="A819" s="34">
        <v>22.0</v>
      </c>
      <c r="B819" s="34">
        <v>22.0</v>
      </c>
      <c r="C819" s="34">
        <v>12.0</v>
      </c>
      <c r="D819" s="1" t="s">
        <v>113</v>
      </c>
      <c r="E819" s="1" t="s">
        <v>2565</v>
      </c>
      <c r="F819" s="1" t="s">
        <v>2593</v>
      </c>
      <c r="G819" s="1">
        <v>21.0</v>
      </c>
      <c r="H819" s="1">
        <v>140.0</v>
      </c>
      <c r="I819" s="1" t="s">
        <v>113</v>
      </c>
      <c r="J819" s="1" t="s">
        <v>2594</v>
      </c>
      <c r="K819" s="1">
        <v>1.0</v>
      </c>
      <c r="L819" s="1" t="s">
        <v>2595</v>
      </c>
    </row>
    <row r="820" hidden="1">
      <c r="A820" s="34">
        <v>22.0</v>
      </c>
      <c r="B820" s="34">
        <v>22.0</v>
      </c>
      <c r="C820" s="34">
        <v>13.0</v>
      </c>
      <c r="D820" s="1" t="s">
        <v>113</v>
      </c>
      <c r="E820" s="1" t="s">
        <v>2565</v>
      </c>
      <c r="F820" s="1" t="s">
        <v>2596</v>
      </c>
      <c r="G820" s="1">
        <v>21.0</v>
      </c>
      <c r="H820" s="1">
        <v>114.0</v>
      </c>
      <c r="I820" s="1" t="s">
        <v>113</v>
      </c>
      <c r="J820" s="1" t="s">
        <v>113</v>
      </c>
      <c r="K820" s="1">
        <v>1.0</v>
      </c>
      <c r="L820" s="1" t="s">
        <v>2484</v>
      </c>
    </row>
    <row r="821" hidden="1">
      <c r="A821" s="34">
        <v>22.0</v>
      </c>
      <c r="B821" s="34">
        <v>22.0</v>
      </c>
      <c r="C821" s="34">
        <v>14.0</v>
      </c>
      <c r="D821" s="1" t="s">
        <v>113</v>
      </c>
      <c r="E821" s="1" t="s">
        <v>2565</v>
      </c>
      <c r="F821" s="1" t="s">
        <v>2597</v>
      </c>
      <c r="G821" s="1">
        <v>21.0</v>
      </c>
      <c r="H821" s="1">
        <v>114.0</v>
      </c>
      <c r="I821" s="1" t="s">
        <v>113</v>
      </c>
      <c r="J821" s="1" t="s">
        <v>113</v>
      </c>
      <c r="K821" s="1">
        <v>1.0</v>
      </c>
      <c r="L821" s="1" t="s">
        <v>2484</v>
      </c>
    </row>
    <row r="822" hidden="1">
      <c r="A822" s="34">
        <v>22.0</v>
      </c>
      <c r="B822" s="34">
        <v>22.0</v>
      </c>
      <c r="C822" s="34">
        <v>21.0</v>
      </c>
      <c r="D822" s="1" t="s">
        <v>113</v>
      </c>
      <c r="E822" s="1" t="s">
        <v>2565</v>
      </c>
      <c r="F822" s="1" t="s">
        <v>2598</v>
      </c>
      <c r="G822" s="1">
        <v>21.0</v>
      </c>
      <c r="H822" s="1">
        <v>114.0</v>
      </c>
      <c r="I822" s="1" t="s">
        <v>113</v>
      </c>
      <c r="J822" s="1" t="s">
        <v>113</v>
      </c>
      <c r="K822" s="1">
        <v>1.0</v>
      </c>
      <c r="L822" s="1" t="s">
        <v>2484</v>
      </c>
    </row>
    <row r="823" hidden="1">
      <c r="A823" s="34">
        <v>22.0</v>
      </c>
      <c r="B823" s="34">
        <v>22.0</v>
      </c>
      <c r="C823" s="34">
        <v>35.0</v>
      </c>
      <c r="D823" s="1" t="s">
        <v>113</v>
      </c>
      <c r="E823" s="1" t="s">
        <v>2565</v>
      </c>
      <c r="F823" s="1" t="s">
        <v>2599</v>
      </c>
      <c r="G823" s="1">
        <v>21.0</v>
      </c>
      <c r="H823" s="1">
        <v>41.0</v>
      </c>
      <c r="I823" s="1" t="s">
        <v>113</v>
      </c>
      <c r="J823" s="1" t="s">
        <v>2600</v>
      </c>
      <c r="K823" s="1">
        <v>1.0</v>
      </c>
      <c r="L823" s="1" t="s">
        <v>2601</v>
      </c>
    </row>
    <row r="824" hidden="1">
      <c r="A824" s="34">
        <v>22.0</v>
      </c>
      <c r="B824" s="34">
        <v>22.0</v>
      </c>
      <c r="C824" s="34">
        <v>41.0</v>
      </c>
      <c r="D824" s="1" t="s">
        <v>113</v>
      </c>
      <c r="E824" s="1" t="s">
        <v>2565</v>
      </c>
      <c r="F824" s="1" t="s">
        <v>2602</v>
      </c>
      <c r="G824" s="1">
        <v>21.0</v>
      </c>
      <c r="H824" s="1">
        <v>74.0</v>
      </c>
      <c r="I824" s="1" t="s">
        <v>113</v>
      </c>
      <c r="J824" s="1" t="s">
        <v>2603</v>
      </c>
      <c r="K824" s="1">
        <v>1.0</v>
      </c>
      <c r="L824" s="1" t="s">
        <v>2603</v>
      </c>
    </row>
    <row r="825" hidden="1">
      <c r="A825" s="34">
        <v>22.0</v>
      </c>
      <c r="B825" s="34">
        <v>22.0</v>
      </c>
      <c r="C825" s="34">
        <v>57.0</v>
      </c>
      <c r="D825" s="1" t="s">
        <v>113</v>
      </c>
      <c r="E825" s="1" t="s">
        <v>2565</v>
      </c>
      <c r="F825" s="1" t="s">
        <v>2604</v>
      </c>
      <c r="G825" s="1">
        <v>21.0</v>
      </c>
      <c r="H825" s="1">
        <v>114.0</v>
      </c>
      <c r="I825" s="1" t="s">
        <v>113</v>
      </c>
      <c r="J825" s="1" t="s">
        <v>113</v>
      </c>
      <c r="K825" s="1">
        <v>1.0</v>
      </c>
      <c r="L825" s="1" t="s">
        <v>2484</v>
      </c>
    </row>
    <row r="826" hidden="1">
      <c r="A826" s="34">
        <v>23.0</v>
      </c>
      <c r="B826" s="34">
        <v>1.0</v>
      </c>
      <c r="C826" s="34">
        <v>2.0</v>
      </c>
      <c r="D826" s="1" t="s">
        <v>394</v>
      </c>
      <c r="E826" s="1" t="s">
        <v>394</v>
      </c>
      <c r="F826" s="1" t="s">
        <v>2605</v>
      </c>
      <c r="G826" s="1">
        <v>22.0</v>
      </c>
      <c r="H826" s="1">
        <v>14.0</v>
      </c>
      <c r="I826" s="1" t="s">
        <v>394</v>
      </c>
      <c r="J826" s="1" t="s">
        <v>394</v>
      </c>
      <c r="K826" s="1">
        <v>1.0</v>
      </c>
      <c r="L826" s="1" t="s">
        <v>2606</v>
      </c>
    </row>
    <row r="827" hidden="1">
      <c r="A827" s="34">
        <v>23.0</v>
      </c>
      <c r="B827" s="34">
        <v>1.0</v>
      </c>
      <c r="C827" s="34">
        <v>8.0</v>
      </c>
      <c r="D827" s="1" t="s">
        <v>394</v>
      </c>
      <c r="E827" s="1" t="s">
        <v>394</v>
      </c>
      <c r="F827" s="1" t="s">
        <v>2607</v>
      </c>
      <c r="G827" s="1">
        <v>22.0</v>
      </c>
      <c r="H827" s="1">
        <v>11.0</v>
      </c>
      <c r="I827" s="1" t="s">
        <v>394</v>
      </c>
      <c r="J827" s="1" t="s">
        <v>2608</v>
      </c>
      <c r="K827" s="1">
        <v>443.0</v>
      </c>
      <c r="L827" s="1" t="s">
        <v>2609</v>
      </c>
    </row>
    <row r="828" hidden="1">
      <c r="A828" s="34">
        <v>23.0</v>
      </c>
      <c r="B828" s="34">
        <v>1.0</v>
      </c>
      <c r="C828" s="34">
        <v>9.0</v>
      </c>
      <c r="D828" s="1" t="s">
        <v>394</v>
      </c>
      <c r="E828" s="1" t="s">
        <v>394</v>
      </c>
      <c r="F828" s="1" t="s">
        <v>2610</v>
      </c>
      <c r="G828" s="1">
        <v>22.0</v>
      </c>
      <c r="H828" s="1">
        <v>14.0</v>
      </c>
      <c r="I828" s="1" t="s">
        <v>394</v>
      </c>
      <c r="J828" s="1" t="s">
        <v>394</v>
      </c>
      <c r="K828" s="1">
        <v>1.0</v>
      </c>
      <c r="L828" s="1" t="s">
        <v>2606</v>
      </c>
    </row>
    <row r="829" hidden="1">
      <c r="A829" s="34">
        <v>23.0</v>
      </c>
      <c r="B829" s="34">
        <v>1.0</v>
      </c>
      <c r="C829" s="34">
        <v>10.0</v>
      </c>
      <c r="D829" s="1" t="s">
        <v>394</v>
      </c>
      <c r="E829" s="1" t="s">
        <v>394</v>
      </c>
      <c r="F829" s="1" t="s">
        <v>2611</v>
      </c>
      <c r="G829" s="1">
        <v>22.0</v>
      </c>
      <c r="H829" s="1">
        <v>14.0</v>
      </c>
      <c r="I829" s="1" t="s">
        <v>394</v>
      </c>
      <c r="J829" s="1" t="s">
        <v>394</v>
      </c>
      <c r="K829" s="1">
        <v>1.0</v>
      </c>
      <c r="L829" s="1" t="s">
        <v>2606</v>
      </c>
    </row>
    <row r="830" hidden="1">
      <c r="A830" s="34">
        <v>23.0</v>
      </c>
      <c r="B830" s="34">
        <v>1.0</v>
      </c>
      <c r="C830" s="34">
        <v>11.0</v>
      </c>
      <c r="D830" s="1" t="s">
        <v>394</v>
      </c>
      <c r="E830" s="1" t="s">
        <v>394</v>
      </c>
      <c r="F830" s="1" t="s">
        <v>2612</v>
      </c>
      <c r="G830" s="1">
        <v>22.0</v>
      </c>
      <c r="H830" s="1">
        <v>14.0</v>
      </c>
      <c r="I830" s="1" t="s">
        <v>394</v>
      </c>
      <c r="J830" s="1" t="s">
        <v>394</v>
      </c>
      <c r="K830" s="1">
        <v>108.0</v>
      </c>
      <c r="L830" s="1" t="s">
        <v>2613</v>
      </c>
    </row>
    <row r="831" hidden="1">
      <c r="A831" s="34">
        <v>23.0</v>
      </c>
      <c r="B831" s="34">
        <v>1.0</v>
      </c>
      <c r="C831" s="34">
        <v>13.0</v>
      </c>
      <c r="D831" s="1" t="s">
        <v>394</v>
      </c>
      <c r="E831" s="1" t="s">
        <v>394</v>
      </c>
      <c r="F831" s="1" t="s">
        <v>2614</v>
      </c>
      <c r="G831" s="1">
        <v>22.0</v>
      </c>
      <c r="H831" s="1">
        <v>14.0</v>
      </c>
      <c r="I831" s="1" t="s">
        <v>394</v>
      </c>
      <c r="J831" s="1" t="s">
        <v>394</v>
      </c>
      <c r="K831" s="1">
        <v>1.0</v>
      </c>
      <c r="L831" s="1" t="s">
        <v>2606</v>
      </c>
    </row>
    <row r="832" hidden="1">
      <c r="A832" s="34">
        <v>23.0</v>
      </c>
      <c r="B832" s="34">
        <v>1.0</v>
      </c>
      <c r="C832" s="34">
        <v>14.0</v>
      </c>
      <c r="D832" s="1" t="s">
        <v>394</v>
      </c>
      <c r="E832" s="1" t="s">
        <v>394</v>
      </c>
      <c r="F832" s="1" t="s">
        <v>2615</v>
      </c>
      <c r="G832" s="1">
        <v>22.0</v>
      </c>
      <c r="H832" s="1">
        <v>6.0</v>
      </c>
      <c r="I832" s="1" t="s">
        <v>394</v>
      </c>
      <c r="J832" s="1" t="s">
        <v>2616</v>
      </c>
      <c r="K832" s="1">
        <v>1.0</v>
      </c>
      <c r="L832" s="1" t="s">
        <v>2617</v>
      </c>
    </row>
    <row r="833" hidden="1">
      <c r="A833" s="34">
        <v>23.0</v>
      </c>
      <c r="B833" s="34">
        <v>1.0</v>
      </c>
      <c r="C833" s="34">
        <v>15.0</v>
      </c>
      <c r="D833" s="1" t="s">
        <v>394</v>
      </c>
      <c r="E833" s="1" t="s">
        <v>394</v>
      </c>
      <c r="F833" s="1" t="s">
        <v>2618</v>
      </c>
      <c r="G833" s="1">
        <v>22.0</v>
      </c>
      <c r="H833" s="1">
        <v>14.0</v>
      </c>
      <c r="I833" s="1" t="s">
        <v>394</v>
      </c>
      <c r="J833" s="1" t="s">
        <v>394</v>
      </c>
      <c r="K833" s="1">
        <v>1.0</v>
      </c>
      <c r="L833" s="1" t="s">
        <v>2606</v>
      </c>
    </row>
    <row r="834" hidden="1">
      <c r="A834" s="34">
        <v>23.0</v>
      </c>
      <c r="B834" s="34">
        <v>1.0</v>
      </c>
      <c r="C834" s="34">
        <v>16.0</v>
      </c>
      <c r="D834" s="1" t="s">
        <v>394</v>
      </c>
      <c r="E834" s="1" t="s">
        <v>394</v>
      </c>
      <c r="F834" s="1" t="s">
        <v>2619</v>
      </c>
      <c r="G834" s="1">
        <v>22.0</v>
      </c>
      <c r="H834" s="1">
        <v>14.0</v>
      </c>
      <c r="I834" s="1" t="s">
        <v>394</v>
      </c>
      <c r="J834" s="1" t="s">
        <v>394</v>
      </c>
      <c r="K834" s="1">
        <v>1.0</v>
      </c>
      <c r="L834" s="1" t="s">
        <v>2606</v>
      </c>
    </row>
    <row r="835" hidden="1">
      <c r="A835" s="34">
        <v>23.0</v>
      </c>
      <c r="B835" s="34">
        <v>1.0</v>
      </c>
      <c r="C835" s="34">
        <v>17.0</v>
      </c>
      <c r="D835" s="1" t="s">
        <v>394</v>
      </c>
      <c r="E835" s="1" t="s">
        <v>394</v>
      </c>
      <c r="F835" s="1" t="s">
        <v>2620</v>
      </c>
      <c r="G835" s="1">
        <v>22.0</v>
      </c>
      <c r="H835" s="1">
        <v>6.0</v>
      </c>
      <c r="I835" s="1" t="s">
        <v>394</v>
      </c>
      <c r="J835" s="1" t="s">
        <v>2616</v>
      </c>
      <c r="K835" s="1">
        <v>17.0</v>
      </c>
      <c r="L835" s="1" t="s">
        <v>2621</v>
      </c>
    </row>
    <row r="836" hidden="1">
      <c r="A836" s="34">
        <v>23.0</v>
      </c>
      <c r="B836" s="34">
        <v>1.0</v>
      </c>
      <c r="C836" s="34">
        <v>57.0</v>
      </c>
      <c r="D836" s="1" t="s">
        <v>394</v>
      </c>
      <c r="E836" s="1" t="s">
        <v>394</v>
      </c>
      <c r="F836" s="1" t="s">
        <v>2622</v>
      </c>
      <c r="G836" s="1">
        <v>22.0</v>
      </c>
      <c r="H836" s="1">
        <v>5.0</v>
      </c>
      <c r="I836" s="1" t="s">
        <v>394</v>
      </c>
      <c r="J836" s="1" t="s">
        <v>2623</v>
      </c>
      <c r="K836" s="1">
        <v>1.0</v>
      </c>
      <c r="L836" s="1" t="s">
        <v>2623</v>
      </c>
    </row>
    <row r="837" hidden="1">
      <c r="A837" s="34">
        <v>23.0</v>
      </c>
      <c r="B837" s="34">
        <v>1.0</v>
      </c>
      <c r="C837" s="34">
        <v>59.0</v>
      </c>
      <c r="D837" s="1" t="s">
        <v>394</v>
      </c>
      <c r="E837" s="1" t="s">
        <v>394</v>
      </c>
      <c r="F837" s="1" t="s">
        <v>2624</v>
      </c>
      <c r="G837" s="1">
        <v>22.0</v>
      </c>
      <c r="H837" s="1">
        <v>8.0</v>
      </c>
      <c r="I837" s="1" t="s">
        <v>394</v>
      </c>
      <c r="J837" s="1" t="s">
        <v>2625</v>
      </c>
      <c r="K837" s="1">
        <v>1.0</v>
      </c>
      <c r="L837" s="1" t="s">
        <v>2625</v>
      </c>
    </row>
    <row r="838" hidden="1">
      <c r="A838" s="34">
        <v>23.0</v>
      </c>
      <c r="B838" s="34">
        <v>1.0</v>
      </c>
      <c r="C838" s="34">
        <v>64.0</v>
      </c>
      <c r="D838" s="1" t="s">
        <v>394</v>
      </c>
      <c r="E838" s="1" t="s">
        <v>394</v>
      </c>
      <c r="F838" s="1" t="s">
        <v>2626</v>
      </c>
      <c r="G838" s="1">
        <v>22.0</v>
      </c>
      <c r="H838" s="1">
        <v>18.0</v>
      </c>
      <c r="I838" s="1" t="s">
        <v>394</v>
      </c>
      <c r="J838" s="1" t="s">
        <v>1341</v>
      </c>
      <c r="K838" s="1">
        <v>1.0</v>
      </c>
      <c r="L838" s="1" t="s">
        <v>1341</v>
      </c>
    </row>
    <row r="839" hidden="1">
      <c r="A839" s="34">
        <v>23.0</v>
      </c>
      <c r="B839" s="34">
        <v>3.0</v>
      </c>
      <c r="C839" s="34">
        <v>4.0</v>
      </c>
      <c r="D839" s="1" t="s">
        <v>394</v>
      </c>
      <c r="E839" s="1" t="s">
        <v>968</v>
      </c>
      <c r="F839" s="1" t="s">
        <v>2627</v>
      </c>
      <c r="G839" s="1">
        <v>22.0</v>
      </c>
      <c r="H839" s="1">
        <v>17.0</v>
      </c>
      <c r="I839" s="1" t="s">
        <v>394</v>
      </c>
      <c r="J839" s="1" t="s">
        <v>2628</v>
      </c>
      <c r="K839" s="1">
        <v>1.0</v>
      </c>
      <c r="L839" s="1" t="s">
        <v>2628</v>
      </c>
    </row>
    <row r="840" hidden="1">
      <c r="A840" s="34">
        <v>23.0</v>
      </c>
      <c r="B840" s="34">
        <v>3.0</v>
      </c>
      <c r="C840" s="34">
        <v>5.0</v>
      </c>
      <c r="D840" s="1" t="s">
        <v>394</v>
      </c>
      <c r="E840" s="1" t="s">
        <v>968</v>
      </c>
      <c r="F840" s="1" t="s">
        <v>2629</v>
      </c>
      <c r="G840" s="1">
        <v>22.0</v>
      </c>
      <c r="H840" s="1">
        <v>12.0</v>
      </c>
      <c r="I840" s="1" t="s">
        <v>394</v>
      </c>
      <c r="J840" s="1" t="s">
        <v>2630</v>
      </c>
      <c r="K840" s="1">
        <v>1.0</v>
      </c>
      <c r="L840" s="1" t="s">
        <v>2630</v>
      </c>
    </row>
    <row r="841" hidden="1">
      <c r="A841" s="34">
        <v>23.0</v>
      </c>
      <c r="B841" s="34">
        <v>3.0</v>
      </c>
      <c r="C841" s="34">
        <v>6.0</v>
      </c>
      <c r="D841" s="1" t="s">
        <v>394</v>
      </c>
      <c r="E841" s="1" t="s">
        <v>968</v>
      </c>
      <c r="F841" s="1" t="s">
        <v>2631</v>
      </c>
      <c r="G841" s="1">
        <v>22.0</v>
      </c>
      <c r="H841" s="1">
        <v>16.0</v>
      </c>
      <c r="I841" s="1" t="s">
        <v>394</v>
      </c>
      <c r="J841" s="1" t="s">
        <v>968</v>
      </c>
      <c r="K841" s="1">
        <v>1.0</v>
      </c>
      <c r="L841" s="1" t="s">
        <v>968</v>
      </c>
    </row>
    <row r="842" hidden="1">
      <c r="A842" s="34">
        <v>23.0</v>
      </c>
      <c r="B842" s="34">
        <v>3.0</v>
      </c>
      <c r="C842" s="34">
        <v>7.0</v>
      </c>
      <c r="D842" s="1" t="s">
        <v>394</v>
      </c>
      <c r="E842" s="1" t="s">
        <v>968</v>
      </c>
      <c r="F842" s="1" t="s">
        <v>2632</v>
      </c>
      <c r="G842" s="1">
        <v>22.0</v>
      </c>
      <c r="H842" s="1">
        <v>16.0</v>
      </c>
      <c r="I842" s="1" t="s">
        <v>394</v>
      </c>
      <c r="J842" s="1" t="s">
        <v>968</v>
      </c>
      <c r="K842" s="1">
        <v>1.0</v>
      </c>
      <c r="L842" s="1" t="s">
        <v>968</v>
      </c>
    </row>
    <row r="843" hidden="1">
      <c r="A843" s="34">
        <v>23.0</v>
      </c>
      <c r="B843" s="34">
        <v>3.0</v>
      </c>
      <c r="C843" s="34">
        <v>12.0</v>
      </c>
      <c r="D843" s="1" t="s">
        <v>394</v>
      </c>
      <c r="E843" s="1" t="s">
        <v>968</v>
      </c>
      <c r="F843" s="1" t="s">
        <v>2633</v>
      </c>
      <c r="G843" s="1">
        <v>22.0</v>
      </c>
      <c r="H843" s="1">
        <v>4.0</v>
      </c>
      <c r="I843" s="1" t="s">
        <v>394</v>
      </c>
      <c r="J843" s="1" t="s">
        <v>2634</v>
      </c>
      <c r="K843" s="1">
        <v>1.0</v>
      </c>
      <c r="L843" s="1" t="s">
        <v>2634</v>
      </c>
    </row>
    <row r="844" hidden="1">
      <c r="A844" s="34">
        <v>23.0</v>
      </c>
      <c r="B844" s="34">
        <v>3.0</v>
      </c>
      <c r="C844" s="34">
        <v>56.0</v>
      </c>
      <c r="D844" s="1" t="s">
        <v>394</v>
      </c>
      <c r="E844" s="1" t="s">
        <v>968</v>
      </c>
      <c r="F844" s="1" t="s">
        <v>2635</v>
      </c>
      <c r="G844" s="1">
        <v>22.0</v>
      </c>
      <c r="H844" s="1">
        <v>1.0</v>
      </c>
      <c r="I844" s="1" t="s">
        <v>394</v>
      </c>
      <c r="J844" s="1" t="s">
        <v>2636</v>
      </c>
      <c r="K844" s="1">
        <v>1.0</v>
      </c>
      <c r="L844" s="1" t="s">
        <v>2636</v>
      </c>
    </row>
    <row r="845" hidden="1">
      <c r="A845" s="34">
        <v>23.0</v>
      </c>
      <c r="B845" s="34">
        <v>3.0</v>
      </c>
      <c r="C845" s="34">
        <v>58.0</v>
      </c>
      <c r="D845" s="1" t="s">
        <v>394</v>
      </c>
      <c r="E845" s="1" t="s">
        <v>968</v>
      </c>
      <c r="F845" s="1" t="s">
        <v>2637</v>
      </c>
      <c r="G845" s="1">
        <v>22.0</v>
      </c>
      <c r="H845" s="1">
        <v>7.0</v>
      </c>
      <c r="I845" s="1" t="s">
        <v>394</v>
      </c>
      <c r="J845" s="1" t="s">
        <v>2638</v>
      </c>
      <c r="K845" s="1">
        <v>1.0</v>
      </c>
      <c r="L845" s="1" t="s">
        <v>2638</v>
      </c>
    </row>
    <row r="846" hidden="1">
      <c r="A846" s="34">
        <v>23.0</v>
      </c>
      <c r="B846" s="34">
        <v>3.0</v>
      </c>
      <c r="C846" s="34">
        <v>63.0</v>
      </c>
      <c r="D846" s="1" t="s">
        <v>394</v>
      </c>
      <c r="E846" s="1" t="s">
        <v>968</v>
      </c>
      <c r="F846" s="1" t="s">
        <v>2639</v>
      </c>
      <c r="G846" s="1">
        <v>22.0</v>
      </c>
      <c r="H846" s="1">
        <v>15.0</v>
      </c>
      <c r="I846" s="1" t="s">
        <v>394</v>
      </c>
      <c r="J846" s="1" t="s">
        <v>2640</v>
      </c>
      <c r="K846" s="1">
        <v>1.0</v>
      </c>
      <c r="L846" s="1" t="s">
        <v>2640</v>
      </c>
    </row>
    <row r="847" hidden="1">
      <c r="A847" s="34">
        <v>23.0</v>
      </c>
      <c r="B847" s="34">
        <v>3.0</v>
      </c>
      <c r="C847" s="34">
        <v>66.0</v>
      </c>
      <c r="D847" s="1" t="s">
        <v>394</v>
      </c>
      <c r="E847" s="1" t="s">
        <v>968</v>
      </c>
      <c r="F847" s="1" t="s">
        <v>2641</v>
      </c>
      <c r="G847" s="1">
        <v>22.0</v>
      </c>
      <c r="H847" s="1">
        <v>4.0</v>
      </c>
      <c r="I847" s="1" t="s">
        <v>394</v>
      </c>
      <c r="J847" s="1" t="s">
        <v>2634</v>
      </c>
      <c r="K847" s="1">
        <v>59.0</v>
      </c>
      <c r="L847" s="1" t="s">
        <v>2642</v>
      </c>
    </row>
    <row r="848" hidden="1">
      <c r="A848" s="34">
        <v>24.0</v>
      </c>
      <c r="B848" s="34">
        <v>1.0</v>
      </c>
      <c r="C848" s="34">
        <v>1.0</v>
      </c>
      <c r="D848" s="1" t="s">
        <v>117</v>
      </c>
      <c r="E848" s="1" t="s">
        <v>2643</v>
      </c>
      <c r="F848" s="1" t="s">
        <v>2644</v>
      </c>
      <c r="G848" s="1">
        <v>23.0</v>
      </c>
      <c r="H848" s="1">
        <v>4.0</v>
      </c>
      <c r="I848" s="1" t="s">
        <v>117</v>
      </c>
      <c r="J848" s="1" t="s">
        <v>2645</v>
      </c>
      <c r="K848" s="1">
        <v>1.0</v>
      </c>
      <c r="L848" s="1" t="s">
        <v>2643</v>
      </c>
    </row>
    <row r="849" hidden="1">
      <c r="A849" s="34">
        <v>24.0</v>
      </c>
      <c r="B849" s="34">
        <v>1.0</v>
      </c>
      <c r="C849" s="34">
        <v>5.0</v>
      </c>
      <c r="D849" s="1" t="s">
        <v>117</v>
      </c>
      <c r="E849" s="1" t="s">
        <v>2643</v>
      </c>
      <c r="F849" s="1" t="s">
        <v>2646</v>
      </c>
      <c r="G849" s="1">
        <v>23.0</v>
      </c>
      <c r="H849" s="1">
        <v>4.0</v>
      </c>
      <c r="I849" s="1" t="s">
        <v>117</v>
      </c>
      <c r="J849" s="1" t="s">
        <v>2645</v>
      </c>
      <c r="K849" s="1">
        <v>123.0</v>
      </c>
      <c r="L849" s="1" t="s">
        <v>2647</v>
      </c>
    </row>
    <row r="850" hidden="1">
      <c r="A850" s="34">
        <v>24.0</v>
      </c>
      <c r="B850" s="34">
        <v>1.0</v>
      </c>
      <c r="C850" s="34">
        <v>6.0</v>
      </c>
      <c r="D850" s="1" t="s">
        <v>117</v>
      </c>
      <c r="E850" s="1" t="s">
        <v>2643</v>
      </c>
      <c r="F850" s="1" t="s">
        <v>2648</v>
      </c>
      <c r="G850" s="1">
        <v>23.0</v>
      </c>
      <c r="H850" s="1">
        <v>2.0</v>
      </c>
      <c r="I850" s="1" t="s">
        <v>117</v>
      </c>
      <c r="J850" s="1" t="s">
        <v>2649</v>
      </c>
      <c r="K850" s="1">
        <v>1.0</v>
      </c>
      <c r="L850" s="1" t="s">
        <v>2649</v>
      </c>
    </row>
    <row r="851" hidden="1">
      <c r="A851" s="34">
        <v>24.0</v>
      </c>
      <c r="B851" s="34">
        <v>2.0</v>
      </c>
      <c r="C851" s="34">
        <v>2.0</v>
      </c>
      <c r="D851" s="1" t="s">
        <v>117</v>
      </c>
      <c r="E851" s="1" t="s">
        <v>2650</v>
      </c>
      <c r="F851" s="1" t="s">
        <v>2651</v>
      </c>
      <c r="G851" s="1">
        <v>23.0</v>
      </c>
      <c r="H851" s="1">
        <v>1.0</v>
      </c>
      <c r="I851" s="1" t="s">
        <v>117</v>
      </c>
      <c r="J851" s="1" t="s">
        <v>2652</v>
      </c>
      <c r="K851" s="1">
        <v>1.0</v>
      </c>
      <c r="L851" s="1" t="s">
        <v>2652</v>
      </c>
    </row>
    <row r="852" hidden="1">
      <c r="A852" s="34">
        <v>24.0</v>
      </c>
      <c r="B852" s="34">
        <v>2.0</v>
      </c>
      <c r="C852" s="34">
        <v>11.0</v>
      </c>
      <c r="D852" s="1" t="s">
        <v>117</v>
      </c>
      <c r="E852" s="1" t="s">
        <v>2650</v>
      </c>
      <c r="F852" s="1" t="s">
        <v>2653</v>
      </c>
      <c r="G852" s="1">
        <v>23.0</v>
      </c>
      <c r="H852" s="1">
        <v>8.0</v>
      </c>
      <c r="I852" s="1" t="s">
        <v>117</v>
      </c>
      <c r="J852" s="1" t="s">
        <v>2654</v>
      </c>
      <c r="K852" s="1">
        <v>1.0</v>
      </c>
      <c r="L852" s="1" t="s">
        <v>2650</v>
      </c>
    </row>
    <row r="853" hidden="1">
      <c r="A853" s="34">
        <v>24.0</v>
      </c>
      <c r="B853" s="34">
        <v>7.0</v>
      </c>
      <c r="C853" s="34">
        <v>4.0</v>
      </c>
      <c r="D853" s="1" t="s">
        <v>117</v>
      </c>
      <c r="E853" s="1" t="s">
        <v>2655</v>
      </c>
      <c r="F853" s="1" t="s">
        <v>2656</v>
      </c>
      <c r="G853" s="1">
        <v>23.0</v>
      </c>
      <c r="H853" s="1">
        <v>3.0</v>
      </c>
      <c r="I853" s="1" t="s">
        <v>117</v>
      </c>
      <c r="J853" s="1" t="s">
        <v>2657</v>
      </c>
      <c r="K853" s="1">
        <v>1.0</v>
      </c>
      <c r="L853" s="1" t="s">
        <v>2657</v>
      </c>
    </row>
    <row r="854" hidden="1">
      <c r="A854" s="34">
        <v>24.0</v>
      </c>
      <c r="B854" s="34">
        <v>7.0</v>
      </c>
      <c r="C854" s="34">
        <v>13.0</v>
      </c>
      <c r="D854" s="1" t="s">
        <v>117</v>
      </c>
      <c r="E854" s="1" t="s">
        <v>2655</v>
      </c>
      <c r="F854" s="1" t="s">
        <v>2658</v>
      </c>
      <c r="G854" s="1">
        <v>23.0</v>
      </c>
      <c r="H854" s="1">
        <v>5.0</v>
      </c>
      <c r="I854" s="1" t="s">
        <v>117</v>
      </c>
      <c r="J854" s="1" t="s">
        <v>2659</v>
      </c>
      <c r="K854" s="1">
        <v>1.0</v>
      </c>
      <c r="L854" s="1" t="s">
        <v>2655</v>
      </c>
    </row>
    <row r="855" hidden="1">
      <c r="A855" s="34">
        <v>24.0</v>
      </c>
      <c r="B855" s="34">
        <v>7.0</v>
      </c>
      <c r="C855" s="34">
        <v>14.0</v>
      </c>
      <c r="D855" s="1" t="s">
        <v>117</v>
      </c>
      <c r="E855" s="1" t="s">
        <v>2655</v>
      </c>
      <c r="F855" s="1" t="s">
        <v>2660</v>
      </c>
      <c r="G855" s="1">
        <v>23.0</v>
      </c>
      <c r="H855" s="1">
        <v>5.0</v>
      </c>
      <c r="I855" s="1" t="s">
        <v>117</v>
      </c>
      <c r="J855" s="1" t="s">
        <v>2659</v>
      </c>
      <c r="K855" s="1">
        <v>1.0</v>
      </c>
      <c r="L855" s="1" t="s">
        <v>2655</v>
      </c>
    </row>
    <row r="856" hidden="1">
      <c r="A856" s="34">
        <v>24.0</v>
      </c>
      <c r="B856" s="34">
        <v>7.0</v>
      </c>
      <c r="C856" s="34">
        <v>15.0</v>
      </c>
      <c r="D856" s="1" t="s">
        <v>117</v>
      </c>
      <c r="E856" s="1" t="s">
        <v>2655</v>
      </c>
      <c r="F856" s="1" t="s">
        <v>2661</v>
      </c>
      <c r="G856" s="1">
        <v>23.0</v>
      </c>
      <c r="H856" s="1">
        <v>5.0</v>
      </c>
      <c r="I856" s="1" t="s">
        <v>117</v>
      </c>
      <c r="J856" s="1" t="s">
        <v>2659</v>
      </c>
      <c r="K856" s="1">
        <v>1.0</v>
      </c>
      <c r="L856" s="1" t="s">
        <v>2655</v>
      </c>
    </row>
    <row r="857" hidden="1">
      <c r="A857" s="34">
        <v>24.0</v>
      </c>
      <c r="B857" s="34">
        <v>7.0</v>
      </c>
      <c r="C857" s="34">
        <v>16.0</v>
      </c>
      <c r="D857" s="1" t="s">
        <v>117</v>
      </c>
      <c r="E857" s="1" t="s">
        <v>2655</v>
      </c>
      <c r="F857" s="1" t="s">
        <v>2662</v>
      </c>
      <c r="G857" s="1">
        <v>23.0</v>
      </c>
      <c r="H857" s="1">
        <v>5.0</v>
      </c>
      <c r="I857" s="1" t="s">
        <v>117</v>
      </c>
      <c r="J857" s="1" t="s">
        <v>2659</v>
      </c>
      <c r="K857" s="1">
        <v>1.0</v>
      </c>
      <c r="L857" s="1" t="s">
        <v>2655</v>
      </c>
    </row>
    <row r="858" hidden="1">
      <c r="A858" s="34">
        <v>24.0</v>
      </c>
      <c r="B858" s="34">
        <v>7.0</v>
      </c>
      <c r="C858" s="34">
        <v>19.0</v>
      </c>
      <c r="D858" s="1" t="s">
        <v>117</v>
      </c>
      <c r="E858" s="1" t="s">
        <v>2655</v>
      </c>
      <c r="F858" s="1" t="s">
        <v>2663</v>
      </c>
      <c r="G858" s="1">
        <v>23.0</v>
      </c>
      <c r="H858" s="1">
        <v>5.0</v>
      </c>
      <c r="I858" s="1" t="s">
        <v>117</v>
      </c>
      <c r="J858" s="1" t="s">
        <v>2659</v>
      </c>
      <c r="K858" s="1">
        <v>1.0</v>
      </c>
      <c r="L858" s="1" t="s">
        <v>2655</v>
      </c>
    </row>
    <row r="859" hidden="1">
      <c r="A859" s="34">
        <v>25.0</v>
      </c>
      <c r="B859" s="34">
        <v>1.0</v>
      </c>
      <c r="C859" s="34">
        <v>5.0</v>
      </c>
      <c r="D859" s="1" t="s">
        <v>395</v>
      </c>
      <c r="E859" s="1" t="s">
        <v>2664</v>
      </c>
      <c r="F859" s="1" t="s">
        <v>2665</v>
      </c>
      <c r="G859" s="1">
        <v>24.0</v>
      </c>
      <c r="H859" s="1">
        <v>35.0</v>
      </c>
      <c r="I859" s="1" t="s">
        <v>395</v>
      </c>
      <c r="J859" s="1" t="s">
        <v>2666</v>
      </c>
      <c r="K859" s="1">
        <v>1.0</v>
      </c>
      <c r="L859" s="1" t="s">
        <v>2667</v>
      </c>
    </row>
    <row r="860" hidden="1">
      <c r="A860" s="34">
        <v>25.0</v>
      </c>
      <c r="B860" s="34">
        <v>1.0</v>
      </c>
      <c r="C860" s="34">
        <v>9.0</v>
      </c>
      <c r="D860" s="1" t="s">
        <v>395</v>
      </c>
      <c r="E860" s="1" t="s">
        <v>2664</v>
      </c>
      <c r="F860" s="1" t="s">
        <v>2668</v>
      </c>
      <c r="G860" s="1">
        <v>24.0</v>
      </c>
      <c r="H860" s="1">
        <v>24.0</v>
      </c>
      <c r="I860" s="1" t="s">
        <v>395</v>
      </c>
      <c r="J860" s="1" t="s">
        <v>2669</v>
      </c>
      <c r="K860" s="1">
        <v>1.0</v>
      </c>
      <c r="L860" s="1" t="s">
        <v>2669</v>
      </c>
    </row>
    <row r="861" hidden="1">
      <c r="A861" s="34">
        <v>25.0</v>
      </c>
      <c r="B861" s="34">
        <v>1.0</v>
      </c>
      <c r="C861" s="34">
        <v>19.0</v>
      </c>
      <c r="D861" s="1" t="s">
        <v>395</v>
      </c>
      <c r="E861" s="1" t="s">
        <v>2664</v>
      </c>
      <c r="F861" s="1" t="s">
        <v>2670</v>
      </c>
      <c r="G861" s="1">
        <v>24.0</v>
      </c>
      <c r="H861" s="1">
        <v>32.0</v>
      </c>
      <c r="I861" s="1" t="s">
        <v>395</v>
      </c>
      <c r="J861" s="1" t="s">
        <v>2671</v>
      </c>
      <c r="K861" s="1">
        <v>1.0</v>
      </c>
      <c r="L861" s="1" t="s">
        <v>2671</v>
      </c>
    </row>
    <row r="862" hidden="1">
      <c r="A862" s="34">
        <v>25.0</v>
      </c>
      <c r="B862" s="34">
        <v>1.0</v>
      </c>
      <c r="C862" s="34">
        <v>21.0</v>
      </c>
      <c r="D862" s="1" t="s">
        <v>395</v>
      </c>
      <c r="E862" s="1" t="s">
        <v>2664</v>
      </c>
      <c r="F862" s="1" t="s">
        <v>2672</v>
      </c>
      <c r="G862" s="1">
        <v>24.0</v>
      </c>
      <c r="H862" s="1">
        <v>55.0</v>
      </c>
      <c r="I862" s="1" t="s">
        <v>395</v>
      </c>
      <c r="J862" s="1" t="s">
        <v>684</v>
      </c>
      <c r="K862" s="1">
        <v>1.0</v>
      </c>
      <c r="L862" s="1" t="s">
        <v>2673</v>
      </c>
    </row>
    <row r="863" hidden="1">
      <c r="A863" s="34">
        <v>25.0</v>
      </c>
      <c r="B863" s="34">
        <v>1.0</v>
      </c>
      <c r="C863" s="34">
        <v>22.0</v>
      </c>
      <c r="D863" s="1" t="s">
        <v>395</v>
      </c>
      <c r="E863" s="1" t="s">
        <v>2664</v>
      </c>
      <c r="F863" s="1" t="s">
        <v>2674</v>
      </c>
      <c r="G863" s="1">
        <v>24.0</v>
      </c>
      <c r="H863" s="1">
        <v>17.0</v>
      </c>
      <c r="I863" s="1" t="s">
        <v>395</v>
      </c>
      <c r="J863" s="1" t="s">
        <v>2675</v>
      </c>
      <c r="K863" s="1">
        <v>1.0</v>
      </c>
      <c r="L863" s="1" t="s">
        <v>2675</v>
      </c>
    </row>
    <row r="864" hidden="1">
      <c r="A864" s="34">
        <v>25.0</v>
      </c>
      <c r="B864" s="34">
        <v>1.0</v>
      </c>
      <c r="C864" s="34">
        <v>23.0</v>
      </c>
      <c r="D864" s="1" t="s">
        <v>395</v>
      </c>
      <c r="E864" s="1" t="s">
        <v>2664</v>
      </c>
      <c r="F864" s="1" t="s">
        <v>2676</v>
      </c>
      <c r="G864" s="1">
        <v>24.0</v>
      </c>
      <c r="H864" s="1">
        <v>8.0</v>
      </c>
      <c r="I864" s="1" t="s">
        <v>395</v>
      </c>
      <c r="J864" s="1" t="s">
        <v>2677</v>
      </c>
      <c r="K864" s="1">
        <v>1.0</v>
      </c>
      <c r="L864" s="1" t="s">
        <v>2677</v>
      </c>
    </row>
    <row r="865" hidden="1">
      <c r="A865" s="34">
        <v>25.0</v>
      </c>
      <c r="B865" s="34">
        <v>1.0</v>
      </c>
      <c r="C865" s="34">
        <v>26.0</v>
      </c>
      <c r="D865" s="1" t="s">
        <v>395</v>
      </c>
      <c r="E865" s="1" t="s">
        <v>2664</v>
      </c>
      <c r="F865" s="1" t="s">
        <v>2678</v>
      </c>
      <c r="G865" s="1">
        <v>24.0</v>
      </c>
      <c r="H865" s="1">
        <v>5.0</v>
      </c>
      <c r="I865" s="1" t="s">
        <v>395</v>
      </c>
      <c r="J865" s="1" t="s">
        <v>2679</v>
      </c>
      <c r="K865" s="1">
        <v>1.0</v>
      </c>
      <c r="L865" s="1" t="s">
        <v>2679</v>
      </c>
    </row>
    <row r="866" hidden="1">
      <c r="A866" s="34">
        <v>25.0</v>
      </c>
      <c r="B866" s="34">
        <v>1.0</v>
      </c>
      <c r="C866" s="34">
        <v>45.0</v>
      </c>
      <c r="D866" s="1" t="s">
        <v>395</v>
      </c>
      <c r="E866" s="1" t="s">
        <v>2664</v>
      </c>
      <c r="F866" s="1" t="s">
        <v>2680</v>
      </c>
      <c r="G866" s="1">
        <v>24.0</v>
      </c>
      <c r="H866" s="1">
        <v>28.0</v>
      </c>
      <c r="I866" s="1" t="s">
        <v>395</v>
      </c>
      <c r="J866" s="1" t="s">
        <v>395</v>
      </c>
      <c r="K866" s="1">
        <v>1.0</v>
      </c>
      <c r="L866" s="1" t="s">
        <v>395</v>
      </c>
    </row>
    <row r="867" hidden="1">
      <c r="A867" s="34">
        <v>25.0</v>
      </c>
      <c r="B867" s="34">
        <v>1.0</v>
      </c>
      <c r="C867" s="34">
        <v>47.0</v>
      </c>
      <c r="D867" s="1" t="s">
        <v>395</v>
      </c>
      <c r="E867" s="1" t="s">
        <v>2664</v>
      </c>
      <c r="F867" s="1" t="s">
        <v>2681</v>
      </c>
      <c r="G867" s="1">
        <v>24.0</v>
      </c>
      <c r="H867" s="1">
        <v>28.0</v>
      </c>
      <c r="I867" s="1" t="s">
        <v>395</v>
      </c>
      <c r="J867" s="1" t="s">
        <v>395</v>
      </c>
      <c r="K867" s="1">
        <v>1.0</v>
      </c>
      <c r="L867" s="1" t="s">
        <v>395</v>
      </c>
    </row>
    <row r="868" hidden="1">
      <c r="A868" s="34">
        <v>25.0</v>
      </c>
      <c r="B868" s="34">
        <v>1.0</v>
      </c>
      <c r="C868" s="34">
        <v>49.0</v>
      </c>
      <c r="D868" s="1" t="s">
        <v>395</v>
      </c>
      <c r="E868" s="1" t="s">
        <v>2664</v>
      </c>
      <c r="F868" s="1" t="s">
        <v>2682</v>
      </c>
      <c r="G868" s="1">
        <v>24.0</v>
      </c>
      <c r="H868" s="1">
        <v>28.0</v>
      </c>
      <c r="I868" s="1" t="s">
        <v>395</v>
      </c>
      <c r="J868" s="1" t="s">
        <v>395</v>
      </c>
      <c r="K868" s="1">
        <v>1.0</v>
      </c>
      <c r="L868" s="1" t="s">
        <v>395</v>
      </c>
    </row>
    <row r="869" hidden="1">
      <c r="A869" s="34">
        <v>25.0</v>
      </c>
      <c r="B869" s="34">
        <v>3.0</v>
      </c>
      <c r="C869" s="34">
        <v>10.0</v>
      </c>
      <c r="D869" s="1" t="s">
        <v>395</v>
      </c>
      <c r="E869" s="1" t="s">
        <v>2683</v>
      </c>
      <c r="F869" s="1" t="s">
        <v>2684</v>
      </c>
      <c r="G869" s="1">
        <v>24.0</v>
      </c>
      <c r="H869" s="1">
        <v>20.0</v>
      </c>
      <c r="I869" s="1" t="s">
        <v>395</v>
      </c>
      <c r="J869" s="1" t="s">
        <v>2683</v>
      </c>
      <c r="K869" s="1">
        <v>1.0</v>
      </c>
      <c r="L869" s="1" t="s">
        <v>2683</v>
      </c>
    </row>
    <row r="870" hidden="1">
      <c r="A870" s="34">
        <v>25.0</v>
      </c>
      <c r="B870" s="34">
        <v>3.0</v>
      </c>
      <c r="C870" s="34">
        <v>15.0</v>
      </c>
      <c r="D870" s="1" t="s">
        <v>395</v>
      </c>
      <c r="E870" s="1" t="s">
        <v>2683</v>
      </c>
      <c r="F870" s="1" t="s">
        <v>2685</v>
      </c>
      <c r="G870" s="1">
        <v>24.0</v>
      </c>
      <c r="H870" s="1">
        <v>15.0</v>
      </c>
      <c r="I870" s="1" t="s">
        <v>395</v>
      </c>
      <c r="J870" s="1" t="s">
        <v>2686</v>
      </c>
      <c r="K870" s="1">
        <v>1.0</v>
      </c>
      <c r="L870" s="1" t="s">
        <v>2686</v>
      </c>
    </row>
    <row r="871" hidden="1">
      <c r="A871" s="34">
        <v>25.0</v>
      </c>
      <c r="B871" s="34">
        <v>3.0</v>
      </c>
      <c r="C871" s="34">
        <v>43.0</v>
      </c>
      <c r="D871" s="1" t="s">
        <v>395</v>
      </c>
      <c r="E871" s="1" t="s">
        <v>2683</v>
      </c>
      <c r="F871" s="1" t="s">
        <v>2687</v>
      </c>
      <c r="G871" s="1">
        <v>24.0</v>
      </c>
      <c r="H871" s="1">
        <v>7.0</v>
      </c>
      <c r="I871" s="1" t="s">
        <v>395</v>
      </c>
      <c r="J871" s="1" t="s">
        <v>2688</v>
      </c>
      <c r="K871" s="1">
        <v>1.0</v>
      </c>
      <c r="L871" s="1" t="s">
        <v>2688</v>
      </c>
    </row>
    <row r="872" hidden="1">
      <c r="A872" s="34">
        <v>25.0</v>
      </c>
      <c r="B872" s="34">
        <v>3.0</v>
      </c>
      <c r="C872" s="34">
        <v>46.0</v>
      </c>
      <c r="D872" s="1" t="s">
        <v>395</v>
      </c>
      <c r="E872" s="1" t="s">
        <v>2683</v>
      </c>
      <c r="F872" s="1" t="s">
        <v>2689</v>
      </c>
      <c r="G872" s="1">
        <v>24.0</v>
      </c>
      <c r="H872" s="1">
        <v>44.0</v>
      </c>
      <c r="I872" s="1" t="s">
        <v>395</v>
      </c>
      <c r="J872" s="1" t="s">
        <v>2690</v>
      </c>
      <c r="K872" s="1">
        <v>1.0</v>
      </c>
      <c r="L872" s="1" t="s">
        <v>2690</v>
      </c>
    </row>
    <row r="873" hidden="1">
      <c r="A873" s="34">
        <v>25.0</v>
      </c>
      <c r="B873" s="34">
        <v>5.0</v>
      </c>
      <c r="C873" s="34">
        <v>3.0</v>
      </c>
      <c r="D873" s="1" t="s">
        <v>395</v>
      </c>
      <c r="E873" s="1" t="s">
        <v>2691</v>
      </c>
      <c r="F873" s="1" t="s">
        <v>2692</v>
      </c>
      <c r="G873" s="1">
        <v>24.0</v>
      </c>
      <c r="H873" s="1">
        <v>13.0</v>
      </c>
      <c r="I873" s="1" t="s">
        <v>395</v>
      </c>
      <c r="J873" s="1" t="s">
        <v>2691</v>
      </c>
      <c r="K873" s="1">
        <v>1.0</v>
      </c>
      <c r="L873" s="1" t="s">
        <v>2691</v>
      </c>
    </row>
    <row r="874" hidden="1">
      <c r="A874" s="34">
        <v>25.0</v>
      </c>
      <c r="B874" s="34">
        <v>5.0</v>
      </c>
      <c r="C874" s="34">
        <v>4.0</v>
      </c>
      <c r="D874" s="1" t="s">
        <v>395</v>
      </c>
      <c r="E874" s="1" t="s">
        <v>2691</v>
      </c>
      <c r="F874" s="1" t="s">
        <v>2693</v>
      </c>
      <c r="G874" s="1">
        <v>24.0</v>
      </c>
      <c r="H874" s="1">
        <v>58.0</v>
      </c>
      <c r="I874" s="1" t="s">
        <v>395</v>
      </c>
      <c r="J874" s="1" t="s">
        <v>2694</v>
      </c>
      <c r="K874" s="1">
        <v>1.0</v>
      </c>
      <c r="L874" s="1" t="s">
        <v>2694</v>
      </c>
    </row>
    <row r="875" hidden="1">
      <c r="A875" s="34">
        <v>25.0</v>
      </c>
      <c r="B875" s="34">
        <v>5.0</v>
      </c>
      <c r="C875" s="34">
        <v>8.0</v>
      </c>
      <c r="D875" s="1" t="s">
        <v>395</v>
      </c>
      <c r="E875" s="1" t="s">
        <v>2691</v>
      </c>
      <c r="F875" s="1" t="s">
        <v>2695</v>
      </c>
      <c r="G875" s="1">
        <v>24.0</v>
      </c>
      <c r="H875" s="1">
        <v>58.0</v>
      </c>
      <c r="I875" s="1" t="s">
        <v>395</v>
      </c>
      <c r="J875" s="1" t="s">
        <v>2694</v>
      </c>
      <c r="K875" s="1">
        <v>1.0</v>
      </c>
      <c r="L875" s="1" t="s">
        <v>2696</v>
      </c>
    </row>
    <row r="876" hidden="1">
      <c r="A876" s="34">
        <v>25.0</v>
      </c>
      <c r="B876" s="34">
        <v>5.0</v>
      </c>
      <c r="C876" s="34">
        <v>11.0</v>
      </c>
      <c r="D876" s="1" t="s">
        <v>395</v>
      </c>
      <c r="E876" s="1" t="s">
        <v>2691</v>
      </c>
      <c r="F876" s="1" t="s">
        <v>2697</v>
      </c>
      <c r="G876" s="1">
        <v>24.0</v>
      </c>
      <c r="H876" s="1">
        <v>13.0</v>
      </c>
      <c r="I876" s="1" t="s">
        <v>395</v>
      </c>
      <c r="J876" s="1" t="s">
        <v>2691</v>
      </c>
      <c r="K876" s="1">
        <v>162.0</v>
      </c>
      <c r="L876" s="1" t="s">
        <v>2698</v>
      </c>
    </row>
    <row r="877" hidden="1">
      <c r="A877" s="34">
        <v>25.0</v>
      </c>
      <c r="B877" s="34">
        <v>5.0</v>
      </c>
      <c r="C877" s="34">
        <v>12.0</v>
      </c>
      <c r="D877" s="1" t="s">
        <v>395</v>
      </c>
      <c r="E877" s="1" t="s">
        <v>2691</v>
      </c>
      <c r="F877" s="1" t="s">
        <v>2699</v>
      </c>
      <c r="G877" s="1">
        <v>24.0</v>
      </c>
      <c r="H877" s="1">
        <v>36.0</v>
      </c>
      <c r="I877" s="1" t="s">
        <v>395</v>
      </c>
      <c r="J877" s="1" t="s">
        <v>2700</v>
      </c>
      <c r="K877" s="1">
        <v>1.0</v>
      </c>
      <c r="L877" s="1" t="s">
        <v>2700</v>
      </c>
    </row>
    <row r="878" hidden="1">
      <c r="A878" s="34">
        <v>25.0</v>
      </c>
      <c r="B878" s="34">
        <v>5.0</v>
      </c>
      <c r="C878" s="34">
        <v>13.0</v>
      </c>
      <c r="D878" s="1" t="s">
        <v>395</v>
      </c>
      <c r="E878" s="1" t="s">
        <v>2691</v>
      </c>
      <c r="F878" s="1" t="s">
        <v>2701</v>
      </c>
      <c r="G878" s="1">
        <v>24.0</v>
      </c>
      <c r="H878" s="1">
        <v>40.0</v>
      </c>
      <c r="I878" s="1" t="s">
        <v>395</v>
      </c>
      <c r="J878" s="1" t="s">
        <v>2702</v>
      </c>
      <c r="K878" s="1">
        <v>1.0</v>
      </c>
      <c r="L878" s="1" t="s">
        <v>2702</v>
      </c>
    </row>
    <row r="879" hidden="1">
      <c r="A879" s="34">
        <v>25.0</v>
      </c>
      <c r="B879" s="34">
        <v>5.0</v>
      </c>
      <c r="C879" s="34">
        <v>24.0</v>
      </c>
      <c r="D879" s="1" t="s">
        <v>395</v>
      </c>
      <c r="E879" s="1" t="s">
        <v>2691</v>
      </c>
      <c r="F879" s="1" t="s">
        <v>2703</v>
      </c>
      <c r="G879" s="1">
        <v>24.0</v>
      </c>
      <c r="H879" s="1">
        <v>16.0</v>
      </c>
      <c r="I879" s="1" t="s">
        <v>395</v>
      </c>
      <c r="J879" s="1" t="s">
        <v>2704</v>
      </c>
      <c r="K879" s="1">
        <v>1.0</v>
      </c>
      <c r="L879" s="1" t="s">
        <v>2705</v>
      </c>
    </row>
    <row r="880" hidden="1">
      <c r="A880" s="34">
        <v>25.0</v>
      </c>
      <c r="B880" s="34">
        <v>5.0</v>
      </c>
      <c r="C880" s="34">
        <v>29.0</v>
      </c>
      <c r="D880" s="1" t="s">
        <v>395</v>
      </c>
      <c r="E880" s="1" t="s">
        <v>2691</v>
      </c>
      <c r="F880" s="1" t="s">
        <v>2706</v>
      </c>
      <c r="G880" s="1">
        <v>24.0</v>
      </c>
      <c r="H880" s="1">
        <v>3.0</v>
      </c>
      <c r="I880" s="1" t="s">
        <v>395</v>
      </c>
      <c r="J880" s="1" t="s">
        <v>2707</v>
      </c>
      <c r="K880" s="1">
        <v>1.0</v>
      </c>
      <c r="L880" s="1" t="s">
        <v>2707</v>
      </c>
    </row>
    <row r="881" hidden="1">
      <c r="A881" s="34">
        <v>25.0</v>
      </c>
      <c r="B881" s="34">
        <v>5.0</v>
      </c>
      <c r="C881" s="34">
        <v>30.0</v>
      </c>
      <c r="D881" s="1" t="s">
        <v>395</v>
      </c>
      <c r="E881" s="1" t="s">
        <v>2691</v>
      </c>
      <c r="F881" s="1" t="s">
        <v>2708</v>
      </c>
      <c r="G881" s="1">
        <v>24.0</v>
      </c>
      <c r="H881" s="1">
        <v>41.0</v>
      </c>
      <c r="I881" s="1" t="s">
        <v>395</v>
      </c>
      <c r="J881" s="1" t="s">
        <v>2709</v>
      </c>
      <c r="K881" s="1">
        <v>1.0</v>
      </c>
      <c r="L881" s="1" t="s">
        <v>2709</v>
      </c>
    </row>
    <row r="882" hidden="1">
      <c r="A882" s="34">
        <v>25.0</v>
      </c>
      <c r="B882" s="34">
        <v>5.0</v>
      </c>
      <c r="C882" s="34">
        <v>31.0</v>
      </c>
      <c r="D882" s="1" t="s">
        <v>395</v>
      </c>
      <c r="E882" s="1" t="s">
        <v>2691</v>
      </c>
      <c r="F882" s="1" t="s">
        <v>2710</v>
      </c>
      <c r="G882" s="1">
        <v>24.0</v>
      </c>
      <c r="H882" s="1">
        <v>12.0</v>
      </c>
      <c r="I882" s="1" t="s">
        <v>395</v>
      </c>
      <c r="J882" s="1" t="s">
        <v>2711</v>
      </c>
      <c r="K882" s="1">
        <v>1.0</v>
      </c>
      <c r="L882" s="1" t="s">
        <v>2711</v>
      </c>
    </row>
    <row r="883" hidden="1">
      <c r="A883" s="34">
        <v>25.0</v>
      </c>
      <c r="B883" s="34">
        <v>5.0</v>
      </c>
      <c r="C883" s="34">
        <v>34.0</v>
      </c>
      <c r="D883" s="1" t="s">
        <v>395</v>
      </c>
      <c r="E883" s="1" t="s">
        <v>2691</v>
      </c>
      <c r="F883" s="1" t="s">
        <v>2712</v>
      </c>
      <c r="G883" s="1">
        <v>24.0</v>
      </c>
      <c r="H883" s="1">
        <v>39.0</v>
      </c>
      <c r="I883" s="1" t="s">
        <v>395</v>
      </c>
      <c r="J883" s="1" t="s">
        <v>2713</v>
      </c>
      <c r="K883" s="1">
        <v>1.0</v>
      </c>
      <c r="L883" s="1" t="s">
        <v>2713</v>
      </c>
    </row>
    <row r="884" hidden="1">
      <c r="A884" s="34">
        <v>25.0</v>
      </c>
      <c r="B884" s="34">
        <v>5.0</v>
      </c>
      <c r="C884" s="34">
        <v>35.0</v>
      </c>
      <c r="D884" s="1" t="s">
        <v>395</v>
      </c>
      <c r="E884" s="1" t="s">
        <v>2691</v>
      </c>
      <c r="F884" s="1" t="s">
        <v>2714</v>
      </c>
      <c r="G884" s="1">
        <v>24.0</v>
      </c>
      <c r="H884" s="1">
        <v>53.0</v>
      </c>
      <c r="I884" s="1" t="s">
        <v>395</v>
      </c>
      <c r="J884" s="1" t="s">
        <v>2715</v>
      </c>
      <c r="K884" s="1">
        <v>1.0</v>
      </c>
      <c r="L884" s="1" t="s">
        <v>2715</v>
      </c>
    </row>
    <row r="885" hidden="1">
      <c r="A885" s="34">
        <v>25.0</v>
      </c>
      <c r="B885" s="34">
        <v>5.0</v>
      </c>
      <c r="C885" s="34">
        <v>37.0</v>
      </c>
      <c r="D885" s="1" t="s">
        <v>395</v>
      </c>
      <c r="E885" s="1" t="s">
        <v>2691</v>
      </c>
      <c r="F885" s="1" t="s">
        <v>2716</v>
      </c>
      <c r="G885" s="1">
        <v>24.0</v>
      </c>
      <c r="H885" s="1">
        <v>37.0</v>
      </c>
      <c r="I885" s="1" t="s">
        <v>395</v>
      </c>
      <c r="J885" s="1" t="s">
        <v>2717</v>
      </c>
      <c r="K885" s="1">
        <v>1.0</v>
      </c>
      <c r="L885" s="1" t="s">
        <v>2717</v>
      </c>
    </row>
    <row r="886" hidden="1">
      <c r="A886" s="34">
        <v>25.0</v>
      </c>
      <c r="B886" s="34">
        <v>5.0</v>
      </c>
      <c r="C886" s="34">
        <v>48.0</v>
      </c>
      <c r="D886" s="1" t="s">
        <v>395</v>
      </c>
      <c r="E886" s="1" t="s">
        <v>2691</v>
      </c>
      <c r="F886" s="1" t="s">
        <v>2718</v>
      </c>
      <c r="G886" s="1">
        <v>24.0</v>
      </c>
      <c r="H886" s="1">
        <v>13.0</v>
      </c>
      <c r="I886" s="1" t="s">
        <v>395</v>
      </c>
      <c r="J886" s="1" t="s">
        <v>2691</v>
      </c>
      <c r="K886" s="1">
        <v>1.0</v>
      </c>
      <c r="L886" s="1" t="s">
        <v>2691</v>
      </c>
    </row>
    <row r="887" hidden="1">
      <c r="A887" s="34">
        <v>25.0</v>
      </c>
      <c r="B887" s="34">
        <v>60.0</v>
      </c>
      <c r="C887" s="34">
        <v>1.0</v>
      </c>
      <c r="D887" s="1" t="s">
        <v>395</v>
      </c>
      <c r="E887" s="1" t="s">
        <v>2719</v>
      </c>
      <c r="F887" s="1" t="s">
        <v>2720</v>
      </c>
      <c r="G887" s="1">
        <v>24.0</v>
      </c>
      <c r="H887" s="1">
        <v>28.0</v>
      </c>
      <c r="I887" s="1" t="s">
        <v>395</v>
      </c>
      <c r="J887" s="1" t="s">
        <v>395</v>
      </c>
      <c r="K887" s="1">
        <v>1.0</v>
      </c>
      <c r="L887" s="1" t="s">
        <v>395</v>
      </c>
    </row>
    <row r="888" hidden="1">
      <c r="A888" s="34">
        <v>25.0</v>
      </c>
      <c r="B888" s="34">
        <v>60.0</v>
      </c>
      <c r="C888" s="34">
        <v>2.0</v>
      </c>
      <c r="D888" s="1" t="s">
        <v>395</v>
      </c>
      <c r="E888" s="1" t="s">
        <v>2719</v>
      </c>
      <c r="F888" s="1" t="s">
        <v>2721</v>
      </c>
      <c r="G888" s="1">
        <v>24.0</v>
      </c>
      <c r="H888" s="1">
        <v>28.0</v>
      </c>
      <c r="I888" s="1" t="s">
        <v>395</v>
      </c>
      <c r="J888" s="1" t="s">
        <v>395</v>
      </c>
      <c r="K888" s="1">
        <v>1.0</v>
      </c>
      <c r="L888" s="1" t="s">
        <v>395</v>
      </c>
    </row>
    <row r="889" hidden="1">
      <c r="A889" s="34">
        <v>25.0</v>
      </c>
      <c r="B889" s="34">
        <v>60.0</v>
      </c>
      <c r="C889" s="34">
        <v>7.0</v>
      </c>
      <c r="D889" s="1" t="s">
        <v>395</v>
      </c>
      <c r="E889" s="1" t="s">
        <v>2719</v>
      </c>
      <c r="F889" s="1" t="s">
        <v>2722</v>
      </c>
      <c r="G889" s="1">
        <v>24.0</v>
      </c>
      <c r="H889" s="1">
        <v>28.0</v>
      </c>
      <c r="I889" s="1" t="s">
        <v>395</v>
      </c>
      <c r="J889" s="1" t="s">
        <v>395</v>
      </c>
      <c r="K889" s="1">
        <v>1.0</v>
      </c>
      <c r="L889" s="1" t="s">
        <v>395</v>
      </c>
    </row>
    <row r="890" hidden="1">
      <c r="A890" s="34">
        <v>25.0</v>
      </c>
      <c r="B890" s="34">
        <v>60.0</v>
      </c>
      <c r="C890" s="34">
        <v>16.0</v>
      </c>
      <c r="D890" s="1" t="s">
        <v>395</v>
      </c>
      <c r="E890" s="1" t="s">
        <v>2719</v>
      </c>
      <c r="F890" s="1" t="s">
        <v>2723</v>
      </c>
      <c r="G890" s="1">
        <v>24.0</v>
      </c>
      <c r="H890" s="1">
        <v>25.0</v>
      </c>
      <c r="I890" s="1" t="s">
        <v>395</v>
      </c>
      <c r="J890" s="1" t="s">
        <v>2724</v>
      </c>
      <c r="K890" s="1">
        <v>1.0</v>
      </c>
      <c r="L890" s="1" t="s">
        <v>2725</v>
      </c>
    </row>
    <row r="891" hidden="1">
      <c r="A891" s="34">
        <v>25.0</v>
      </c>
      <c r="B891" s="34">
        <v>60.0</v>
      </c>
      <c r="C891" s="34">
        <v>20.0</v>
      </c>
      <c r="D891" s="1" t="s">
        <v>395</v>
      </c>
      <c r="E891" s="1" t="s">
        <v>2719</v>
      </c>
      <c r="F891" s="1" t="s">
        <v>2726</v>
      </c>
      <c r="G891" s="1">
        <v>24.0</v>
      </c>
      <c r="H891" s="1">
        <v>50.0</v>
      </c>
      <c r="I891" s="1" t="s">
        <v>395</v>
      </c>
      <c r="J891" s="1" t="s">
        <v>2727</v>
      </c>
      <c r="K891" s="1">
        <v>1.0</v>
      </c>
      <c r="L891" s="1" t="s">
        <v>2727</v>
      </c>
    </row>
    <row r="892" hidden="1">
      <c r="A892" s="34">
        <v>25.0</v>
      </c>
      <c r="B892" s="34">
        <v>60.0</v>
      </c>
      <c r="C892" s="34">
        <v>40.0</v>
      </c>
      <c r="D892" s="1" t="s">
        <v>395</v>
      </c>
      <c r="E892" s="1" t="s">
        <v>2719</v>
      </c>
      <c r="F892" s="1" t="s">
        <v>2728</v>
      </c>
      <c r="G892" s="1">
        <v>24.0</v>
      </c>
      <c r="H892" s="1">
        <v>45.0</v>
      </c>
      <c r="I892" s="1" t="s">
        <v>395</v>
      </c>
      <c r="J892" s="1" t="s">
        <v>2729</v>
      </c>
      <c r="K892" s="1">
        <v>1.0</v>
      </c>
      <c r="L892" s="1" t="s">
        <v>2729</v>
      </c>
    </row>
    <row r="893" hidden="1">
      <c r="A893" s="34">
        <v>25.0</v>
      </c>
      <c r="B893" s="34">
        <v>60.0</v>
      </c>
      <c r="C893" s="34">
        <v>42.0</v>
      </c>
      <c r="D893" s="1" t="s">
        <v>395</v>
      </c>
      <c r="E893" s="1" t="s">
        <v>2719</v>
      </c>
      <c r="F893" s="1" t="s">
        <v>2730</v>
      </c>
      <c r="G893" s="1">
        <v>24.0</v>
      </c>
      <c r="H893" s="1">
        <v>22.0</v>
      </c>
      <c r="I893" s="1" t="s">
        <v>395</v>
      </c>
      <c r="J893" s="1" t="s">
        <v>2731</v>
      </c>
      <c r="K893" s="1">
        <v>1.0</v>
      </c>
      <c r="L893" s="1" t="s">
        <v>2731</v>
      </c>
    </row>
    <row r="894" hidden="1">
      <c r="A894" s="34">
        <v>25.0</v>
      </c>
      <c r="B894" s="34">
        <v>60.0</v>
      </c>
      <c r="C894" s="34">
        <v>51.0</v>
      </c>
      <c r="D894" s="1" t="s">
        <v>395</v>
      </c>
      <c r="E894" s="1" t="s">
        <v>2719</v>
      </c>
      <c r="F894" s="1" t="s">
        <v>2732</v>
      </c>
      <c r="G894" s="1">
        <v>24.0</v>
      </c>
      <c r="H894" s="1">
        <v>28.0</v>
      </c>
      <c r="I894" s="1" t="s">
        <v>395</v>
      </c>
      <c r="J894" s="1" t="s">
        <v>395</v>
      </c>
      <c r="K894" s="1">
        <v>1.0</v>
      </c>
      <c r="L894" s="1" t="s">
        <v>395</v>
      </c>
    </row>
    <row r="895" hidden="1">
      <c r="A895" s="34">
        <v>26.0</v>
      </c>
      <c r="B895" s="34">
        <v>1.0</v>
      </c>
      <c r="C895" s="34">
        <v>4.0</v>
      </c>
      <c r="D895" s="1" t="s">
        <v>120</v>
      </c>
      <c r="E895" s="1" t="s">
        <v>2733</v>
      </c>
      <c r="F895" s="1" t="s">
        <v>2734</v>
      </c>
      <c r="G895" s="1">
        <v>25.0</v>
      </c>
      <c r="H895" s="1">
        <v>18.0</v>
      </c>
      <c r="I895" s="1" t="s">
        <v>120</v>
      </c>
      <c r="J895" s="1" t="s">
        <v>2735</v>
      </c>
      <c r="K895" s="1">
        <v>1.0</v>
      </c>
      <c r="L895" s="1" t="s">
        <v>2735</v>
      </c>
    </row>
    <row r="896" hidden="1">
      <c r="A896" s="34">
        <v>26.0</v>
      </c>
      <c r="B896" s="34">
        <v>1.0</v>
      </c>
      <c r="C896" s="34">
        <v>10.0</v>
      </c>
      <c r="D896" s="1" t="s">
        <v>120</v>
      </c>
      <c r="E896" s="1" t="s">
        <v>2733</v>
      </c>
      <c r="F896" s="1" t="s">
        <v>2736</v>
      </c>
      <c r="G896" s="1">
        <v>25.0</v>
      </c>
      <c r="H896" s="1">
        <v>18.0</v>
      </c>
      <c r="I896" s="1" t="s">
        <v>120</v>
      </c>
      <c r="J896" s="1" t="s">
        <v>2735</v>
      </c>
      <c r="K896" s="1">
        <v>91.0</v>
      </c>
      <c r="L896" s="1" t="s">
        <v>2737</v>
      </c>
    </row>
    <row r="897" hidden="1">
      <c r="A897" s="34">
        <v>26.0</v>
      </c>
      <c r="B897" s="34">
        <v>1.0</v>
      </c>
      <c r="C897" s="34">
        <v>11.0</v>
      </c>
      <c r="D897" s="1" t="s">
        <v>120</v>
      </c>
      <c r="E897" s="1" t="s">
        <v>2733</v>
      </c>
      <c r="F897" s="1" t="s">
        <v>2738</v>
      </c>
      <c r="G897" s="1">
        <v>25.0</v>
      </c>
      <c r="H897" s="1">
        <v>18.0</v>
      </c>
      <c r="I897" s="1" t="s">
        <v>120</v>
      </c>
      <c r="J897" s="1" t="s">
        <v>2735</v>
      </c>
      <c r="K897" s="1">
        <v>374.0</v>
      </c>
      <c r="L897" s="1" t="s">
        <v>2739</v>
      </c>
    </row>
    <row r="898" hidden="1">
      <c r="A898" s="34">
        <v>26.0</v>
      </c>
      <c r="B898" s="34">
        <v>1.0</v>
      </c>
      <c r="C898" s="34">
        <v>22.0</v>
      </c>
      <c r="D898" s="1" t="s">
        <v>120</v>
      </c>
      <c r="E898" s="1" t="s">
        <v>2733</v>
      </c>
      <c r="F898" s="1" t="s">
        <v>2740</v>
      </c>
      <c r="G898" s="1">
        <v>25.0</v>
      </c>
      <c r="H898" s="1">
        <v>6.0</v>
      </c>
      <c r="I898" s="1" t="s">
        <v>120</v>
      </c>
      <c r="J898" s="1" t="s">
        <v>2733</v>
      </c>
      <c r="K898" s="1">
        <v>341.0</v>
      </c>
      <c r="L898" s="1" t="s">
        <v>2741</v>
      </c>
    </row>
    <row r="899" hidden="1">
      <c r="A899" s="34">
        <v>26.0</v>
      </c>
      <c r="B899" s="34">
        <v>1.0</v>
      </c>
      <c r="C899" s="34">
        <v>24.0</v>
      </c>
      <c r="D899" s="1" t="s">
        <v>120</v>
      </c>
      <c r="E899" s="1" t="s">
        <v>2733</v>
      </c>
      <c r="F899" s="1" t="s">
        <v>2742</v>
      </c>
      <c r="G899" s="1">
        <v>25.0</v>
      </c>
      <c r="H899" s="1">
        <v>18.0</v>
      </c>
      <c r="I899" s="1" t="s">
        <v>120</v>
      </c>
      <c r="J899" s="1" t="s">
        <v>2735</v>
      </c>
      <c r="K899" s="1">
        <v>11.0</v>
      </c>
      <c r="L899" s="1" t="s">
        <v>2743</v>
      </c>
    </row>
    <row r="900" hidden="1">
      <c r="A900" s="34">
        <v>26.0</v>
      </c>
      <c r="B900" s="34">
        <v>1.0</v>
      </c>
      <c r="C900" s="34">
        <v>28.0</v>
      </c>
      <c r="D900" s="1" t="s">
        <v>120</v>
      </c>
      <c r="E900" s="1" t="s">
        <v>2733</v>
      </c>
      <c r="F900" s="1" t="s">
        <v>2744</v>
      </c>
      <c r="G900" s="1">
        <v>25.0</v>
      </c>
      <c r="H900" s="1">
        <v>6.0</v>
      </c>
      <c r="I900" s="1" t="s">
        <v>120</v>
      </c>
      <c r="J900" s="1" t="s">
        <v>2733</v>
      </c>
      <c r="K900" s="1">
        <v>312.0</v>
      </c>
      <c r="L900" s="1" t="s">
        <v>2745</v>
      </c>
    </row>
    <row r="901" hidden="1">
      <c r="A901" s="34">
        <v>26.0</v>
      </c>
      <c r="B901" s="34">
        <v>1.0</v>
      </c>
      <c r="C901" s="34">
        <v>35.0</v>
      </c>
      <c r="D901" s="1" t="s">
        <v>120</v>
      </c>
      <c r="E901" s="1" t="s">
        <v>2733</v>
      </c>
      <c r="F901" s="1" t="s">
        <v>2746</v>
      </c>
      <c r="G901" s="1">
        <v>25.0</v>
      </c>
      <c r="H901" s="1">
        <v>6.0</v>
      </c>
      <c r="I901" s="1" t="s">
        <v>120</v>
      </c>
      <c r="J901" s="1" t="s">
        <v>2733</v>
      </c>
      <c r="K901" s="1">
        <v>1.0</v>
      </c>
      <c r="L901" s="1" t="s">
        <v>2747</v>
      </c>
    </row>
    <row r="902" hidden="1">
      <c r="A902" s="34">
        <v>26.0</v>
      </c>
      <c r="B902" s="34">
        <v>1.0</v>
      </c>
      <c r="C902" s="34">
        <v>36.0</v>
      </c>
      <c r="D902" s="1" t="s">
        <v>120</v>
      </c>
      <c r="E902" s="1" t="s">
        <v>2733</v>
      </c>
      <c r="F902" s="1" t="s">
        <v>2748</v>
      </c>
      <c r="G902" s="1">
        <v>25.0</v>
      </c>
      <c r="H902" s="1">
        <v>6.0</v>
      </c>
      <c r="I902" s="1" t="s">
        <v>120</v>
      </c>
      <c r="J902" s="1" t="s">
        <v>2733</v>
      </c>
      <c r="K902" s="1">
        <v>1.0</v>
      </c>
      <c r="L902" s="1" t="s">
        <v>2747</v>
      </c>
    </row>
    <row r="903" hidden="1">
      <c r="A903" s="34">
        <v>26.0</v>
      </c>
      <c r="B903" s="34">
        <v>1.0</v>
      </c>
      <c r="C903" s="34">
        <v>46.0</v>
      </c>
      <c r="D903" s="1" t="s">
        <v>120</v>
      </c>
      <c r="E903" s="1" t="s">
        <v>2733</v>
      </c>
      <c r="F903" s="1" t="s">
        <v>2749</v>
      </c>
      <c r="G903" s="1">
        <v>25.0</v>
      </c>
      <c r="H903" s="1">
        <v>6.0</v>
      </c>
      <c r="I903" s="1" t="s">
        <v>120</v>
      </c>
      <c r="J903" s="1" t="s">
        <v>2733</v>
      </c>
      <c r="K903" s="1">
        <v>1.0</v>
      </c>
      <c r="L903" s="1" t="s">
        <v>2747</v>
      </c>
    </row>
    <row r="904" hidden="1">
      <c r="A904" s="34">
        <v>26.0</v>
      </c>
      <c r="B904" s="34">
        <v>1.0</v>
      </c>
      <c r="C904" s="34">
        <v>52.0</v>
      </c>
      <c r="D904" s="1" t="s">
        <v>120</v>
      </c>
      <c r="E904" s="1" t="s">
        <v>2733</v>
      </c>
      <c r="F904" s="1" t="s">
        <v>2750</v>
      </c>
      <c r="G904" s="1">
        <v>25.0</v>
      </c>
      <c r="H904" s="1">
        <v>6.0</v>
      </c>
      <c r="I904" s="1" t="s">
        <v>120</v>
      </c>
      <c r="J904" s="1" t="s">
        <v>2733</v>
      </c>
      <c r="K904" s="1">
        <v>1.0</v>
      </c>
      <c r="L904" s="1" t="s">
        <v>2747</v>
      </c>
    </row>
    <row r="905" hidden="1">
      <c r="A905" s="34">
        <v>26.0</v>
      </c>
      <c r="B905" s="34">
        <v>1.0</v>
      </c>
      <c r="C905" s="34">
        <v>53.0</v>
      </c>
      <c r="D905" s="1" t="s">
        <v>120</v>
      </c>
      <c r="E905" s="1" t="s">
        <v>2733</v>
      </c>
      <c r="F905" s="1" t="s">
        <v>2751</v>
      </c>
      <c r="G905" s="1">
        <v>25.0</v>
      </c>
      <c r="H905" s="1">
        <v>6.0</v>
      </c>
      <c r="I905" s="1" t="s">
        <v>120</v>
      </c>
      <c r="J905" s="1" t="s">
        <v>2733</v>
      </c>
      <c r="K905" s="1">
        <v>1.0</v>
      </c>
      <c r="L905" s="1" t="s">
        <v>2752</v>
      </c>
    </row>
    <row r="906" hidden="1">
      <c r="A906" s="34">
        <v>26.0</v>
      </c>
      <c r="B906" s="34">
        <v>1.0</v>
      </c>
      <c r="C906" s="34">
        <v>55.0</v>
      </c>
      <c r="D906" s="1" t="s">
        <v>120</v>
      </c>
      <c r="E906" s="1" t="s">
        <v>2733</v>
      </c>
      <c r="F906" s="1" t="s">
        <v>2753</v>
      </c>
      <c r="G906" s="1">
        <v>25.0</v>
      </c>
      <c r="H906" s="1">
        <v>6.0</v>
      </c>
      <c r="I906" s="1" t="s">
        <v>120</v>
      </c>
      <c r="J906" s="1" t="s">
        <v>2733</v>
      </c>
      <c r="K906" s="1">
        <v>1.0</v>
      </c>
      <c r="L906" s="1" t="s">
        <v>2747</v>
      </c>
    </row>
    <row r="907" hidden="1">
      <c r="A907" s="34">
        <v>26.0</v>
      </c>
      <c r="B907" s="34">
        <v>3.0</v>
      </c>
      <c r="C907" s="34">
        <v>5.0</v>
      </c>
      <c r="D907" s="1" t="s">
        <v>120</v>
      </c>
      <c r="E907" s="1" t="s">
        <v>2754</v>
      </c>
      <c r="F907" s="1" t="s">
        <v>2755</v>
      </c>
      <c r="G907" s="1">
        <v>25.0</v>
      </c>
      <c r="H907" s="1">
        <v>1.0</v>
      </c>
      <c r="I907" s="1" t="s">
        <v>120</v>
      </c>
      <c r="J907" s="1" t="s">
        <v>2756</v>
      </c>
      <c r="K907" s="1">
        <v>240.0</v>
      </c>
      <c r="L907" s="1" t="s">
        <v>2757</v>
      </c>
    </row>
    <row r="908" hidden="1">
      <c r="A908" s="34">
        <v>26.0</v>
      </c>
      <c r="B908" s="34">
        <v>3.0</v>
      </c>
      <c r="C908" s="34">
        <v>6.0</v>
      </c>
      <c r="D908" s="1" t="s">
        <v>120</v>
      </c>
      <c r="E908" s="1" t="s">
        <v>2754</v>
      </c>
      <c r="F908" s="1" t="s">
        <v>2758</v>
      </c>
      <c r="G908" s="1">
        <v>25.0</v>
      </c>
      <c r="H908" s="1">
        <v>1.0</v>
      </c>
      <c r="I908" s="1" t="s">
        <v>120</v>
      </c>
      <c r="J908" s="1" t="s">
        <v>2756</v>
      </c>
      <c r="K908" s="1">
        <v>70.0</v>
      </c>
      <c r="L908" s="1" t="s">
        <v>2756</v>
      </c>
    </row>
    <row r="909" hidden="1">
      <c r="A909" s="34">
        <v>26.0</v>
      </c>
      <c r="B909" s="34">
        <v>3.0</v>
      </c>
      <c r="C909" s="34">
        <v>7.0</v>
      </c>
      <c r="D909" s="1" t="s">
        <v>120</v>
      </c>
      <c r="E909" s="1" t="s">
        <v>2754</v>
      </c>
      <c r="F909" s="1" t="s">
        <v>2759</v>
      </c>
      <c r="G909" s="1">
        <v>25.0</v>
      </c>
      <c r="H909" s="1">
        <v>1.0</v>
      </c>
      <c r="I909" s="1" t="s">
        <v>120</v>
      </c>
      <c r="J909" s="1" t="s">
        <v>2756</v>
      </c>
      <c r="K909" s="1">
        <v>160.0</v>
      </c>
      <c r="L909" s="1" t="s">
        <v>2760</v>
      </c>
    </row>
    <row r="910" hidden="1">
      <c r="A910" s="34">
        <v>26.0</v>
      </c>
      <c r="B910" s="34">
        <v>3.0</v>
      </c>
      <c r="C910" s="34">
        <v>8.0</v>
      </c>
      <c r="D910" s="1" t="s">
        <v>120</v>
      </c>
      <c r="E910" s="1" t="s">
        <v>2754</v>
      </c>
      <c r="F910" s="1" t="s">
        <v>2761</v>
      </c>
      <c r="G910" s="1">
        <v>25.0</v>
      </c>
      <c r="H910" s="1">
        <v>10.0</v>
      </c>
      <c r="I910" s="1" t="s">
        <v>120</v>
      </c>
      <c r="J910" s="1" t="s">
        <v>2762</v>
      </c>
      <c r="K910" s="1">
        <v>133.0</v>
      </c>
      <c r="L910" s="1" t="s">
        <v>2763</v>
      </c>
    </row>
    <row r="911" hidden="1">
      <c r="A911" s="34">
        <v>26.0</v>
      </c>
      <c r="B911" s="34">
        <v>3.0</v>
      </c>
      <c r="C911" s="34">
        <v>12.0</v>
      </c>
      <c r="D911" s="1" t="s">
        <v>120</v>
      </c>
      <c r="E911" s="1" t="s">
        <v>2754</v>
      </c>
      <c r="F911" s="1" t="s">
        <v>2764</v>
      </c>
      <c r="G911" s="1">
        <v>25.0</v>
      </c>
      <c r="H911" s="1">
        <v>10.0</v>
      </c>
      <c r="I911" s="1" t="s">
        <v>120</v>
      </c>
      <c r="J911" s="1" t="s">
        <v>2762</v>
      </c>
      <c r="K911" s="1">
        <v>1.0</v>
      </c>
      <c r="L911" s="1" t="s">
        <v>2762</v>
      </c>
    </row>
    <row r="912" hidden="1">
      <c r="A912" s="34">
        <v>26.0</v>
      </c>
      <c r="B912" s="34">
        <v>3.0</v>
      </c>
      <c r="C912" s="34">
        <v>13.0</v>
      </c>
      <c r="D912" s="1" t="s">
        <v>120</v>
      </c>
      <c r="E912" s="1" t="s">
        <v>2754</v>
      </c>
      <c r="F912" s="1" t="s">
        <v>2765</v>
      </c>
      <c r="G912" s="1">
        <v>25.0</v>
      </c>
      <c r="H912" s="1">
        <v>1.0</v>
      </c>
      <c r="I912" s="1" t="s">
        <v>120</v>
      </c>
      <c r="J912" s="1" t="s">
        <v>2756</v>
      </c>
      <c r="K912" s="1">
        <v>227.0</v>
      </c>
      <c r="L912" s="1" t="s">
        <v>2766</v>
      </c>
    </row>
    <row r="913" hidden="1">
      <c r="A913" s="34">
        <v>26.0</v>
      </c>
      <c r="B913" s="34">
        <v>3.0</v>
      </c>
      <c r="C913" s="34">
        <v>14.0</v>
      </c>
      <c r="D913" s="1" t="s">
        <v>120</v>
      </c>
      <c r="E913" s="1" t="s">
        <v>2754</v>
      </c>
      <c r="F913" s="1" t="s">
        <v>2767</v>
      </c>
      <c r="G913" s="1">
        <v>25.0</v>
      </c>
      <c r="H913" s="1">
        <v>10.0</v>
      </c>
      <c r="I913" s="1" t="s">
        <v>120</v>
      </c>
      <c r="J913" s="1" t="s">
        <v>2762</v>
      </c>
      <c r="K913" s="1">
        <v>1.0</v>
      </c>
      <c r="L913" s="1" t="s">
        <v>2768</v>
      </c>
    </row>
    <row r="914" hidden="1">
      <c r="A914" s="34">
        <v>26.0</v>
      </c>
      <c r="B914" s="34">
        <v>3.0</v>
      </c>
      <c r="C914" s="34">
        <v>17.0</v>
      </c>
      <c r="D914" s="1" t="s">
        <v>120</v>
      </c>
      <c r="E914" s="1" t="s">
        <v>2754</v>
      </c>
      <c r="F914" s="1" t="s">
        <v>2769</v>
      </c>
      <c r="G914" s="1">
        <v>25.0</v>
      </c>
      <c r="H914" s="1">
        <v>7.0</v>
      </c>
      <c r="I914" s="1" t="s">
        <v>120</v>
      </c>
      <c r="J914" s="1" t="s">
        <v>2770</v>
      </c>
      <c r="K914" s="1">
        <v>1.0</v>
      </c>
      <c r="L914" s="1" t="s">
        <v>2770</v>
      </c>
    </row>
    <row r="915" hidden="1">
      <c r="A915" s="34">
        <v>26.0</v>
      </c>
      <c r="B915" s="34">
        <v>3.0</v>
      </c>
      <c r="C915" s="34">
        <v>18.0</v>
      </c>
      <c r="D915" s="1" t="s">
        <v>120</v>
      </c>
      <c r="E915" s="1" t="s">
        <v>2754</v>
      </c>
      <c r="F915" s="1" t="s">
        <v>2771</v>
      </c>
      <c r="G915" s="1">
        <v>25.0</v>
      </c>
      <c r="H915" s="1">
        <v>1.0</v>
      </c>
      <c r="I915" s="1" t="s">
        <v>120</v>
      </c>
      <c r="J915" s="1" t="s">
        <v>2756</v>
      </c>
      <c r="K915" s="1">
        <v>119.0</v>
      </c>
      <c r="L915" s="1" t="s">
        <v>2772</v>
      </c>
    </row>
    <row r="916" hidden="1">
      <c r="A916" s="34">
        <v>26.0</v>
      </c>
      <c r="B916" s="34">
        <v>3.0</v>
      </c>
      <c r="C916" s="34">
        <v>33.0</v>
      </c>
      <c r="D916" s="1" t="s">
        <v>120</v>
      </c>
      <c r="E916" s="1" t="s">
        <v>2754</v>
      </c>
      <c r="F916" s="1" t="s">
        <v>2773</v>
      </c>
      <c r="G916" s="1">
        <v>25.0</v>
      </c>
      <c r="H916" s="1">
        <v>1.0</v>
      </c>
      <c r="I916" s="1" t="s">
        <v>120</v>
      </c>
      <c r="J916" s="1" t="s">
        <v>2756</v>
      </c>
      <c r="K916" s="1">
        <v>156.0</v>
      </c>
      <c r="L916" s="1" t="s">
        <v>2774</v>
      </c>
    </row>
    <row r="917" hidden="1">
      <c r="A917" s="34">
        <v>26.0</v>
      </c>
      <c r="B917" s="34">
        <v>3.0</v>
      </c>
      <c r="C917" s="34">
        <v>37.0</v>
      </c>
      <c r="D917" s="1" t="s">
        <v>120</v>
      </c>
      <c r="E917" s="1" t="s">
        <v>2754</v>
      </c>
      <c r="F917" s="1" t="s">
        <v>2775</v>
      </c>
      <c r="G917" s="1">
        <v>25.0</v>
      </c>
      <c r="H917" s="1">
        <v>1.0</v>
      </c>
      <c r="I917" s="1" t="s">
        <v>120</v>
      </c>
      <c r="J917" s="1" t="s">
        <v>2756</v>
      </c>
      <c r="K917" s="1">
        <v>1.0</v>
      </c>
      <c r="L917" s="1" t="s">
        <v>2754</v>
      </c>
    </row>
    <row r="918" hidden="1">
      <c r="A918" s="34">
        <v>26.0</v>
      </c>
      <c r="B918" s="34">
        <v>3.0</v>
      </c>
      <c r="C918" s="34">
        <v>39.0</v>
      </c>
      <c r="D918" s="1" t="s">
        <v>120</v>
      </c>
      <c r="E918" s="1" t="s">
        <v>2754</v>
      </c>
      <c r="F918" s="1" t="s">
        <v>2776</v>
      </c>
      <c r="G918" s="1">
        <v>25.0</v>
      </c>
      <c r="H918" s="1">
        <v>1.0</v>
      </c>
      <c r="I918" s="1" t="s">
        <v>120</v>
      </c>
      <c r="J918" s="1" t="s">
        <v>2756</v>
      </c>
      <c r="K918" s="1">
        <v>143.0</v>
      </c>
      <c r="L918" s="1" t="s">
        <v>2777</v>
      </c>
    </row>
    <row r="919" hidden="1">
      <c r="A919" s="34">
        <v>26.0</v>
      </c>
      <c r="B919" s="34">
        <v>3.0</v>
      </c>
      <c r="C919" s="34">
        <v>40.0</v>
      </c>
      <c r="D919" s="1" t="s">
        <v>120</v>
      </c>
      <c r="E919" s="1" t="s">
        <v>2754</v>
      </c>
      <c r="F919" s="1" t="s">
        <v>2778</v>
      </c>
      <c r="G919" s="1">
        <v>25.0</v>
      </c>
      <c r="H919" s="1">
        <v>10.0</v>
      </c>
      <c r="I919" s="1" t="s">
        <v>120</v>
      </c>
      <c r="J919" s="1" t="s">
        <v>2762</v>
      </c>
      <c r="K919" s="1">
        <v>102.0</v>
      </c>
      <c r="L919" s="1" t="s">
        <v>2779</v>
      </c>
    </row>
    <row r="920" hidden="1">
      <c r="A920" s="34">
        <v>26.0</v>
      </c>
      <c r="B920" s="34">
        <v>3.0</v>
      </c>
      <c r="C920" s="34">
        <v>43.0</v>
      </c>
      <c r="D920" s="1" t="s">
        <v>120</v>
      </c>
      <c r="E920" s="1" t="s">
        <v>2754</v>
      </c>
      <c r="F920" s="1" t="s">
        <v>2780</v>
      </c>
      <c r="G920" s="1">
        <v>25.0</v>
      </c>
      <c r="H920" s="1">
        <v>10.0</v>
      </c>
      <c r="I920" s="1" t="s">
        <v>120</v>
      </c>
      <c r="J920" s="1" t="s">
        <v>2762</v>
      </c>
      <c r="K920" s="1">
        <v>179.0</v>
      </c>
      <c r="L920" s="1" t="s">
        <v>2781</v>
      </c>
    </row>
    <row r="921" hidden="1">
      <c r="A921" s="34">
        <v>26.0</v>
      </c>
      <c r="B921" s="34">
        <v>4.0</v>
      </c>
      <c r="C921" s="34">
        <v>9.0</v>
      </c>
      <c r="D921" s="1" t="s">
        <v>120</v>
      </c>
      <c r="E921" s="1" t="s">
        <v>2782</v>
      </c>
      <c r="F921" s="1" t="s">
        <v>2783</v>
      </c>
      <c r="G921" s="1">
        <v>25.0</v>
      </c>
      <c r="H921" s="1">
        <v>11.0</v>
      </c>
      <c r="I921" s="1" t="s">
        <v>120</v>
      </c>
      <c r="J921" s="1" t="s">
        <v>2782</v>
      </c>
      <c r="K921" s="1">
        <v>35.0</v>
      </c>
      <c r="L921" s="1" t="s">
        <v>2784</v>
      </c>
    </row>
    <row r="922" hidden="1">
      <c r="A922" s="34">
        <v>26.0</v>
      </c>
      <c r="B922" s="34">
        <v>4.0</v>
      </c>
      <c r="C922" s="34">
        <v>15.0</v>
      </c>
      <c r="D922" s="1" t="s">
        <v>120</v>
      </c>
      <c r="E922" s="1" t="s">
        <v>2782</v>
      </c>
      <c r="F922" s="1" t="s">
        <v>2785</v>
      </c>
      <c r="G922" s="1">
        <v>25.0</v>
      </c>
      <c r="H922" s="1">
        <v>11.0</v>
      </c>
      <c r="I922" s="1" t="s">
        <v>120</v>
      </c>
      <c r="J922" s="1" t="s">
        <v>2782</v>
      </c>
      <c r="K922" s="1">
        <v>138.0</v>
      </c>
      <c r="L922" s="1" t="s">
        <v>2786</v>
      </c>
    </row>
    <row r="923" hidden="1">
      <c r="A923" s="34">
        <v>26.0</v>
      </c>
      <c r="B923" s="34">
        <v>4.0</v>
      </c>
      <c r="C923" s="34">
        <v>19.0</v>
      </c>
      <c r="D923" s="1" t="s">
        <v>120</v>
      </c>
      <c r="E923" s="1" t="s">
        <v>2782</v>
      </c>
      <c r="F923" s="1" t="s">
        <v>2787</v>
      </c>
      <c r="G923" s="1">
        <v>25.0</v>
      </c>
      <c r="H923" s="1">
        <v>11.0</v>
      </c>
      <c r="I923" s="1" t="s">
        <v>120</v>
      </c>
      <c r="J923" s="1" t="s">
        <v>2782</v>
      </c>
      <c r="K923" s="1">
        <v>65.0</v>
      </c>
      <c r="L923" s="1" t="s">
        <v>2788</v>
      </c>
    </row>
    <row r="924" hidden="1">
      <c r="A924" s="34">
        <v>26.0</v>
      </c>
      <c r="B924" s="34">
        <v>4.0</v>
      </c>
      <c r="C924" s="34">
        <v>20.0</v>
      </c>
      <c r="D924" s="1" t="s">
        <v>120</v>
      </c>
      <c r="E924" s="1" t="s">
        <v>2782</v>
      </c>
      <c r="F924" s="1" t="s">
        <v>2789</v>
      </c>
      <c r="G924" s="1">
        <v>25.0</v>
      </c>
      <c r="H924" s="1">
        <v>13.0</v>
      </c>
      <c r="I924" s="1" t="s">
        <v>120</v>
      </c>
      <c r="J924" s="1" t="s">
        <v>2790</v>
      </c>
      <c r="K924" s="1">
        <v>235.0</v>
      </c>
      <c r="L924" s="1" t="s">
        <v>2791</v>
      </c>
    </row>
    <row r="925" hidden="1">
      <c r="A925" s="34">
        <v>26.0</v>
      </c>
      <c r="B925" s="34">
        <v>4.0</v>
      </c>
      <c r="C925" s="34">
        <v>23.0</v>
      </c>
      <c r="D925" s="1" t="s">
        <v>120</v>
      </c>
      <c r="E925" s="1" t="s">
        <v>2782</v>
      </c>
      <c r="F925" s="1" t="s">
        <v>2792</v>
      </c>
      <c r="G925" s="1">
        <v>25.0</v>
      </c>
      <c r="H925" s="1">
        <v>2.0</v>
      </c>
      <c r="I925" s="1" t="s">
        <v>120</v>
      </c>
      <c r="J925" s="1" t="s">
        <v>2793</v>
      </c>
      <c r="K925" s="1">
        <v>93.0</v>
      </c>
      <c r="L925" s="1" t="s">
        <v>2794</v>
      </c>
    </row>
    <row r="926" hidden="1">
      <c r="A926" s="34">
        <v>26.0</v>
      </c>
      <c r="B926" s="34">
        <v>4.0</v>
      </c>
      <c r="C926" s="34">
        <v>25.0</v>
      </c>
      <c r="D926" s="1" t="s">
        <v>120</v>
      </c>
      <c r="E926" s="1" t="s">
        <v>2782</v>
      </c>
      <c r="F926" s="1" t="s">
        <v>2795</v>
      </c>
      <c r="G926" s="1">
        <v>25.0</v>
      </c>
      <c r="H926" s="1">
        <v>11.0</v>
      </c>
      <c r="I926" s="1" t="s">
        <v>120</v>
      </c>
      <c r="J926" s="1" t="s">
        <v>2782</v>
      </c>
      <c r="K926" s="1">
        <v>269.0</v>
      </c>
      <c r="L926" s="1" t="s">
        <v>2796</v>
      </c>
    </row>
    <row r="927" hidden="1">
      <c r="A927" s="34">
        <v>26.0</v>
      </c>
      <c r="B927" s="34">
        <v>4.0</v>
      </c>
      <c r="C927" s="34">
        <v>26.0</v>
      </c>
      <c r="D927" s="1" t="s">
        <v>120</v>
      </c>
      <c r="E927" s="1" t="s">
        <v>2782</v>
      </c>
      <c r="F927" s="1" t="s">
        <v>2797</v>
      </c>
      <c r="G927" s="1">
        <v>25.0</v>
      </c>
      <c r="H927" s="1">
        <v>11.0</v>
      </c>
      <c r="I927" s="1" t="s">
        <v>120</v>
      </c>
      <c r="J927" s="1" t="s">
        <v>2782</v>
      </c>
      <c r="K927" s="1">
        <v>1.0</v>
      </c>
      <c r="L927" s="1" t="s">
        <v>2782</v>
      </c>
    </row>
    <row r="928" hidden="1">
      <c r="A928" s="34">
        <v>26.0</v>
      </c>
      <c r="B928" s="34">
        <v>4.0</v>
      </c>
      <c r="C928" s="34">
        <v>30.0</v>
      </c>
      <c r="D928" s="1" t="s">
        <v>120</v>
      </c>
      <c r="E928" s="1" t="s">
        <v>2782</v>
      </c>
      <c r="F928" s="1" t="s">
        <v>2798</v>
      </c>
      <c r="G928" s="1">
        <v>25.0</v>
      </c>
      <c r="H928" s="1">
        <v>15.0</v>
      </c>
      <c r="I928" s="1" t="s">
        <v>120</v>
      </c>
      <c r="J928" s="1" t="s">
        <v>2799</v>
      </c>
      <c r="K928" s="1">
        <v>1.0</v>
      </c>
      <c r="L928" s="1" t="s">
        <v>2800</v>
      </c>
    </row>
    <row r="929" hidden="1">
      <c r="A929" s="34">
        <v>26.0</v>
      </c>
      <c r="B929" s="34">
        <v>4.0</v>
      </c>
      <c r="C929" s="34">
        <v>32.0</v>
      </c>
      <c r="D929" s="1" t="s">
        <v>120</v>
      </c>
      <c r="E929" s="1" t="s">
        <v>2782</v>
      </c>
      <c r="F929" s="1" t="s">
        <v>2801</v>
      </c>
      <c r="G929" s="1">
        <v>25.0</v>
      </c>
      <c r="H929" s="1">
        <v>11.0</v>
      </c>
      <c r="I929" s="1" t="s">
        <v>120</v>
      </c>
      <c r="J929" s="1" t="s">
        <v>2782</v>
      </c>
      <c r="K929" s="1">
        <v>1.0</v>
      </c>
      <c r="L929" s="1" t="s">
        <v>2782</v>
      </c>
    </row>
    <row r="930" hidden="1">
      <c r="A930" s="34">
        <v>26.0</v>
      </c>
      <c r="B930" s="34">
        <v>4.0</v>
      </c>
      <c r="C930" s="34">
        <v>41.0</v>
      </c>
      <c r="D930" s="1" t="s">
        <v>120</v>
      </c>
      <c r="E930" s="1" t="s">
        <v>2782</v>
      </c>
      <c r="F930" s="1" t="s">
        <v>2802</v>
      </c>
      <c r="G930" s="1">
        <v>25.0</v>
      </c>
      <c r="H930" s="1">
        <v>11.0</v>
      </c>
      <c r="I930" s="1" t="s">
        <v>120</v>
      </c>
      <c r="J930" s="1" t="s">
        <v>2782</v>
      </c>
      <c r="K930" s="1">
        <v>52.0</v>
      </c>
      <c r="L930" s="1" t="s">
        <v>2803</v>
      </c>
    </row>
    <row r="931" hidden="1">
      <c r="A931" s="34">
        <v>26.0</v>
      </c>
      <c r="B931" s="34">
        <v>4.0</v>
      </c>
      <c r="C931" s="34">
        <v>51.0</v>
      </c>
      <c r="D931" s="1" t="s">
        <v>120</v>
      </c>
      <c r="E931" s="1" t="s">
        <v>2782</v>
      </c>
      <c r="F931" s="1" t="s">
        <v>2804</v>
      </c>
      <c r="G931" s="1">
        <v>25.0</v>
      </c>
      <c r="H931" s="1">
        <v>2.0</v>
      </c>
      <c r="I931" s="1" t="s">
        <v>120</v>
      </c>
      <c r="J931" s="1" t="s">
        <v>2793</v>
      </c>
      <c r="K931" s="1">
        <v>1.0</v>
      </c>
      <c r="L931" s="1" t="s">
        <v>2793</v>
      </c>
    </row>
    <row r="932" hidden="1">
      <c r="A932" s="34">
        <v>26.0</v>
      </c>
      <c r="B932" s="34">
        <v>4.0</v>
      </c>
      <c r="C932" s="34">
        <v>54.0</v>
      </c>
      <c r="D932" s="1" t="s">
        <v>120</v>
      </c>
      <c r="E932" s="1" t="s">
        <v>2782</v>
      </c>
      <c r="F932" s="1" t="s">
        <v>2805</v>
      </c>
      <c r="G932" s="1">
        <v>25.0</v>
      </c>
      <c r="H932" s="1">
        <v>13.0</v>
      </c>
      <c r="I932" s="1" t="s">
        <v>120</v>
      </c>
      <c r="J932" s="1" t="s">
        <v>2790</v>
      </c>
      <c r="K932" s="1">
        <v>1.0</v>
      </c>
      <c r="L932" s="1" t="s">
        <v>2790</v>
      </c>
    </row>
    <row r="933" hidden="1">
      <c r="A933" s="34">
        <v>26.0</v>
      </c>
      <c r="B933" s="34">
        <v>5.0</v>
      </c>
      <c r="C933" s="34">
        <v>3.0</v>
      </c>
      <c r="D933" s="1" t="s">
        <v>120</v>
      </c>
      <c r="E933" s="1" t="s">
        <v>2806</v>
      </c>
      <c r="F933" s="1" t="s">
        <v>2807</v>
      </c>
      <c r="G933" s="1">
        <v>25.0</v>
      </c>
      <c r="H933" s="1">
        <v>12.0</v>
      </c>
      <c r="I933" s="1" t="s">
        <v>120</v>
      </c>
      <c r="J933" s="1" t="s">
        <v>2806</v>
      </c>
      <c r="K933" s="1">
        <v>1.0</v>
      </c>
      <c r="L933" s="1" t="s">
        <v>2806</v>
      </c>
    </row>
    <row r="934" hidden="1">
      <c r="A934" s="34">
        <v>26.0</v>
      </c>
      <c r="B934" s="34">
        <v>5.0</v>
      </c>
      <c r="C934" s="34">
        <v>21.0</v>
      </c>
      <c r="D934" s="1" t="s">
        <v>120</v>
      </c>
      <c r="E934" s="1" t="s">
        <v>2806</v>
      </c>
      <c r="F934" s="1" t="s">
        <v>2808</v>
      </c>
      <c r="G934" s="1">
        <v>25.0</v>
      </c>
      <c r="H934" s="1">
        <v>9.0</v>
      </c>
      <c r="I934" s="1" t="s">
        <v>120</v>
      </c>
      <c r="J934" s="1" t="s">
        <v>2809</v>
      </c>
      <c r="K934" s="1">
        <v>1.0</v>
      </c>
      <c r="L934" s="1" t="s">
        <v>2810</v>
      </c>
    </row>
    <row r="935" hidden="1">
      <c r="A935" s="34">
        <v>26.0</v>
      </c>
      <c r="B935" s="34">
        <v>5.0</v>
      </c>
      <c r="C935" s="34">
        <v>27.0</v>
      </c>
      <c r="D935" s="1" t="s">
        <v>120</v>
      </c>
      <c r="E935" s="1" t="s">
        <v>2806</v>
      </c>
      <c r="F935" s="1" t="s">
        <v>2811</v>
      </c>
      <c r="G935" s="1">
        <v>25.0</v>
      </c>
      <c r="H935" s="1">
        <v>16.0</v>
      </c>
      <c r="I935" s="1" t="s">
        <v>120</v>
      </c>
      <c r="J935" s="1" t="s">
        <v>2812</v>
      </c>
      <c r="K935" s="1">
        <v>1.0</v>
      </c>
      <c r="L935" s="1" t="s">
        <v>2812</v>
      </c>
    </row>
    <row r="936" hidden="1">
      <c r="A936" s="34">
        <v>26.0</v>
      </c>
      <c r="B936" s="34">
        <v>5.0</v>
      </c>
      <c r="C936" s="34">
        <v>29.0</v>
      </c>
      <c r="D936" s="1" t="s">
        <v>120</v>
      </c>
      <c r="E936" s="1" t="s">
        <v>2806</v>
      </c>
      <c r="F936" s="1" t="s">
        <v>2813</v>
      </c>
      <c r="G936" s="1">
        <v>25.0</v>
      </c>
      <c r="H936" s="1">
        <v>9.0</v>
      </c>
      <c r="I936" s="1" t="s">
        <v>120</v>
      </c>
      <c r="J936" s="1" t="s">
        <v>2809</v>
      </c>
      <c r="K936" s="1">
        <v>1.0</v>
      </c>
      <c r="L936" s="1" t="s">
        <v>2810</v>
      </c>
    </row>
    <row r="937" hidden="1">
      <c r="A937" s="34">
        <v>26.0</v>
      </c>
      <c r="B937" s="34">
        <v>5.0</v>
      </c>
      <c r="C937" s="34">
        <v>31.0</v>
      </c>
      <c r="D937" s="1" t="s">
        <v>120</v>
      </c>
      <c r="E937" s="1" t="s">
        <v>2806</v>
      </c>
      <c r="F937" s="1" t="s">
        <v>2814</v>
      </c>
      <c r="G937" s="1">
        <v>25.0</v>
      </c>
      <c r="H937" s="1">
        <v>14.0</v>
      </c>
      <c r="I937" s="1" t="s">
        <v>120</v>
      </c>
      <c r="J937" s="1" t="s">
        <v>2815</v>
      </c>
      <c r="K937" s="1">
        <v>1.0</v>
      </c>
      <c r="L937" s="1" t="s">
        <v>2816</v>
      </c>
    </row>
    <row r="938" hidden="1">
      <c r="A938" s="34">
        <v>26.0</v>
      </c>
      <c r="B938" s="34">
        <v>5.0</v>
      </c>
      <c r="C938" s="34">
        <v>34.0</v>
      </c>
      <c r="D938" s="1" t="s">
        <v>120</v>
      </c>
      <c r="E938" s="1" t="s">
        <v>2806</v>
      </c>
      <c r="F938" s="1" t="s">
        <v>2817</v>
      </c>
      <c r="G938" s="1">
        <v>25.0</v>
      </c>
      <c r="H938" s="1">
        <v>12.0</v>
      </c>
      <c r="I938" s="1" t="s">
        <v>120</v>
      </c>
      <c r="J938" s="1" t="s">
        <v>2806</v>
      </c>
      <c r="K938" s="1">
        <v>249.0</v>
      </c>
      <c r="L938" s="1" t="s">
        <v>2818</v>
      </c>
    </row>
    <row r="939" hidden="1">
      <c r="A939" s="34">
        <v>26.0</v>
      </c>
      <c r="B939" s="34">
        <v>5.0</v>
      </c>
      <c r="C939" s="34">
        <v>38.0</v>
      </c>
      <c r="D939" s="1" t="s">
        <v>120</v>
      </c>
      <c r="E939" s="1" t="s">
        <v>2806</v>
      </c>
      <c r="F939" s="1" t="s">
        <v>2819</v>
      </c>
      <c r="G939" s="1">
        <v>25.0</v>
      </c>
      <c r="H939" s="1">
        <v>4.0</v>
      </c>
      <c r="I939" s="1" t="s">
        <v>120</v>
      </c>
      <c r="J939" s="1" t="s">
        <v>2820</v>
      </c>
      <c r="K939" s="1">
        <v>1.0</v>
      </c>
      <c r="L939" s="1" t="s">
        <v>2820</v>
      </c>
    </row>
    <row r="940" hidden="1">
      <c r="A940" s="34">
        <v>26.0</v>
      </c>
      <c r="B940" s="34">
        <v>5.0</v>
      </c>
      <c r="C940" s="34">
        <v>45.0</v>
      </c>
      <c r="D940" s="1" t="s">
        <v>120</v>
      </c>
      <c r="E940" s="1" t="s">
        <v>2806</v>
      </c>
      <c r="F940" s="1" t="s">
        <v>2821</v>
      </c>
      <c r="G940" s="1">
        <v>25.0</v>
      </c>
      <c r="H940" s="1">
        <v>12.0</v>
      </c>
      <c r="I940" s="1" t="s">
        <v>120</v>
      </c>
      <c r="J940" s="1" t="s">
        <v>2806</v>
      </c>
      <c r="K940" s="1">
        <v>1.0</v>
      </c>
      <c r="L940" s="1" t="s">
        <v>2806</v>
      </c>
    </row>
    <row r="941" hidden="1">
      <c r="A941" s="34">
        <v>26.0</v>
      </c>
      <c r="B941" s="34">
        <v>5.0</v>
      </c>
      <c r="C941" s="34">
        <v>50.0</v>
      </c>
      <c r="D941" s="1" t="s">
        <v>120</v>
      </c>
      <c r="E941" s="1" t="s">
        <v>2806</v>
      </c>
      <c r="F941" s="1" t="s">
        <v>2822</v>
      </c>
      <c r="G941" s="1">
        <v>25.0</v>
      </c>
      <c r="H941" s="1">
        <v>5.0</v>
      </c>
      <c r="I941" s="1" t="s">
        <v>120</v>
      </c>
      <c r="J941" s="1" t="s">
        <v>2823</v>
      </c>
      <c r="K941" s="1">
        <v>1.0</v>
      </c>
      <c r="L941" s="1" t="s">
        <v>2823</v>
      </c>
    </row>
    <row r="942" hidden="1">
      <c r="A942" s="34">
        <v>26.0</v>
      </c>
      <c r="B942" s="34">
        <v>5.0</v>
      </c>
      <c r="C942" s="34">
        <v>56.0</v>
      </c>
      <c r="D942" s="1" t="s">
        <v>120</v>
      </c>
      <c r="E942" s="1" t="s">
        <v>2806</v>
      </c>
      <c r="F942" s="1" t="s">
        <v>2824</v>
      </c>
      <c r="G942" s="1">
        <v>25.0</v>
      </c>
      <c r="H942" s="1">
        <v>12.0</v>
      </c>
      <c r="I942" s="1" t="s">
        <v>120</v>
      </c>
      <c r="J942" s="1" t="s">
        <v>2806</v>
      </c>
      <c r="K942" s="1">
        <v>1026.0</v>
      </c>
      <c r="L942" s="1" t="s">
        <v>2825</v>
      </c>
    </row>
    <row r="943" hidden="1">
      <c r="A943" s="34">
        <v>27.0</v>
      </c>
      <c r="B943" s="34">
        <v>1.0</v>
      </c>
      <c r="C943" s="34">
        <v>2.0</v>
      </c>
      <c r="D943" s="1" t="s">
        <v>121</v>
      </c>
      <c r="E943" s="1" t="s">
        <v>2826</v>
      </c>
      <c r="F943" s="1" t="s">
        <v>2827</v>
      </c>
      <c r="G943" s="1">
        <v>26.0</v>
      </c>
      <c r="H943" s="1">
        <v>30.0</v>
      </c>
      <c r="I943" s="1" t="s">
        <v>121</v>
      </c>
      <c r="J943" s="1" t="s">
        <v>2826</v>
      </c>
      <c r="K943" s="1">
        <v>1.0</v>
      </c>
      <c r="L943" s="1" t="s">
        <v>2826</v>
      </c>
    </row>
    <row r="944" hidden="1">
      <c r="A944" s="34">
        <v>27.0</v>
      </c>
      <c r="B944" s="34">
        <v>1.0</v>
      </c>
      <c r="C944" s="34">
        <v>6.0</v>
      </c>
      <c r="D944" s="1" t="s">
        <v>121</v>
      </c>
      <c r="E944" s="1" t="s">
        <v>2826</v>
      </c>
      <c r="F944" s="1" t="s">
        <v>2828</v>
      </c>
      <c r="G944" s="1">
        <v>26.0</v>
      </c>
      <c r="H944" s="1">
        <v>30.0</v>
      </c>
      <c r="I944" s="1" t="s">
        <v>121</v>
      </c>
      <c r="J944" s="1" t="s">
        <v>2826</v>
      </c>
      <c r="K944" s="1">
        <v>1.0</v>
      </c>
      <c r="L944" s="1" t="s">
        <v>2826</v>
      </c>
    </row>
    <row r="945" hidden="1">
      <c r="A945" s="34">
        <v>27.0</v>
      </c>
      <c r="B945" s="34">
        <v>1.0</v>
      </c>
      <c r="C945" s="34">
        <v>25.0</v>
      </c>
      <c r="D945" s="1" t="s">
        <v>121</v>
      </c>
      <c r="E945" s="1" t="s">
        <v>2826</v>
      </c>
      <c r="F945" s="1" t="s">
        <v>2829</v>
      </c>
      <c r="G945" s="1">
        <v>26.0</v>
      </c>
      <c r="H945" s="1">
        <v>66.0</v>
      </c>
      <c r="I945" s="1" t="s">
        <v>121</v>
      </c>
      <c r="J945" s="1" t="s">
        <v>2830</v>
      </c>
      <c r="K945" s="1">
        <v>1.0</v>
      </c>
      <c r="L945" s="1" t="s">
        <v>2831</v>
      </c>
    </row>
    <row r="946" hidden="1">
      <c r="A946" s="34">
        <v>27.0</v>
      </c>
      <c r="B946" s="34">
        <v>1.0</v>
      </c>
      <c r="C946" s="34">
        <v>37.0</v>
      </c>
      <c r="D946" s="1" t="s">
        <v>121</v>
      </c>
      <c r="E946" s="1" t="s">
        <v>2826</v>
      </c>
      <c r="F946" s="1" t="s">
        <v>2832</v>
      </c>
      <c r="G946" s="1">
        <v>26.0</v>
      </c>
      <c r="H946" s="1">
        <v>30.0</v>
      </c>
      <c r="I946" s="1" t="s">
        <v>121</v>
      </c>
      <c r="J946" s="1" t="s">
        <v>2826</v>
      </c>
      <c r="K946" s="1">
        <v>1.0</v>
      </c>
      <c r="L946" s="1" t="s">
        <v>2826</v>
      </c>
    </row>
    <row r="947" hidden="1">
      <c r="A947" s="34">
        <v>27.0</v>
      </c>
      <c r="B947" s="34">
        <v>1.0</v>
      </c>
      <c r="C947" s="34">
        <v>46.0</v>
      </c>
      <c r="D947" s="1" t="s">
        <v>121</v>
      </c>
      <c r="E947" s="1" t="s">
        <v>2826</v>
      </c>
      <c r="F947" s="1" t="s">
        <v>2833</v>
      </c>
      <c r="G947" s="1">
        <v>26.0</v>
      </c>
      <c r="H947" s="1">
        <v>52.0</v>
      </c>
      <c r="I947" s="1" t="s">
        <v>121</v>
      </c>
      <c r="J947" s="1" t="s">
        <v>2834</v>
      </c>
      <c r="K947" s="1">
        <v>1.0</v>
      </c>
      <c r="L947" s="1" t="s">
        <v>2834</v>
      </c>
    </row>
    <row r="948" hidden="1">
      <c r="A948" s="34">
        <v>27.0</v>
      </c>
      <c r="B948" s="34">
        <v>1.0</v>
      </c>
      <c r="C948" s="34">
        <v>47.0</v>
      </c>
      <c r="D948" s="1" t="s">
        <v>121</v>
      </c>
      <c r="E948" s="1" t="s">
        <v>2826</v>
      </c>
      <c r="F948" s="1" t="s">
        <v>2835</v>
      </c>
      <c r="G948" s="1">
        <v>26.0</v>
      </c>
      <c r="H948" s="1">
        <v>1.0</v>
      </c>
      <c r="I948" s="1" t="s">
        <v>121</v>
      </c>
      <c r="J948" s="1" t="s">
        <v>2836</v>
      </c>
      <c r="K948" s="1">
        <v>1.0</v>
      </c>
      <c r="L948" s="1" t="s">
        <v>2836</v>
      </c>
    </row>
    <row r="949" hidden="1">
      <c r="A949" s="34">
        <v>27.0</v>
      </c>
      <c r="B949" s="34">
        <v>1.0</v>
      </c>
      <c r="C949" s="34">
        <v>51.0</v>
      </c>
      <c r="D949" s="1" t="s">
        <v>121</v>
      </c>
      <c r="E949" s="1" t="s">
        <v>2826</v>
      </c>
      <c r="F949" s="1" t="s">
        <v>2837</v>
      </c>
      <c r="G949" s="1">
        <v>26.0</v>
      </c>
      <c r="H949" s="1">
        <v>47.0</v>
      </c>
      <c r="I949" s="1" t="s">
        <v>121</v>
      </c>
      <c r="J949" s="1" t="s">
        <v>2838</v>
      </c>
      <c r="K949" s="1">
        <v>65.0</v>
      </c>
      <c r="L949" s="1" t="s">
        <v>2839</v>
      </c>
    </row>
    <row r="950" hidden="1">
      <c r="A950" s="34">
        <v>27.0</v>
      </c>
      <c r="B950" s="34">
        <v>1.0</v>
      </c>
      <c r="C950" s="34">
        <v>63.0</v>
      </c>
      <c r="D950" s="1" t="s">
        <v>121</v>
      </c>
      <c r="E950" s="1" t="s">
        <v>2826</v>
      </c>
      <c r="F950" s="1" t="s">
        <v>2840</v>
      </c>
      <c r="G950" s="1">
        <v>26.0</v>
      </c>
      <c r="H950" s="1">
        <v>30.0</v>
      </c>
      <c r="I950" s="1" t="s">
        <v>121</v>
      </c>
      <c r="J950" s="1" t="s">
        <v>2826</v>
      </c>
      <c r="K950" s="1">
        <v>1.0</v>
      </c>
      <c r="L950" s="1" t="s">
        <v>2826</v>
      </c>
    </row>
    <row r="951" hidden="1">
      <c r="A951" s="34">
        <v>27.0</v>
      </c>
      <c r="B951" s="34">
        <v>1.0</v>
      </c>
      <c r="C951" s="34">
        <v>65.0</v>
      </c>
      <c r="D951" s="1" t="s">
        <v>121</v>
      </c>
      <c r="E951" s="1" t="s">
        <v>2826</v>
      </c>
      <c r="F951" s="1" t="s">
        <v>2841</v>
      </c>
      <c r="G951" s="1">
        <v>26.0</v>
      </c>
      <c r="H951" s="1">
        <v>30.0</v>
      </c>
      <c r="I951" s="1" t="s">
        <v>121</v>
      </c>
      <c r="J951" s="1" t="s">
        <v>2826</v>
      </c>
      <c r="K951" s="1">
        <v>1.0</v>
      </c>
      <c r="L951" s="1" t="s">
        <v>2826</v>
      </c>
    </row>
    <row r="952" hidden="1">
      <c r="A952" s="34">
        <v>27.0</v>
      </c>
      <c r="B952" s="34">
        <v>1.0</v>
      </c>
      <c r="C952" s="34">
        <v>68.0</v>
      </c>
      <c r="D952" s="1" t="s">
        <v>121</v>
      </c>
      <c r="E952" s="1" t="s">
        <v>2826</v>
      </c>
      <c r="F952" s="1" t="s">
        <v>2842</v>
      </c>
      <c r="G952" s="1">
        <v>26.0</v>
      </c>
      <c r="H952" s="1">
        <v>30.0</v>
      </c>
      <c r="I952" s="1" t="s">
        <v>121</v>
      </c>
      <c r="J952" s="1" t="s">
        <v>2826</v>
      </c>
      <c r="K952" s="1">
        <v>1.0</v>
      </c>
      <c r="L952" s="1" t="s">
        <v>2826</v>
      </c>
    </row>
    <row r="953" hidden="1">
      <c r="A953" s="34">
        <v>27.0</v>
      </c>
      <c r="B953" s="34">
        <v>3.0</v>
      </c>
      <c r="C953" s="34">
        <v>4.0</v>
      </c>
      <c r="D953" s="1" t="s">
        <v>121</v>
      </c>
      <c r="E953" s="1" t="s">
        <v>2843</v>
      </c>
      <c r="F953" s="1" t="s">
        <v>2844</v>
      </c>
      <c r="G953" s="1">
        <v>26.0</v>
      </c>
      <c r="H953" s="1">
        <v>29.0</v>
      </c>
      <c r="I953" s="1" t="s">
        <v>121</v>
      </c>
      <c r="J953" s="1" t="s">
        <v>2843</v>
      </c>
      <c r="K953" s="1">
        <v>1.0</v>
      </c>
      <c r="L953" s="1" t="s">
        <v>2845</v>
      </c>
    </row>
    <row r="954" hidden="1">
      <c r="A954" s="34">
        <v>27.0</v>
      </c>
      <c r="B954" s="34">
        <v>3.0</v>
      </c>
      <c r="C954" s="34">
        <v>13.0</v>
      </c>
      <c r="D954" s="1" t="s">
        <v>121</v>
      </c>
      <c r="E954" s="1" t="s">
        <v>2843</v>
      </c>
      <c r="F954" s="1" t="s">
        <v>2846</v>
      </c>
      <c r="G954" s="1">
        <v>26.0</v>
      </c>
      <c r="H954" s="1">
        <v>29.0</v>
      </c>
      <c r="I954" s="1" t="s">
        <v>121</v>
      </c>
      <c r="J954" s="1" t="s">
        <v>2843</v>
      </c>
      <c r="K954" s="1">
        <v>1.0</v>
      </c>
      <c r="L954" s="1" t="s">
        <v>2847</v>
      </c>
    </row>
    <row r="955" hidden="1">
      <c r="A955" s="34">
        <v>27.0</v>
      </c>
      <c r="B955" s="34">
        <v>3.0</v>
      </c>
      <c r="C955" s="34">
        <v>54.0</v>
      </c>
      <c r="D955" s="1" t="s">
        <v>121</v>
      </c>
      <c r="E955" s="1" t="s">
        <v>2843</v>
      </c>
      <c r="F955" s="1" t="s">
        <v>2848</v>
      </c>
      <c r="G955" s="1">
        <v>26.0</v>
      </c>
      <c r="H955" s="1">
        <v>25.0</v>
      </c>
      <c r="I955" s="1" t="s">
        <v>121</v>
      </c>
      <c r="J955" s="1" t="s">
        <v>2849</v>
      </c>
      <c r="K955" s="1">
        <v>1.0</v>
      </c>
      <c r="L955" s="1" t="s">
        <v>2849</v>
      </c>
    </row>
    <row r="956" hidden="1">
      <c r="A956" s="34">
        <v>27.0</v>
      </c>
      <c r="B956" s="34">
        <v>3.0</v>
      </c>
      <c r="C956" s="34">
        <v>56.0</v>
      </c>
      <c r="D956" s="1" t="s">
        <v>121</v>
      </c>
      <c r="E956" s="1" t="s">
        <v>2843</v>
      </c>
      <c r="F956" s="1" t="s">
        <v>2850</v>
      </c>
      <c r="G956" s="1">
        <v>26.0</v>
      </c>
      <c r="H956" s="1">
        <v>29.0</v>
      </c>
      <c r="I956" s="1" t="s">
        <v>121</v>
      </c>
      <c r="J956" s="1" t="s">
        <v>2843</v>
      </c>
      <c r="K956" s="1">
        <v>1.0</v>
      </c>
      <c r="L956" s="1" t="s">
        <v>2845</v>
      </c>
    </row>
    <row r="957" hidden="1">
      <c r="A957" s="34">
        <v>27.0</v>
      </c>
      <c r="B957" s="34">
        <v>7.0</v>
      </c>
      <c r="C957" s="34">
        <v>7.0</v>
      </c>
      <c r="D957" s="1" t="s">
        <v>121</v>
      </c>
      <c r="E957" s="1" t="s">
        <v>2851</v>
      </c>
      <c r="F957" s="1" t="s">
        <v>2852</v>
      </c>
      <c r="G957" s="1">
        <v>26.0</v>
      </c>
      <c r="H957" s="1">
        <v>33.0</v>
      </c>
      <c r="I957" s="1" t="s">
        <v>121</v>
      </c>
      <c r="J957" s="1" t="s">
        <v>2853</v>
      </c>
      <c r="K957" s="1">
        <v>1.0</v>
      </c>
      <c r="L957" s="1" t="s">
        <v>2853</v>
      </c>
    </row>
    <row r="958" hidden="1">
      <c r="A958" s="34">
        <v>27.0</v>
      </c>
      <c r="B958" s="34">
        <v>7.0</v>
      </c>
      <c r="C958" s="34">
        <v>14.0</v>
      </c>
      <c r="D958" s="1" t="s">
        <v>121</v>
      </c>
      <c r="E958" s="1" t="s">
        <v>2851</v>
      </c>
      <c r="F958" s="1" t="s">
        <v>2854</v>
      </c>
      <c r="G958" s="1">
        <v>26.0</v>
      </c>
      <c r="H958" s="1">
        <v>26.0</v>
      </c>
      <c r="I958" s="1" t="s">
        <v>121</v>
      </c>
      <c r="J958" s="1" t="s">
        <v>2855</v>
      </c>
      <c r="K958" s="1">
        <v>11.0</v>
      </c>
      <c r="L958" s="1" t="s">
        <v>2856</v>
      </c>
    </row>
    <row r="959" hidden="1">
      <c r="A959" s="34">
        <v>27.0</v>
      </c>
      <c r="B959" s="34">
        <v>7.0</v>
      </c>
      <c r="C959" s="34">
        <v>15.0</v>
      </c>
      <c r="D959" s="1" t="s">
        <v>121</v>
      </c>
      <c r="E959" s="1" t="s">
        <v>2851</v>
      </c>
      <c r="F959" s="1" t="s">
        <v>2857</v>
      </c>
      <c r="G959" s="1">
        <v>26.0</v>
      </c>
      <c r="H959" s="1">
        <v>26.0</v>
      </c>
      <c r="I959" s="1" t="s">
        <v>121</v>
      </c>
      <c r="J959" s="1" t="s">
        <v>2855</v>
      </c>
      <c r="K959" s="1">
        <v>1.0</v>
      </c>
      <c r="L959" s="1" t="s">
        <v>2855</v>
      </c>
    </row>
    <row r="960" hidden="1">
      <c r="A960" s="34">
        <v>27.0</v>
      </c>
      <c r="B960" s="34">
        <v>7.0</v>
      </c>
      <c r="C960" s="34">
        <v>16.0</v>
      </c>
      <c r="D960" s="1" t="s">
        <v>121</v>
      </c>
      <c r="E960" s="1" t="s">
        <v>2851</v>
      </c>
      <c r="F960" s="1" t="s">
        <v>2858</v>
      </c>
      <c r="G960" s="1">
        <v>26.0</v>
      </c>
      <c r="H960" s="1">
        <v>26.0</v>
      </c>
      <c r="I960" s="1" t="s">
        <v>121</v>
      </c>
      <c r="J960" s="1" t="s">
        <v>2855</v>
      </c>
      <c r="K960" s="1">
        <v>1.0</v>
      </c>
      <c r="L960" s="1" t="s">
        <v>2855</v>
      </c>
    </row>
    <row r="961" hidden="1">
      <c r="A961" s="34">
        <v>27.0</v>
      </c>
      <c r="B961" s="34">
        <v>7.0</v>
      </c>
      <c r="C961" s="34">
        <v>20.0</v>
      </c>
      <c r="D961" s="1" t="s">
        <v>121</v>
      </c>
      <c r="E961" s="1" t="s">
        <v>2851</v>
      </c>
      <c r="F961" s="1" t="s">
        <v>2859</v>
      </c>
      <c r="G961" s="1">
        <v>26.0</v>
      </c>
      <c r="H961" s="1">
        <v>33.0</v>
      </c>
      <c r="I961" s="1" t="s">
        <v>121</v>
      </c>
      <c r="J961" s="1" t="s">
        <v>2853</v>
      </c>
      <c r="K961" s="1">
        <v>52.0</v>
      </c>
      <c r="L961" s="1" t="s">
        <v>2860</v>
      </c>
    </row>
    <row r="962" hidden="1">
      <c r="A962" s="34">
        <v>27.0</v>
      </c>
      <c r="B962" s="34">
        <v>7.0</v>
      </c>
      <c r="C962" s="34">
        <v>26.0</v>
      </c>
      <c r="D962" s="1" t="s">
        <v>121</v>
      </c>
      <c r="E962" s="1" t="s">
        <v>2851</v>
      </c>
      <c r="F962" s="1" t="s">
        <v>2861</v>
      </c>
      <c r="G962" s="1">
        <v>26.0</v>
      </c>
      <c r="H962" s="1">
        <v>33.0</v>
      </c>
      <c r="I962" s="1" t="s">
        <v>121</v>
      </c>
      <c r="J962" s="1" t="s">
        <v>2853</v>
      </c>
      <c r="K962" s="1">
        <v>99.0</v>
      </c>
      <c r="L962" s="1" t="s">
        <v>2862</v>
      </c>
    </row>
    <row r="963" hidden="1">
      <c r="A963" s="34">
        <v>27.0</v>
      </c>
      <c r="B963" s="34">
        <v>7.0</v>
      </c>
      <c r="C963" s="34">
        <v>40.0</v>
      </c>
      <c r="D963" s="1" t="s">
        <v>121</v>
      </c>
      <c r="E963" s="1" t="s">
        <v>2851</v>
      </c>
      <c r="F963" s="1" t="s">
        <v>2863</v>
      </c>
      <c r="G963" s="1">
        <v>26.0</v>
      </c>
      <c r="H963" s="1">
        <v>33.0</v>
      </c>
      <c r="I963" s="1" t="s">
        <v>121</v>
      </c>
      <c r="J963" s="1" t="s">
        <v>2853</v>
      </c>
      <c r="K963" s="1">
        <v>40.0</v>
      </c>
      <c r="L963" s="1" t="s">
        <v>2864</v>
      </c>
    </row>
    <row r="964" hidden="1">
      <c r="A964" s="34">
        <v>27.0</v>
      </c>
      <c r="B964" s="34">
        <v>7.0</v>
      </c>
      <c r="C964" s="34">
        <v>42.0</v>
      </c>
      <c r="D964" s="1" t="s">
        <v>121</v>
      </c>
      <c r="E964" s="1" t="s">
        <v>2851</v>
      </c>
      <c r="F964" s="1" t="s">
        <v>2865</v>
      </c>
      <c r="G964" s="1">
        <v>26.0</v>
      </c>
      <c r="H964" s="1">
        <v>3.0</v>
      </c>
      <c r="I964" s="1" t="s">
        <v>121</v>
      </c>
      <c r="J964" s="1" t="s">
        <v>2866</v>
      </c>
      <c r="K964" s="1">
        <v>1.0</v>
      </c>
      <c r="L964" s="1" t="s">
        <v>2866</v>
      </c>
    </row>
    <row r="965" hidden="1">
      <c r="A965" s="34">
        <v>27.0</v>
      </c>
      <c r="B965" s="34">
        <v>7.0</v>
      </c>
      <c r="C965" s="34">
        <v>57.0</v>
      </c>
      <c r="D965" s="1" t="s">
        <v>121</v>
      </c>
      <c r="E965" s="1" t="s">
        <v>2851</v>
      </c>
      <c r="F965" s="1" t="s">
        <v>2867</v>
      </c>
      <c r="G965" s="1">
        <v>26.0</v>
      </c>
      <c r="H965" s="1">
        <v>42.0</v>
      </c>
      <c r="I965" s="1" t="s">
        <v>121</v>
      </c>
      <c r="J965" s="1" t="s">
        <v>2851</v>
      </c>
      <c r="K965" s="1">
        <v>1.0</v>
      </c>
      <c r="L965" s="1" t="s">
        <v>2851</v>
      </c>
    </row>
    <row r="966" hidden="1">
      <c r="A966" s="34">
        <v>27.0</v>
      </c>
      <c r="B966" s="34">
        <v>7.0</v>
      </c>
      <c r="C966" s="34">
        <v>59.0</v>
      </c>
      <c r="D966" s="1" t="s">
        <v>121</v>
      </c>
      <c r="E966" s="1" t="s">
        <v>2851</v>
      </c>
      <c r="F966" s="1" t="s">
        <v>2868</v>
      </c>
      <c r="G966" s="1">
        <v>26.0</v>
      </c>
      <c r="H966" s="1">
        <v>42.0</v>
      </c>
      <c r="I966" s="1" t="s">
        <v>121</v>
      </c>
      <c r="J966" s="1" t="s">
        <v>2851</v>
      </c>
      <c r="K966" s="1">
        <v>1.0</v>
      </c>
      <c r="L966" s="1" t="s">
        <v>2851</v>
      </c>
    </row>
    <row r="967" hidden="1">
      <c r="A967" s="34">
        <v>27.0</v>
      </c>
      <c r="B967" s="34">
        <v>7.0</v>
      </c>
      <c r="C967" s="34">
        <v>60.0</v>
      </c>
      <c r="D967" s="1" t="s">
        <v>121</v>
      </c>
      <c r="E967" s="1" t="s">
        <v>2851</v>
      </c>
      <c r="F967" s="1" t="s">
        <v>2869</v>
      </c>
      <c r="G967" s="1">
        <v>26.0</v>
      </c>
      <c r="H967" s="1">
        <v>42.0</v>
      </c>
      <c r="I967" s="1" t="s">
        <v>121</v>
      </c>
      <c r="J967" s="1" t="s">
        <v>2851</v>
      </c>
      <c r="K967" s="1">
        <v>1.0</v>
      </c>
      <c r="L967" s="1" t="s">
        <v>2851</v>
      </c>
    </row>
    <row r="968" hidden="1">
      <c r="A968" s="34">
        <v>27.0</v>
      </c>
      <c r="B968" s="34">
        <v>7.0</v>
      </c>
      <c r="C968" s="34">
        <v>61.0</v>
      </c>
      <c r="D968" s="1" t="s">
        <v>121</v>
      </c>
      <c r="E968" s="1" t="s">
        <v>2851</v>
      </c>
      <c r="F968" s="1" t="s">
        <v>2870</v>
      </c>
      <c r="G968" s="1">
        <v>26.0</v>
      </c>
      <c r="H968" s="1">
        <v>42.0</v>
      </c>
      <c r="I968" s="1" t="s">
        <v>121</v>
      </c>
      <c r="J968" s="1" t="s">
        <v>2851</v>
      </c>
      <c r="K968" s="1">
        <v>1.0</v>
      </c>
      <c r="L968" s="1" t="s">
        <v>2851</v>
      </c>
    </row>
    <row r="969" hidden="1">
      <c r="A969" s="34">
        <v>27.0</v>
      </c>
      <c r="B969" s="34">
        <v>7.0</v>
      </c>
      <c r="C969" s="34">
        <v>62.0</v>
      </c>
      <c r="D969" s="1" t="s">
        <v>121</v>
      </c>
      <c r="E969" s="1" t="s">
        <v>2851</v>
      </c>
      <c r="F969" s="1" t="s">
        <v>2871</v>
      </c>
      <c r="G969" s="1">
        <v>26.0</v>
      </c>
      <c r="H969" s="1">
        <v>42.0</v>
      </c>
      <c r="I969" s="1" t="s">
        <v>121</v>
      </c>
      <c r="J969" s="1" t="s">
        <v>2851</v>
      </c>
      <c r="K969" s="1">
        <v>1.0</v>
      </c>
      <c r="L969" s="1" t="s">
        <v>2851</v>
      </c>
    </row>
    <row r="970" hidden="1">
      <c r="A970" s="34">
        <v>27.0</v>
      </c>
      <c r="B970" s="34">
        <v>10.0</v>
      </c>
      <c r="C970" s="34">
        <v>5.0</v>
      </c>
      <c r="D970" s="1" t="s">
        <v>121</v>
      </c>
      <c r="E970" s="1" t="s">
        <v>2872</v>
      </c>
      <c r="F970" s="1" t="s">
        <v>2873</v>
      </c>
      <c r="G970" s="1">
        <v>26.0</v>
      </c>
      <c r="H970" s="1">
        <v>43.0</v>
      </c>
      <c r="I970" s="1" t="s">
        <v>121</v>
      </c>
      <c r="J970" s="1" t="s">
        <v>2872</v>
      </c>
      <c r="K970" s="1">
        <v>1.0</v>
      </c>
      <c r="L970" s="1" t="s">
        <v>2874</v>
      </c>
    </row>
    <row r="971" hidden="1">
      <c r="A971" s="34">
        <v>27.0</v>
      </c>
      <c r="B971" s="34">
        <v>10.0</v>
      </c>
      <c r="C971" s="34">
        <v>10.0</v>
      </c>
      <c r="D971" s="1" t="s">
        <v>121</v>
      </c>
      <c r="E971" s="1" t="s">
        <v>2872</v>
      </c>
      <c r="F971" s="1" t="s">
        <v>2875</v>
      </c>
      <c r="G971" s="1">
        <v>26.0</v>
      </c>
      <c r="H971" s="1">
        <v>16.0</v>
      </c>
      <c r="I971" s="1" t="s">
        <v>121</v>
      </c>
      <c r="J971" s="1" t="s">
        <v>2876</v>
      </c>
      <c r="K971" s="1">
        <v>1.0</v>
      </c>
      <c r="L971" s="1" t="s">
        <v>2876</v>
      </c>
    </row>
    <row r="972" hidden="1">
      <c r="A972" s="34">
        <v>27.0</v>
      </c>
      <c r="B972" s="34">
        <v>10.0</v>
      </c>
      <c r="C972" s="34">
        <v>21.0</v>
      </c>
      <c r="D972" s="1" t="s">
        <v>121</v>
      </c>
      <c r="E972" s="1" t="s">
        <v>2872</v>
      </c>
      <c r="F972" s="1" t="s">
        <v>2877</v>
      </c>
      <c r="G972" s="1">
        <v>26.0</v>
      </c>
      <c r="H972" s="1">
        <v>36.0</v>
      </c>
      <c r="I972" s="1" t="s">
        <v>121</v>
      </c>
      <c r="J972" s="1" t="s">
        <v>1458</v>
      </c>
      <c r="K972" s="1">
        <v>1.0</v>
      </c>
      <c r="L972" s="1" t="s">
        <v>2878</v>
      </c>
    </row>
    <row r="973" hidden="1">
      <c r="A973" s="34">
        <v>27.0</v>
      </c>
      <c r="B973" s="34">
        <v>10.0</v>
      </c>
      <c r="C973" s="34">
        <v>24.0</v>
      </c>
      <c r="D973" s="1" t="s">
        <v>121</v>
      </c>
      <c r="E973" s="1" t="s">
        <v>2872</v>
      </c>
      <c r="F973" s="1" t="s">
        <v>2879</v>
      </c>
      <c r="G973" s="1">
        <v>26.0</v>
      </c>
      <c r="H973" s="1">
        <v>58.0</v>
      </c>
      <c r="I973" s="1" t="s">
        <v>121</v>
      </c>
      <c r="J973" s="1" t="s">
        <v>2880</v>
      </c>
      <c r="K973" s="1">
        <v>1.0</v>
      </c>
      <c r="L973" s="1" t="s">
        <v>2880</v>
      </c>
    </row>
    <row r="974" hidden="1">
      <c r="A974" s="34">
        <v>27.0</v>
      </c>
      <c r="B974" s="34">
        <v>10.0</v>
      </c>
      <c r="C974" s="34">
        <v>64.0</v>
      </c>
      <c r="D974" s="1" t="s">
        <v>121</v>
      </c>
      <c r="E974" s="1" t="s">
        <v>2872</v>
      </c>
      <c r="F974" s="1" t="s">
        <v>2881</v>
      </c>
      <c r="G974" s="1">
        <v>26.0</v>
      </c>
      <c r="H974" s="1">
        <v>43.0</v>
      </c>
      <c r="I974" s="1" t="s">
        <v>121</v>
      </c>
      <c r="J974" s="1" t="s">
        <v>2872</v>
      </c>
      <c r="K974" s="1">
        <v>1.0</v>
      </c>
      <c r="L974" s="1" t="s">
        <v>2874</v>
      </c>
    </row>
    <row r="975" hidden="1">
      <c r="A975" s="34">
        <v>27.0</v>
      </c>
      <c r="B975" s="34">
        <v>13.0</v>
      </c>
      <c r="C975" s="34">
        <v>8.0</v>
      </c>
      <c r="D975" s="1" t="s">
        <v>121</v>
      </c>
      <c r="E975" s="1" t="s">
        <v>2882</v>
      </c>
      <c r="F975" s="1" t="s">
        <v>2883</v>
      </c>
      <c r="G975" s="1">
        <v>26.0</v>
      </c>
      <c r="H975" s="1">
        <v>17.0</v>
      </c>
      <c r="I975" s="1" t="s">
        <v>121</v>
      </c>
      <c r="J975" s="1" t="s">
        <v>2882</v>
      </c>
      <c r="K975" s="1">
        <v>1.0</v>
      </c>
      <c r="L975" s="1" t="s">
        <v>2884</v>
      </c>
    </row>
    <row r="976" hidden="1">
      <c r="A976" s="34">
        <v>27.0</v>
      </c>
      <c r="B976" s="34">
        <v>13.0</v>
      </c>
      <c r="C976" s="34">
        <v>9.0</v>
      </c>
      <c r="D976" s="1" t="s">
        <v>121</v>
      </c>
      <c r="E976" s="1" t="s">
        <v>2882</v>
      </c>
      <c r="F976" s="1" t="s">
        <v>2885</v>
      </c>
      <c r="G976" s="1">
        <v>26.0</v>
      </c>
      <c r="H976" s="1">
        <v>48.0</v>
      </c>
      <c r="I976" s="1" t="s">
        <v>121</v>
      </c>
      <c r="J976" s="1" t="s">
        <v>2886</v>
      </c>
      <c r="K976" s="1">
        <v>1.0</v>
      </c>
      <c r="L976" s="1" t="s">
        <v>2886</v>
      </c>
    </row>
    <row r="977" hidden="1">
      <c r="A977" s="34">
        <v>27.0</v>
      </c>
      <c r="B977" s="34">
        <v>13.0</v>
      </c>
      <c r="C977" s="34">
        <v>22.0</v>
      </c>
      <c r="D977" s="1" t="s">
        <v>121</v>
      </c>
      <c r="E977" s="1" t="s">
        <v>2882</v>
      </c>
      <c r="F977" s="1" t="s">
        <v>2887</v>
      </c>
      <c r="G977" s="1">
        <v>26.0</v>
      </c>
      <c r="H977" s="1">
        <v>47.0</v>
      </c>
      <c r="I977" s="1" t="s">
        <v>121</v>
      </c>
      <c r="J977" s="1" t="s">
        <v>2838</v>
      </c>
      <c r="K977" s="1">
        <v>1.0</v>
      </c>
      <c r="L977" s="1" t="s">
        <v>2838</v>
      </c>
    </row>
    <row r="978" hidden="1">
      <c r="A978" s="34">
        <v>27.0</v>
      </c>
      <c r="B978" s="34">
        <v>13.0</v>
      </c>
      <c r="C978" s="34">
        <v>32.0</v>
      </c>
      <c r="D978" s="1" t="s">
        <v>121</v>
      </c>
      <c r="E978" s="1" t="s">
        <v>2882</v>
      </c>
      <c r="F978" s="1" t="s">
        <v>2888</v>
      </c>
      <c r="G978" s="1">
        <v>26.0</v>
      </c>
      <c r="H978" s="1">
        <v>17.0</v>
      </c>
      <c r="I978" s="1" t="s">
        <v>121</v>
      </c>
      <c r="J978" s="1" t="s">
        <v>2882</v>
      </c>
      <c r="K978" s="1">
        <v>62.0</v>
      </c>
      <c r="L978" s="1" t="s">
        <v>2884</v>
      </c>
    </row>
    <row r="979" hidden="1">
      <c r="A979" s="34">
        <v>27.0</v>
      </c>
      <c r="B979" s="34">
        <v>13.0</v>
      </c>
      <c r="C979" s="34">
        <v>38.0</v>
      </c>
      <c r="D979" s="1" t="s">
        <v>121</v>
      </c>
      <c r="E979" s="1" t="s">
        <v>2882</v>
      </c>
      <c r="F979" s="1" t="s">
        <v>2889</v>
      </c>
      <c r="G979" s="1">
        <v>26.0</v>
      </c>
      <c r="H979" s="1">
        <v>4.0</v>
      </c>
      <c r="I979" s="1" t="s">
        <v>121</v>
      </c>
      <c r="J979" s="1" t="s">
        <v>2890</v>
      </c>
      <c r="K979" s="1">
        <v>1.0</v>
      </c>
      <c r="L979" s="1" t="s">
        <v>2890</v>
      </c>
    </row>
    <row r="980" hidden="1">
      <c r="A980" s="34">
        <v>27.0</v>
      </c>
      <c r="B980" s="34">
        <v>13.0</v>
      </c>
      <c r="C980" s="34">
        <v>52.0</v>
      </c>
      <c r="D980" s="1" t="s">
        <v>121</v>
      </c>
      <c r="E980" s="1" t="s">
        <v>2882</v>
      </c>
      <c r="F980" s="1" t="s">
        <v>2891</v>
      </c>
      <c r="G980" s="1">
        <v>26.0</v>
      </c>
      <c r="H980" s="1">
        <v>70.0</v>
      </c>
      <c r="I980" s="1" t="s">
        <v>121</v>
      </c>
      <c r="J980" s="1" t="s">
        <v>2892</v>
      </c>
      <c r="K980" s="1">
        <v>1.0</v>
      </c>
      <c r="L980" s="1" t="s">
        <v>2893</v>
      </c>
    </row>
    <row r="981" hidden="1">
      <c r="A981" s="34">
        <v>27.0</v>
      </c>
      <c r="B981" s="34">
        <v>51.0</v>
      </c>
      <c r="C981" s="34">
        <v>12.0</v>
      </c>
      <c r="D981" s="1" t="s">
        <v>121</v>
      </c>
      <c r="E981" s="1" t="s">
        <v>2894</v>
      </c>
      <c r="F981" s="1" t="s">
        <v>2895</v>
      </c>
      <c r="G981" s="1">
        <v>26.0</v>
      </c>
      <c r="H981" s="1">
        <v>2.0</v>
      </c>
      <c r="I981" s="1" t="s">
        <v>121</v>
      </c>
      <c r="J981" s="1" t="s">
        <v>2894</v>
      </c>
      <c r="K981" s="1">
        <v>1.0</v>
      </c>
      <c r="L981" s="1" t="s">
        <v>2894</v>
      </c>
    </row>
    <row r="982" hidden="1">
      <c r="A982" s="34">
        <v>27.0</v>
      </c>
      <c r="B982" s="34">
        <v>51.0</v>
      </c>
      <c r="C982" s="34">
        <v>19.0</v>
      </c>
      <c r="D982" s="1" t="s">
        <v>121</v>
      </c>
      <c r="E982" s="1" t="s">
        <v>2894</v>
      </c>
      <c r="F982" s="1" t="s">
        <v>2896</v>
      </c>
      <c r="G982" s="1">
        <v>26.0</v>
      </c>
      <c r="H982" s="1">
        <v>2.0</v>
      </c>
      <c r="I982" s="1" t="s">
        <v>121</v>
      </c>
      <c r="J982" s="1" t="s">
        <v>2894</v>
      </c>
      <c r="K982" s="1">
        <v>1.0</v>
      </c>
      <c r="L982" s="1" t="s">
        <v>2894</v>
      </c>
    </row>
    <row r="983" hidden="1">
      <c r="A983" s="34">
        <v>27.0</v>
      </c>
      <c r="B983" s="34">
        <v>51.0</v>
      </c>
      <c r="C983" s="34">
        <v>44.0</v>
      </c>
      <c r="D983" s="1" t="s">
        <v>121</v>
      </c>
      <c r="E983" s="1" t="s">
        <v>2894</v>
      </c>
      <c r="F983" s="1" t="s">
        <v>2897</v>
      </c>
      <c r="G983" s="1">
        <v>26.0</v>
      </c>
      <c r="H983" s="1">
        <v>39.0</v>
      </c>
      <c r="I983" s="1" t="s">
        <v>121</v>
      </c>
      <c r="J983" s="1" t="s">
        <v>2898</v>
      </c>
      <c r="K983" s="1">
        <v>1.0</v>
      </c>
      <c r="L983" s="1" t="s">
        <v>2898</v>
      </c>
    </row>
    <row r="984" hidden="1">
      <c r="A984" s="34">
        <v>27.0</v>
      </c>
      <c r="B984" s="34">
        <v>51.0</v>
      </c>
      <c r="C984" s="34">
        <v>55.0</v>
      </c>
      <c r="D984" s="1" t="s">
        <v>121</v>
      </c>
      <c r="E984" s="1" t="s">
        <v>2894</v>
      </c>
      <c r="F984" s="1" t="s">
        <v>2899</v>
      </c>
      <c r="G984" s="1">
        <v>26.0</v>
      </c>
      <c r="H984" s="1">
        <v>19.0</v>
      </c>
      <c r="I984" s="1" t="s">
        <v>121</v>
      </c>
      <c r="J984" s="1" t="s">
        <v>2900</v>
      </c>
      <c r="K984" s="1">
        <v>1.0</v>
      </c>
      <c r="L984" s="1" t="s">
        <v>2901</v>
      </c>
    </row>
    <row r="985" hidden="1">
      <c r="A985" s="34">
        <v>27.0</v>
      </c>
      <c r="B985" s="34">
        <v>57.0</v>
      </c>
      <c r="C985" s="34">
        <v>23.0</v>
      </c>
      <c r="D985" s="1" t="s">
        <v>121</v>
      </c>
      <c r="E985" s="1" t="s">
        <v>2902</v>
      </c>
      <c r="F985" s="1" t="s">
        <v>2903</v>
      </c>
      <c r="G985" s="1">
        <v>26.0</v>
      </c>
      <c r="H985" s="1">
        <v>41.0</v>
      </c>
      <c r="I985" s="1" t="s">
        <v>121</v>
      </c>
      <c r="J985" s="1" t="s">
        <v>2904</v>
      </c>
      <c r="K985" s="1">
        <v>1.0</v>
      </c>
      <c r="L985" s="1" t="s">
        <v>2904</v>
      </c>
    </row>
    <row r="986" hidden="1">
      <c r="A986" s="34">
        <v>27.0</v>
      </c>
      <c r="B986" s="34">
        <v>57.0</v>
      </c>
      <c r="C986" s="34">
        <v>48.0</v>
      </c>
      <c r="D986" s="1" t="s">
        <v>121</v>
      </c>
      <c r="E986" s="1" t="s">
        <v>2902</v>
      </c>
      <c r="F986" s="1" t="s">
        <v>2905</v>
      </c>
      <c r="G986" s="1">
        <v>26.0</v>
      </c>
      <c r="H986" s="1">
        <v>38.0</v>
      </c>
      <c r="I986" s="1" t="s">
        <v>121</v>
      </c>
      <c r="J986" s="1" t="s">
        <v>2731</v>
      </c>
      <c r="K986" s="1">
        <v>1.0</v>
      </c>
      <c r="L986" s="1" t="s">
        <v>2731</v>
      </c>
    </row>
    <row r="987" hidden="1">
      <c r="A987" s="34">
        <v>27.0</v>
      </c>
      <c r="B987" s="34">
        <v>57.0</v>
      </c>
      <c r="C987" s="34">
        <v>49.0</v>
      </c>
      <c r="D987" s="1" t="s">
        <v>121</v>
      </c>
      <c r="E987" s="1" t="s">
        <v>2902</v>
      </c>
      <c r="F987" s="1" t="s">
        <v>2906</v>
      </c>
      <c r="G987" s="1">
        <v>26.0</v>
      </c>
      <c r="H987" s="1">
        <v>23.0</v>
      </c>
      <c r="I987" s="1" t="s">
        <v>121</v>
      </c>
      <c r="J987" s="1" t="s">
        <v>2907</v>
      </c>
      <c r="K987" s="1">
        <v>1.0</v>
      </c>
      <c r="L987" s="1" t="s">
        <v>2907</v>
      </c>
    </row>
    <row r="988" hidden="1">
      <c r="A988" s="34">
        <v>27.0</v>
      </c>
      <c r="B988" s="34">
        <v>57.0</v>
      </c>
      <c r="C988" s="34">
        <v>50.0</v>
      </c>
      <c r="D988" s="1" t="s">
        <v>121</v>
      </c>
      <c r="E988" s="1" t="s">
        <v>2902</v>
      </c>
      <c r="F988" s="1" t="s">
        <v>2908</v>
      </c>
      <c r="G988" s="1">
        <v>26.0</v>
      </c>
      <c r="H988" s="1">
        <v>27.0</v>
      </c>
      <c r="I988" s="1" t="s">
        <v>121</v>
      </c>
      <c r="J988" s="1" t="s">
        <v>2909</v>
      </c>
      <c r="K988" s="1">
        <v>1.0</v>
      </c>
      <c r="L988" s="1" t="s">
        <v>2909</v>
      </c>
    </row>
    <row r="989" hidden="1">
      <c r="A989" s="34">
        <v>27.0</v>
      </c>
      <c r="B989" s="34">
        <v>70.0</v>
      </c>
      <c r="C989" s="34">
        <v>1.0</v>
      </c>
      <c r="D989" s="1" t="s">
        <v>121</v>
      </c>
      <c r="E989" s="1" t="s">
        <v>2910</v>
      </c>
      <c r="F989" s="1" t="s">
        <v>2911</v>
      </c>
      <c r="G989" s="1">
        <v>26.0</v>
      </c>
      <c r="H989" s="1">
        <v>18.0</v>
      </c>
      <c r="I989" s="1" t="s">
        <v>121</v>
      </c>
      <c r="J989" s="1" t="s">
        <v>2912</v>
      </c>
      <c r="K989" s="1">
        <v>1.0</v>
      </c>
      <c r="L989" s="1" t="s">
        <v>2910</v>
      </c>
    </row>
    <row r="990" hidden="1">
      <c r="A990" s="34">
        <v>27.0</v>
      </c>
      <c r="B990" s="34">
        <v>70.0</v>
      </c>
      <c r="C990" s="34">
        <v>11.0</v>
      </c>
      <c r="D990" s="1" t="s">
        <v>121</v>
      </c>
      <c r="E990" s="1" t="s">
        <v>2910</v>
      </c>
      <c r="F990" s="1" t="s">
        <v>2913</v>
      </c>
      <c r="G990" s="1">
        <v>26.0</v>
      </c>
      <c r="H990" s="1">
        <v>29.0</v>
      </c>
      <c r="I990" s="1" t="s">
        <v>121</v>
      </c>
      <c r="J990" s="1" t="s">
        <v>2843</v>
      </c>
      <c r="K990" s="1">
        <v>325.0</v>
      </c>
      <c r="L990" s="1" t="s">
        <v>2914</v>
      </c>
    </row>
    <row r="991" hidden="1">
      <c r="A991" s="34">
        <v>27.0</v>
      </c>
      <c r="B991" s="34">
        <v>70.0</v>
      </c>
      <c r="C991" s="34">
        <v>17.0</v>
      </c>
      <c r="D991" s="1" t="s">
        <v>121</v>
      </c>
      <c r="E991" s="1" t="s">
        <v>2910</v>
      </c>
      <c r="F991" s="1" t="s">
        <v>2915</v>
      </c>
      <c r="G991" s="1">
        <v>26.0</v>
      </c>
      <c r="H991" s="1">
        <v>71.0</v>
      </c>
      <c r="I991" s="1" t="s">
        <v>121</v>
      </c>
      <c r="J991" s="1" t="s">
        <v>2659</v>
      </c>
      <c r="K991" s="1">
        <v>1.0</v>
      </c>
      <c r="L991" s="1" t="s">
        <v>2855</v>
      </c>
    </row>
    <row r="992" hidden="1">
      <c r="A992" s="34">
        <v>27.0</v>
      </c>
      <c r="B992" s="34">
        <v>70.0</v>
      </c>
      <c r="C992" s="34">
        <v>18.0</v>
      </c>
      <c r="D992" s="1" t="s">
        <v>121</v>
      </c>
      <c r="E992" s="1" t="s">
        <v>2910</v>
      </c>
      <c r="F992" s="1" t="s">
        <v>2916</v>
      </c>
      <c r="G992" s="1">
        <v>26.0</v>
      </c>
      <c r="H992" s="1">
        <v>29.0</v>
      </c>
      <c r="I992" s="1" t="s">
        <v>121</v>
      </c>
      <c r="J992" s="1" t="s">
        <v>2843</v>
      </c>
      <c r="K992" s="1">
        <v>1.0</v>
      </c>
      <c r="L992" s="1" t="s">
        <v>2845</v>
      </c>
    </row>
    <row r="993" hidden="1">
      <c r="A993" s="34">
        <v>27.0</v>
      </c>
      <c r="B993" s="34">
        <v>70.0</v>
      </c>
      <c r="C993" s="34">
        <v>27.0</v>
      </c>
      <c r="D993" s="1" t="s">
        <v>121</v>
      </c>
      <c r="E993" s="1" t="s">
        <v>2910</v>
      </c>
      <c r="F993" s="1" t="s">
        <v>2917</v>
      </c>
      <c r="G993" s="1">
        <v>26.0</v>
      </c>
      <c r="H993" s="1">
        <v>29.0</v>
      </c>
      <c r="I993" s="1" t="s">
        <v>121</v>
      </c>
      <c r="J993" s="1" t="s">
        <v>2843</v>
      </c>
      <c r="K993" s="1">
        <v>202.0</v>
      </c>
      <c r="L993" s="1" t="s">
        <v>2918</v>
      </c>
    </row>
    <row r="994" hidden="1">
      <c r="A994" s="34">
        <v>27.0</v>
      </c>
      <c r="B994" s="34">
        <v>70.0</v>
      </c>
      <c r="C994" s="34">
        <v>28.0</v>
      </c>
      <c r="D994" s="1" t="s">
        <v>121</v>
      </c>
      <c r="E994" s="1" t="s">
        <v>2910</v>
      </c>
      <c r="F994" s="1" t="s">
        <v>2919</v>
      </c>
      <c r="G994" s="1">
        <v>26.0</v>
      </c>
      <c r="H994" s="1">
        <v>12.0</v>
      </c>
      <c r="I994" s="1" t="s">
        <v>121</v>
      </c>
      <c r="J994" s="1" t="s">
        <v>2847</v>
      </c>
      <c r="K994" s="1">
        <v>1.0</v>
      </c>
      <c r="L994" s="1" t="s">
        <v>2847</v>
      </c>
    </row>
    <row r="995" hidden="1">
      <c r="A995" s="34">
        <v>27.0</v>
      </c>
      <c r="B995" s="34">
        <v>70.0</v>
      </c>
      <c r="C995" s="34">
        <v>29.0</v>
      </c>
      <c r="D995" s="1" t="s">
        <v>121</v>
      </c>
      <c r="E995" s="1" t="s">
        <v>2910</v>
      </c>
      <c r="F995" s="1" t="s">
        <v>2920</v>
      </c>
      <c r="G995" s="1">
        <v>26.0</v>
      </c>
      <c r="H995" s="1">
        <v>12.0</v>
      </c>
      <c r="I995" s="1" t="s">
        <v>121</v>
      </c>
      <c r="J995" s="1" t="s">
        <v>2847</v>
      </c>
      <c r="K995" s="1">
        <v>82.0</v>
      </c>
      <c r="L995" s="1" t="s">
        <v>2921</v>
      </c>
    </row>
    <row r="996" hidden="1">
      <c r="A996" s="34">
        <v>27.0</v>
      </c>
      <c r="B996" s="34">
        <v>70.0</v>
      </c>
      <c r="C996" s="34">
        <v>30.0</v>
      </c>
      <c r="D996" s="1" t="s">
        <v>121</v>
      </c>
      <c r="E996" s="1" t="s">
        <v>2910</v>
      </c>
      <c r="F996" s="1" t="s">
        <v>2922</v>
      </c>
      <c r="G996" s="1">
        <v>26.0</v>
      </c>
      <c r="H996" s="1">
        <v>12.0</v>
      </c>
      <c r="I996" s="1" t="s">
        <v>121</v>
      </c>
      <c r="J996" s="1" t="s">
        <v>2847</v>
      </c>
      <c r="K996" s="1">
        <v>93.0</v>
      </c>
      <c r="L996" s="1" t="s">
        <v>2923</v>
      </c>
    </row>
    <row r="997" hidden="1">
      <c r="A997" s="34">
        <v>27.0</v>
      </c>
      <c r="B997" s="34">
        <v>70.0</v>
      </c>
      <c r="C997" s="34">
        <v>31.0</v>
      </c>
      <c r="D997" s="1" t="s">
        <v>121</v>
      </c>
      <c r="E997" s="1" t="s">
        <v>2910</v>
      </c>
      <c r="F997" s="1" t="s">
        <v>2924</v>
      </c>
      <c r="G997" s="1">
        <v>26.0</v>
      </c>
      <c r="H997" s="1">
        <v>12.0</v>
      </c>
      <c r="I997" s="1" t="s">
        <v>121</v>
      </c>
      <c r="J997" s="1" t="s">
        <v>2847</v>
      </c>
      <c r="K997" s="1">
        <v>90.0</v>
      </c>
      <c r="L997" s="1" t="s">
        <v>2925</v>
      </c>
    </row>
    <row r="998" hidden="1">
      <c r="A998" s="34">
        <v>27.0</v>
      </c>
      <c r="B998" s="34">
        <v>70.0</v>
      </c>
      <c r="C998" s="34">
        <v>33.0</v>
      </c>
      <c r="D998" s="1" t="s">
        <v>121</v>
      </c>
      <c r="E998" s="1" t="s">
        <v>2910</v>
      </c>
      <c r="F998" s="1" t="s">
        <v>2926</v>
      </c>
      <c r="G998" s="1">
        <v>26.0</v>
      </c>
      <c r="H998" s="1">
        <v>18.0</v>
      </c>
      <c r="I998" s="1" t="s">
        <v>121</v>
      </c>
      <c r="J998" s="1" t="s">
        <v>2912</v>
      </c>
      <c r="K998" s="1">
        <v>284.0</v>
      </c>
      <c r="L998" s="1" t="s">
        <v>2927</v>
      </c>
    </row>
    <row r="999" hidden="1">
      <c r="A999" s="34">
        <v>27.0</v>
      </c>
      <c r="B999" s="34">
        <v>70.0</v>
      </c>
      <c r="C999" s="34">
        <v>34.0</v>
      </c>
      <c r="D999" s="1" t="s">
        <v>121</v>
      </c>
      <c r="E999" s="1" t="s">
        <v>2910</v>
      </c>
      <c r="F999" s="1" t="s">
        <v>2928</v>
      </c>
      <c r="G999" s="1">
        <v>26.0</v>
      </c>
      <c r="H999" s="1">
        <v>18.0</v>
      </c>
      <c r="I999" s="1" t="s">
        <v>121</v>
      </c>
      <c r="J999" s="1" t="s">
        <v>2912</v>
      </c>
      <c r="K999" s="1">
        <v>93.0</v>
      </c>
      <c r="L999" s="1" t="s">
        <v>2929</v>
      </c>
    </row>
    <row r="1000" hidden="1">
      <c r="A1000" s="34">
        <v>27.0</v>
      </c>
      <c r="B1000" s="34">
        <v>70.0</v>
      </c>
      <c r="C1000" s="34">
        <v>35.0</v>
      </c>
      <c r="D1000" s="1" t="s">
        <v>121</v>
      </c>
      <c r="E1000" s="1" t="s">
        <v>2910</v>
      </c>
      <c r="F1000" s="1" t="s">
        <v>2930</v>
      </c>
      <c r="G1000" s="1">
        <v>26.0</v>
      </c>
      <c r="H1000" s="1">
        <v>18.0</v>
      </c>
      <c r="I1000" s="1" t="s">
        <v>121</v>
      </c>
      <c r="J1000" s="1" t="s">
        <v>2912</v>
      </c>
      <c r="K1000" s="1">
        <v>403.0</v>
      </c>
      <c r="L1000" s="1" t="s">
        <v>2931</v>
      </c>
    </row>
    <row r="1001" hidden="1">
      <c r="A1001" s="34">
        <v>27.0</v>
      </c>
      <c r="B1001" s="34">
        <v>70.0</v>
      </c>
      <c r="C1001" s="34">
        <v>36.0</v>
      </c>
      <c r="D1001" s="1" t="s">
        <v>121</v>
      </c>
      <c r="E1001" s="1" t="s">
        <v>2910</v>
      </c>
      <c r="F1001" s="1" t="s">
        <v>2932</v>
      </c>
      <c r="G1001" s="1">
        <v>26.0</v>
      </c>
      <c r="H1001" s="1">
        <v>18.0</v>
      </c>
      <c r="I1001" s="1" t="s">
        <v>121</v>
      </c>
      <c r="J1001" s="1" t="s">
        <v>2912</v>
      </c>
      <c r="K1001" s="1">
        <v>365.0</v>
      </c>
      <c r="L1001" s="1" t="s">
        <v>2933</v>
      </c>
    </row>
    <row r="1002" hidden="1">
      <c r="A1002" s="34">
        <v>27.0</v>
      </c>
      <c r="B1002" s="34">
        <v>70.0</v>
      </c>
      <c r="C1002" s="34">
        <v>39.0</v>
      </c>
      <c r="D1002" s="1" t="s">
        <v>121</v>
      </c>
      <c r="E1002" s="1" t="s">
        <v>2910</v>
      </c>
      <c r="F1002" s="1" t="s">
        <v>2934</v>
      </c>
      <c r="G1002" s="1">
        <v>26.0</v>
      </c>
      <c r="H1002" s="1">
        <v>12.0</v>
      </c>
      <c r="I1002" s="1" t="s">
        <v>121</v>
      </c>
      <c r="J1002" s="1" t="s">
        <v>2847</v>
      </c>
      <c r="K1002" s="1">
        <v>3.0</v>
      </c>
      <c r="L1002" s="1" t="s">
        <v>2935</v>
      </c>
    </row>
    <row r="1003" hidden="1">
      <c r="A1003" s="34">
        <v>27.0</v>
      </c>
      <c r="B1003" s="34">
        <v>70.0</v>
      </c>
      <c r="C1003" s="34">
        <v>41.0</v>
      </c>
      <c r="D1003" s="1" t="s">
        <v>121</v>
      </c>
      <c r="E1003" s="1" t="s">
        <v>2910</v>
      </c>
      <c r="F1003" s="1" t="s">
        <v>2936</v>
      </c>
      <c r="G1003" s="1">
        <v>26.0</v>
      </c>
      <c r="H1003" s="1">
        <v>71.0</v>
      </c>
      <c r="I1003" s="1" t="s">
        <v>121</v>
      </c>
      <c r="J1003" s="1" t="s">
        <v>2659</v>
      </c>
      <c r="K1003" s="1">
        <v>139.0</v>
      </c>
      <c r="L1003" s="1" t="s">
        <v>2937</v>
      </c>
    </row>
    <row r="1004" hidden="1">
      <c r="A1004" s="34">
        <v>27.0</v>
      </c>
      <c r="B1004" s="34">
        <v>70.0</v>
      </c>
      <c r="C1004" s="34">
        <v>43.0</v>
      </c>
      <c r="D1004" s="1" t="s">
        <v>121</v>
      </c>
      <c r="E1004" s="1" t="s">
        <v>2910</v>
      </c>
      <c r="F1004" s="1" t="s">
        <v>2938</v>
      </c>
      <c r="G1004" s="1">
        <v>26.0</v>
      </c>
      <c r="H1004" s="1">
        <v>51.0</v>
      </c>
      <c r="I1004" s="1" t="s">
        <v>121</v>
      </c>
      <c r="J1004" s="1" t="s">
        <v>2815</v>
      </c>
      <c r="K1004" s="1">
        <v>1.0</v>
      </c>
      <c r="L1004" s="1" t="s">
        <v>2815</v>
      </c>
    </row>
    <row r="1005" hidden="1">
      <c r="A1005" s="34">
        <v>27.0</v>
      </c>
      <c r="B1005" s="34">
        <v>70.0</v>
      </c>
      <c r="C1005" s="34">
        <v>45.0</v>
      </c>
      <c r="D1005" s="1" t="s">
        <v>121</v>
      </c>
      <c r="E1005" s="1" t="s">
        <v>2910</v>
      </c>
      <c r="F1005" s="1" t="s">
        <v>2939</v>
      </c>
      <c r="G1005" s="1">
        <v>26.0</v>
      </c>
      <c r="H1005" s="1">
        <v>72.0</v>
      </c>
      <c r="I1005" s="1" t="s">
        <v>121</v>
      </c>
      <c r="J1005" s="1" t="s">
        <v>2940</v>
      </c>
      <c r="K1005" s="1">
        <v>17.0</v>
      </c>
      <c r="L1005" s="1" t="s">
        <v>2941</v>
      </c>
    </row>
    <row r="1006" hidden="1">
      <c r="A1006" s="34">
        <v>27.0</v>
      </c>
      <c r="B1006" s="34">
        <v>70.0</v>
      </c>
      <c r="C1006" s="34">
        <v>53.0</v>
      </c>
      <c r="D1006" s="1" t="s">
        <v>121</v>
      </c>
      <c r="E1006" s="1" t="s">
        <v>2910</v>
      </c>
      <c r="F1006" s="1" t="s">
        <v>2942</v>
      </c>
      <c r="G1006" s="1">
        <v>26.0</v>
      </c>
      <c r="H1006" s="1">
        <v>18.0</v>
      </c>
      <c r="I1006" s="1" t="s">
        <v>121</v>
      </c>
      <c r="J1006" s="1" t="s">
        <v>2912</v>
      </c>
      <c r="K1006" s="1">
        <v>334.0</v>
      </c>
      <c r="L1006" s="1" t="s">
        <v>2943</v>
      </c>
    </row>
    <row r="1007" hidden="1">
      <c r="A1007" s="34">
        <v>27.0</v>
      </c>
      <c r="B1007" s="34">
        <v>70.0</v>
      </c>
      <c r="C1007" s="34">
        <v>66.0</v>
      </c>
      <c r="D1007" s="1" t="s">
        <v>121</v>
      </c>
      <c r="E1007" s="1" t="s">
        <v>2910</v>
      </c>
      <c r="F1007" s="1" t="s">
        <v>2944</v>
      </c>
      <c r="G1007" s="1">
        <v>26.0</v>
      </c>
      <c r="H1007" s="1">
        <v>18.0</v>
      </c>
      <c r="I1007" s="1" t="s">
        <v>121</v>
      </c>
      <c r="J1007" s="1" t="s">
        <v>2912</v>
      </c>
      <c r="K1007" s="1">
        <v>1.0</v>
      </c>
      <c r="L1007" s="1" t="s">
        <v>2910</v>
      </c>
    </row>
    <row r="1008" hidden="1">
      <c r="A1008" s="34">
        <v>27.0</v>
      </c>
      <c r="B1008" s="34">
        <v>70.0</v>
      </c>
      <c r="C1008" s="34">
        <v>67.0</v>
      </c>
      <c r="D1008" s="1" t="s">
        <v>121</v>
      </c>
      <c r="E1008" s="1" t="s">
        <v>2910</v>
      </c>
      <c r="F1008" s="1" t="s">
        <v>2945</v>
      </c>
      <c r="G1008" s="1">
        <v>26.0</v>
      </c>
      <c r="H1008" s="1">
        <v>18.0</v>
      </c>
      <c r="I1008" s="1" t="s">
        <v>121</v>
      </c>
      <c r="J1008" s="1" t="s">
        <v>2912</v>
      </c>
      <c r="K1008" s="1">
        <v>1.0</v>
      </c>
      <c r="L1008" s="1" t="s">
        <v>2910</v>
      </c>
    </row>
    <row r="1009" hidden="1">
      <c r="A1009" s="34">
        <v>28.0</v>
      </c>
      <c r="B1009" s="34">
        <v>1.0</v>
      </c>
      <c r="C1009" s="34">
        <v>3.0</v>
      </c>
      <c r="D1009" s="1" t="s">
        <v>123</v>
      </c>
      <c r="E1009" s="1" t="s">
        <v>2946</v>
      </c>
      <c r="F1009" s="1" t="s">
        <v>2947</v>
      </c>
      <c r="G1009" s="1">
        <v>27.0</v>
      </c>
      <c r="H1009" s="1">
        <v>15.0</v>
      </c>
      <c r="I1009" s="1" t="s">
        <v>123</v>
      </c>
      <c r="J1009" s="1" t="s">
        <v>2948</v>
      </c>
      <c r="K1009" s="1">
        <v>1.0</v>
      </c>
      <c r="L1009" s="1" t="s">
        <v>2948</v>
      </c>
    </row>
    <row r="1010" hidden="1">
      <c r="A1010" s="34">
        <v>28.0</v>
      </c>
      <c r="B1010" s="34">
        <v>1.0</v>
      </c>
      <c r="C1010" s="34">
        <v>4.0</v>
      </c>
      <c r="D1010" s="1" t="s">
        <v>123</v>
      </c>
      <c r="E1010" s="1" t="s">
        <v>2946</v>
      </c>
      <c r="F1010" s="1" t="s">
        <v>2949</v>
      </c>
      <c r="G1010" s="1">
        <v>27.0</v>
      </c>
      <c r="H1010" s="1">
        <v>17.0</v>
      </c>
      <c r="I1010" s="1" t="s">
        <v>123</v>
      </c>
      <c r="J1010" s="1" t="s">
        <v>2950</v>
      </c>
      <c r="K1010" s="1">
        <v>1.0</v>
      </c>
      <c r="L1010" s="1" t="s">
        <v>2951</v>
      </c>
    </row>
    <row r="1011" hidden="1">
      <c r="A1011" s="34">
        <v>28.0</v>
      </c>
      <c r="B1011" s="34">
        <v>1.0</v>
      </c>
      <c r="C1011" s="34">
        <v>15.0</v>
      </c>
      <c r="D1011" s="1" t="s">
        <v>123</v>
      </c>
      <c r="E1011" s="1" t="s">
        <v>2946</v>
      </c>
      <c r="F1011" s="1" t="s">
        <v>2952</v>
      </c>
      <c r="G1011" s="1">
        <v>27.0</v>
      </c>
      <c r="H1011" s="1">
        <v>12.0</v>
      </c>
      <c r="I1011" s="1" t="s">
        <v>123</v>
      </c>
      <c r="J1011" s="1" t="s">
        <v>2953</v>
      </c>
      <c r="K1011" s="1">
        <v>91.0</v>
      </c>
      <c r="L1011" s="1" t="s">
        <v>2954</v>
      </c>
    </row>
    <row r="1012" hidden="1">
      <c r="A1012" s="34">
        <v>28.0</v>
      </c>
      <c r="B1012" s="34">
        <v>1.0</v>
      </c>
      <c r="C1012" s="34">
        <v>18.0</v>
      </c>
      <c r="D1012" s="1" t="s">
        <v>123</v>
      </c>
      <c r="E1012" s="1" t="s">
        <v>2946</v>
      </c>
      <c r="F1012" s="1" t="s">
        <v>2955</v>
      </c>
      <c r="G1012" s="1">
        <v>27.0</v>
      </c>
      <c r="H1012" s="1">
        <v>16.0</v>
      </c>
      <c r="I1012" s="1" t="s">
        <v>123</v>
      </c>
      <c r="J1012" s="1" t="s">
        <v>2956</v>
      </c>
      <c r="K1012" s="1">
        <v>1.0</v>
      </c>
      <c r="L1012" s="1" t="s">
        <v>2956</v>
      </c>
    </row>
    <row r="1013" hidden="1">
      <c r="A1013" s="34">
        <v>28.0</v>
      </c>
      <c r="B1013" s="34">
        <v>1.0</v>
      </c>
      <c r="C1013" s="34">
        <v>20.0</v>
      </c>
      <c r="D1013" s="1" t="s">
        <v>123</v>
      </c>
      <c r="E1013" s="1" t="s">
        <v>2946</v>
      </c>
      <c r="F1013" s="1" t="s">
        <v>2957</v>
      </c>
      <c r="G1013" s="1">
        <v>27.0</v>
      </c>
      <c r="H1013" s="1">
        <v>3.0</v>
      </c>
      <c r="I1013" s="1" t="s">
        <v>123</v>
      </c>
      <c r="J1013" s="1" t="s">
        <v>2958</v>
      </c>
      <c r="K1013" s="1">
        <v>1.0</v>
      </c>
      <c r="L1013" s="1" t="s">
        <v>696</v>
      </c>
    </row>
    <row r="1014" hidden="1">
      <c r="A1014" s="34">
        <v>28.0</v>
      </c>
      <c r="B1014" s="34">
        <v>1.0</v>
      </c>
      <c r="C1014" s="34">
        <v>26.0</v>
      </c>
      <c r="D1014" s="1" t="s">
        <v>123</v>
      </c>
      <c r="E1014" s="1" t="s">
        <v>2946</v>
      </c>
      <c r="F1014" s="1" t="s">
        <v>2959</v>
      </c>
      <c r="G1014" s="1">
        <v>27.0</v>
      </c>
      <c r="H1014" s="1">
        <v>10.0</v>
      </c>
      <c r="I1014" s="1" t="s">
        <v>123</v>
      </c>
      <c r="J1014" s="1" t="s">
        <v>2960</v>
      </c>
      <c r="K1014" s="1">
        <v>1.0</v>
      </c>
      <c r="L1014" s="1" t="s">
        <v>2961</v>
      </c>
    </row>
    <row r="1015" hidden="1">
      <c r="A1015" s="34">
        <v>28.0</v>
      </c>
      <c r="B1015" s="34">
        <v>1.0</v>
      </c>
      <c r="C1015" s="34">
        <v>27.0</v>
      </c>
      <c r="D1015" s="1" t="s">
        <v>123</v>
      </c>
      <c r="E1015" s="1" t="s">
        <v>2946</v>
      </c>
      <c r="F1015" s="1" t="s">
        <v>2962</v>
      </c>
      <c r="G1015" s="1">
        <v>27.0</v>
      </c>
      <c r="H1015" s="1">
        <v>12.0</v>
      </c>
      <c r="I1015" s="1" t="s">
        <v>123</v>
      </c>
      <c r="J1015" s="1" t="s">
        <v>2953</v>
      </c>
      <c r="K1015" s="1">
        <v>1.0</v>
      </c>
      <c r="L1015" s="1" t="s">
        <v>2953</v>
      </c>
    </row>
    <row r="1016" hidden="1">
      <c r="A1016" s="34">
        <v>28.0</v>
      </c>
      <c r="B1016" s="34">
        <v>1.0</v>
      </c>
      <c r="C1016" s="34">
        <v>30.0</v>
      </c>
      <c r="D1016" s="1" t="s">
        <v>123</v>
      </c>
      <c r="E1016" s="1" t="s">
        <v>2946</v>
      </c>
      <c r="F1016" s="1" t="s">
        <v>2963</v>
      </c>
      <c r="G1016" s="1">
        <v>27.0</v>
      </c>
      <c r="H1016" s="1">
        <v>11.0</v>
      </c>
      <c r="I1016" s="1" t="s">
        <v>123</v>
      </c>
      <c r="J1016" s="1" t="s">
        <v>2964</v>
      </c>
      <c r="K1016" s="1">
        <v>1.0</v>
      </c>
      <c r="L1016" s="1" t="s">
        <v>2964</v>
      </c>
    </row>
    <row r="1017" hidden="1">
      <c r="A1017" s="34">
        <v>28.0</v>
      </c>
      <c r="B1017" s="34">
        <v>1.0</v>
      </c>
      <c r="C1017" s="34">
        <v>33.0</v>
      </c>
      <c r="D1017" s="1" t="s">
        <v>123</v>
      </c>
      <c r="E1017" s="1" t="s">
        <v>2946</v>
      </c>
      <c r="F1017" s="1" t="s">
        <v>2965</v>
      </c>
      <c r="G1017" s="1">
        <v>27.0</v>
      </c>
      <c r="H1017" s="1">
        <v>7.0</v>
      </c>
      <c r="I1017" s="1" t="s">
        <v>123</v>
      </c>
      <c r="J1017" s="1" t="s">
        <v>1831</v>
      </c>
      <c r="K1017" s="1">
        <v>1.0</v>
      </c>
      <c r="L1017" s="1" t="s">
        <v>1831</v>
      </c>
    </row>
    <row r="1018" hidden="1">
      <c r="A1018" s="34">
        <v>28.0</v>
      </c>
      <c r="B1018" s="34">
        <v>1.0</v>
      </c>
      <c r="C1018" s="34">
        <v>36.0</v>
      </c>
      <c r="D1018" s="1" t="s">
        <v>123</v>
      </c>
      <c r="E1018" s="1" t="s">
        <v>2946</v>
      </c>
      <c r="F1018" s="1" t="s">
        <v>2966</v>
      </c>
      <c r="G1018" s="1">
        <v>27.0</v>
      </c>
      <c r="H1018" s="1">
        <v>1.0</v>
      </c>
      <c r="I1018" s="1" t="s">
        <v>123</v>
      </c>
      <c r="J1018" s="1" t="s">
        <v>2967</v>
      </c>
      <c r="K1018" s="1">
        <v>1.0</v>
      </c>
      <c r="L1018" s="1" t="s">
        <v>2967</v>
      </c>
    </row>
    <row r="1019" hidden="1">
      <c r="A1019" s="34">
        <v>28.0</v>
      </c>
      <c r="B1019" s="34">
        <v>1.0</v>
      </c>
      <c r="C1019" s="34">
        <v>38.0</v>
      </c>
      <c r="D1019" s="1" t="s">
        <v>123</v>
      </c>
      <c r="E1019" s="1" t="s">
        <v>2946</v>
      </c>
      <c r="F1019" s="1" t="s">
        <v>2968</v>
      </c>
      <c r="G1019" s="1">
        <v>27.0</v>
      </c>
      <c r="H1019" s="1">
        <v>4.0</v>
      </c>
      <c r="I1019" s="1" t="s">
        <v>123</v>
      </c>
      <c r="J1019" s="1" t="s">
        <v>2969</v>
      </c>
      <c r="K1019" s="1">
        <v>1.0</v>
      </c>
      <c r="L1019" s="1" t="s">
        <v>2946</v>
      </c>
    </row>
    <row r="1020" hidden="1">
      <c r="A1020" s="34">
        <v>28.0</v>
      </c>
      <c r="B1020" s="34">
        <v>1.0</v>
      </c>
      <c r="C1020" s="34">
        <v>39.0</v>
      </c>
      <c r="D1020" s="1" t="s">
        <v>123</v>
      </c>
      <c r="E1020" s="1" t="s">
        <v>2946</v>
      </c>
      <c r="F1020" s="1" t="s">
        <v>2970</v>
      </c>
      <c r="G1020" s="1">
        <v>27.0</v>
      </c>
      <c r="H1020" s="1">
        <v>4.0</v>
      </c>
      <c r="I1020" s="1" t="s">
        <v>123</v>
      </c>
      <c r="J1020" s="1" t="s">
        <v>2969</v>
      </c>
      <c r="K1020" s="1">
        <v>1.0</v>
      </c>
      <c r="L1020" s="1" t="s">
        <v>2946</v>
      </c>
    </row>
    <row r="1021" hidden="1">
      <c r="A1021" s="34">
        <v>28.0</v>
      </c>
      <c r="B1021" s="34">
        <v>1.0</v>
      </c>
      <c r="C1021" s="34">
        <v>43.0</v>
      </c>
      <c r="D1021" s="1" t="s">
        <v>123</v>
      </c>
      <c r="E1021" s="1" t="s">
        <v>2946</v>
      </c>
      <c r="F1021" s="1" t="s">
        <v>2971</v>
      </c>
      <c r="G1021" s="1">
        <v>27.0</v>
      </c>
      <c r="H1021" s="1">
        <v>4.0</v>
      </c>
      <c r="I1021" s="1" t="s">
        <v>123</v>
      </c>
      <c r="J1021" s="1" t="s">
        <v>2969</v>
      </c>
      <c r="K1021" s="1">
        <v>1.0</v>
      </c>
      <c r="L1021" s="1" t="s">
        <v>2946</v>
      </c>
    </row>
    <row r="1022" hidden="1">
      <c r="A1022" s="34">
        <v>28.0</v>
      </c>
      <c r="B1022" s="34">
        <v>1.0</v>
      </c>
      <c r="C1022" s="34">
        <v>44.0</v>
      </c>
      <c r="D1022" s="1" t="s">
        <v>123</v>
      </c>
      <c r="E1022" s="1" t="s">
        <v>2946</v>
      </c>
      <c r="F1022" s="1" t="s">
        <v>2972</v>
      </c>
      <c r="G1022" s="1">
        <v>27.0</v>
      </c>
      <c r="H1022" s="1">
        <v>4.0</v>
      </c>
      <c r="I1022" s="1" t="s">
        <v>123</v>
      </c>
      <c r="J1022" s="1" t="s">
        <v>2969</v>
      </c>
      <c r="K1022" s="1">
        <v>1.0</v>
      </c>
      <c r="L1022" s="1" t="s">
        <v>2946</v>
      </c>
    </row>
    <row r="1023" hidden="1">
      <c r="A1023" s="34">
        <v>28.0</v>
      </c>
      <c r="B1023" s="34">
        <v>1.0</v>
      </c>
      <c r="C1023" s="34">
        <v>47.0</v>
      </c>
      <c r="D1023" s="1" t="s">
        <v>123</v>
      </c>
      <c r="E1023" s="1" t="s">
        <v>2946</v>
      </c>
      <c r="F1023" s="1" t="s">
        <v>2973</v>
      </c>
      <c r="G1023" s="1">
        <v>27.0</v>
      </c>
      <c r="H1023" s="1">
        <v>4.0</v>
      </c>
      <c r="I1023" s="1" t="s">
        <v>123</v>
      </c>
      <c r="J1023" s="1" t="s">
        <v>2969</v>
      </c>
      <c r="K1023" s="1">
        <v>1.0</v>
      </c>
      <c r="L1023" s="1" t="s">
        <v>2946</v>
      </c>
    </row>
    <row r="1024" hidden="1">
      <c r="A1024" s="34">
        <v>28.0</v>
      </c>
      <c r="B1024" s="34">
        <v>1.0</v>
      </c>
      <c r="C1024" s="34">
        <v>48.0</v>
      </c>
      <c r="D1024" s="1" t="s">
        <v>123</v>
      </c>
      <c r="E1024" s="1" t="s">
        <v>2946</v>
      </c>
      <c r="F1024" s="1" t="s">
        <v>2974</v>
      </c>
      <c r="G1024" s="1">
        <v>27.0</v>
      </c>
      <c r="H1024" s="1">
        <v>13.0</v>
      </c>
      <c r="I1024" s="1" t="s">
        <v>123</v>
      </c>
      <c r="J1024" s="1" t="s">
        <v>2975</v>
      </c>
      <c r="K1024" s="1">
        <v>88.0</v>
      </c>
      <c r="L1024" s="1" t="s">
        <v>2976</v>
      </c>
    </row>
    <row r="1025" hidden="1">
      <c r="A1025" s="34">
        <v>28.0</v>
      </c>
      <c r="B1025" s="34">
        <v>2.0</v>
      </c>
      <c r="C1025" s="34">
        <v>5.0</v>
      </c>
      <c r="D1025" s="1" t="s">
        <v>123</v>
      </c>
      <c r="E1025" s="1" t="s">
        <v>2679</v>
      </c>
      <c r="F1025" s="1" t="s">
        <v>2977</v>
      </c>
      <c r="G1025" s="1">
        <v>27.0</v>
      </c>
      <c r="H1025" s="1">
        <v>2.0</v>
      </c>
      <c r="I1025" s="1" t="s">
        <v>123</v>
      </c>
      <c r="J1025" s="1" t="s">
        <v>2679</v>
      </c>
      <c r="K1025" s="1">
        <v>82.0</v>
      </c>
      <c r="L1025" s="1" t="s">
        <v>2978</v>
      </c>
    </row>
    <row r="1026" hidden="1">
      <c r="A1026" s="34">
        <v>28.0</v>
      </c>
      <c r="B1026" s="34">
        <v>2.0</v>
      </c>
      <c r="C1026" s="34">
        <v>7.0</v>
      </c>
      <c r="D1026" s="1" t="s">
        <v>123</v>
      </c>
      <c r="E1026" s="1" t="s">
        <v>2679</v>
      </c>
      <c r="F1026" s="1" t="s">
        <v>2979</v>
      </c>
      <c r="G1026" s="1">
        <v>27.0</v>
      </c>
      <c r="H1026" s="1">
        <v>2.0</v>
      </c>
      <c r="I1026" s="1" t="s">
        <v>123</v>
      </c>
      <c r="J1026" s="1" t="s">
        <v>2679</v>
      </c>
      <c r="K1026" s="1">
        <v>9.0</v>
      </c>
      <c r="L1026" s="1" t="s">
        <v>2980</v>
      </c>
    </row>
    <row r="1027" hidden="1">
      <c r="A1027" s="34">
        <v>28.0</v>
      </c>
      <c r="B1027" s="34">
        <v>2.0</v>
      </c>
      <c r="C1027" s="34">
        <v>8.0</v>
      </c>
      <c r="D1027" s="1" t="s">
        <v>123</v>
      </c>
      <c r="E1027" s="1" t="s">
        <v>2679</v>
      </c>
      <c r="F1027" s="1" t="s">
        <v>2981</v>
      </c>
      <c r="G1027" s="1">
        <v>27.0</v>
      </c>
      <c r="H1027" s="1">
        <v>2.0</v>
      </c>
      <c r="I1027" s="1" t="s">
        <v>123</v>
      </c>
      <c r="J1027" s="1" t="s">
        <v>2679</v>
      </c>
      <c r="K1027" s="1">
        <v>25.0</v>
      </c>
      <c r="L1027" s="1" t="s">
        <v>2982</v>
      </c>
    </row>
    <row r="1028" hidden="1">
      <c r="A1028" s="34">
        <v>28.0</v>
      </c>
      <c r="B1028" s="34">
        <v>2.0</v>
      </c>
      <c r="C1028" s="34">
        <v>9.0</v>
      </c>
      <c r="D1028" s="1" t="s">
        <v>123</v>
      </c>
      <c r="E1028" s="1" t="s">
        <v>2679</v>
      </c>
      <c r="F1028" s="1" t="s">
        <v>2983</v>
      </c>
      <c r="G1028" s="1">
        <v>27.0</v>
      </c>
      <c r="H1028" s="1">
        <v>2.0</v>
      </c>
      <c r="I1028" s="1" t="s">
        <v>123</v>
      </c>
      <c r="J1028" s="1" t="s">
        <v>2679</v>
      </c>
      <c r="K1028" s="1">
        <v>29.0</v>
      </c>
      <c r="L1028" s="1" t="s">
        <v>2984</v>
      </c>
    </row>
    <row r="1029" hidden="1">
      <c r="A1029" s="34">
        <v>28.0</v>
      </c>
      <c r="B1029" s="34">
        <v>2.0</v>
      </c>
      <c r="C1029" s="34">
        <v>10.0</v>
      </c>
      <c r="D1029" s="1" t="s">
        <v>123</v>
      </c>
      <c r="E1029" s="1" t="s">
        <v>2679</v>
      </c>
      <c r="F1029" s="1" t="s">
        <v>2985</v>
      </c>
      <c r="G1029" s="1">
        <v>27.0</v>
      </c>
      <c r="H1029" s="1">
        <v>2.0</v>
      </c>
      <c r="I1029" s="1" t="s">
        <v>123</v>
      </c>
      <c r="J1029" s="1" t="s">
        <v>2679</v>
      </c>
      <c r="K1029" s="1">
        <v>90.0</v>
      </c>
      <c r="L1029" s="1" t="s">
        <v>2986</v>
      </c>
    </row>
    <row r="1030" hidden="1">
      <c r="A1030" s="34">
        <v>28.0</v>
      </c>
      <c r="B1030" s="34">
        <v>2.0</v>
      </c>
      <c r="C1030" s="34">
        <v>11.0</v>
      </c>
      <c r="D1030" s="1" t="s">
        <v>123</v>
      </c>
      <c r="E1030" s="1" t="s">
        <v>2679</v>
      </c>
      <c r="F1030" s="1" t="s">
        <v>2987</v>
      </c>
      <c r="G1030" s="1">
        <v>27.0</v>
      </c>
      <c r="H1030" s="1">
        <v>5.0</v>
      </c>
      <c r="I1030" s="1" t="s">
        <v>123</v>
      </c>
      <c r="J1030" s="1" t="s">
        <v>2988</v>
      </c>
      <c r="K1030" s="1">
        <v>1.0</v>
      </c>
      <c r="L1030" s="1" t="s">
        <v>2988</v>
      </c>
    </row>
    <row r="1031" hidden="1">
      <c r="A1031" s="34">
        <v>28.0</v>
      </c>
      <c r="B1031" s="34">
        <v>2.0</v>
      </c>
      <c r="C1031" s="34">
        <v>12.0</v>
      </c>
      <c r="D1031" s="1" t="s">
        <v>123</v>
      </c>
      <c r="E1031" s="1" t="s">
        <v>2679</v>
      </c>
      <c r="F1031" s="1" t="s">
        <v>2989</v>
      </c>
      <c r="G1031" s="1">
        <v>27.0</v>
      </c>
      <c r="H1031" s="1">
        <v>8.0</v>
      </c>
      <c r="I1031" s="1" t="s">
        <v>123</v>
      </c>
      <c r="J1031" s="1" t="s">
        <v>2990</v>
      </c>
      <c r="K1031" s="1">
        <v>461.0</v>
      </c>
      <c r="L1031" s="1" t="s">
        <v>2991</v>
      </c>
    </row>
    <row r="1032" hidden="1">
      <c r="A1032" s="34">
        <v>28.0</v>
      </c>
      <c r="B1032" s="34">
        <v>2.0</v>
      </c>
      <c r="C1032" s="34">
        <v>13.0</v>
      </c>
      <c r="D1032" s="1" t="s">
        <v>123</v>
      </c>
      <c r="E1032" s="1" t="s">
        <v>2679</v>
      </c>
      <c r="F1032" s="1" t="s">
        <v>2992</v>
      </c>
      <c r="G1032" s="1">
        <v>27.0</v>
      </c>
      <c r="H1032" s="1">
        <v>8.0</v>
      </c>
      <c r="I1032" s="1" t="s">
        <v>123</v>
      </c>
      <c r="J1032" s="1" t="s">
        <v>2990</v>
      </c>
      <c r="K1032" s="1">
        <v>108.0</v>
      </c>
      <c r="L1032" s="1" t="s">
        <v>2993</v>
      </c>
    </row>
    <row r="1033" hidden="1">
      <c r="A1033" s="34">
        <v>28.0</v>
      </c>
      <c r="B1033" s="34">
        <v>2.0</v>
      </c>
      <c r="C1033" s="34">
        <v>14.0</v>
      </c>
      <c r="D1033" s="1" t="s">
        <v>123</v>
      </c>
      <c r="E1033" s="1" t="s">
        <v>2679</v>
      </c>
      <c r="F1033" s="1" t="s">
        <v>2994</v>
      </c>
      <c r="G1033" s="1">
        <v>27.0</v>
      </c>
      <c r="H1033" s="1">
        <v>2.0</v>
      </c>
      <c r="I1033" s="1" t="s">
        <v>123</v>
      </c>
      <c r="J1033" s="1" t="s">
        <v>2679</v>
      </c>
      <c r="K1033" s="1">
        <v>87.0</v>
      </c>
      <c r="L1033" s="1" t="s">
        <v>2995</v>
      </c>
    </row>
    <row r="1034" hidden="1">
      <c r="A1034" s="34">
        <v>28.0</v>
      </c>
      <c r="B1034" s="34">
        <v>2.0</v>
      </c>
      <c r="C1034" s="34">
        <v>21.0</v>
      </c>
      <c r="D1034" s="1" t="s">
        <v>123</v>
      </c>
      <c r="E1034" s="1" t="s">
        <v>2679</v>
      </c>
      <c r="F1034" s="1" t="s">
        <v>2996</v>
      </c>
      <c r="G1034" s="1">
        <v>27.0</v>
      </c>
      <c r="H1034" s="1">
        <v>14.0</v>
      </c>
      <c r="I1034" s="1" t="s">
        <v>123</v>
      </c>
      <c r="J1034" s="1" t="s">
        <v>2997</v>
      </c>
      <c r="K1034" s="1">
        <v>1.0</v>
      </c>
      <c r="L1034" s="1" t="s">
        <v>2997</v>
      </c>
    </row>
    <row r="1035" hidden="1">
      <c r="A1035" s="34">
        <v>28.0</v>
      </c>
      <c r="B1035" s="34">
        <v>2.0</v>
      </c>
      <c r="C1035" s="34">
        <v>22.0</v>
      </c>
      <c r="D1035" s="1" t="s">
        <v>123</v>
      </c>
      <c r="E1035" s="1" t="s">
        <v>2679</v>
      </c>
      <c r="F1035" s="1" t="s">
        <v>2998</v>
      </c>
      <c r="G1035" s="1">
        <v>27.0</v>
      </c>
      <c r="H1035" s="1">
        <v>6.0</v>
      </c>
      <c r="I1035" s="1" t="s">
        <v>123</v>
      </c>
      <c r="J1035" s="1" t="s">
        <v>2999</v>
      </c>
      <c r="K1035" s="1">
        <v>1.0</v>
      </c>
      <c r="L1035" s="1" t="s">
        <v>2999</v>
      </c>
    </row>
    <row r="1036" hidden="1">
      <c r="A1036" s="34">
        <v>28.0</v>
      </c>
      <c r="B1036" s="34">
        <v>2.0</v>
      </c>
      <c r="C1036" s="34">
        <v>23.0</v>
      </c>
      <c r="D1036" s="1" t="s">
        <v>123</v>
      </c>
      <c r="E1036" s="1" t="s">
        <v>2679</v>
      </c>
      <c r="F1036" s="1" t="s">
        <v>3000</v>
      </c>
      <c r="G1036" s="1">
        <v>27.0</v>
      </c>
      <c r="H1036" s="1">
        <v>8.0</v>
      </c>
      <c r="I1036" s="1" t="s">
        <v>123</v>
      </c>
      <c r="J1036" s="1" t="s">
        <v>2990</v>
      </c>
      <c r="K1036" s="1">
        <v>1.0</v>
      </c>
      <c r="L1036" s="1" t="s">
        <v>2990</v>
      </c>
    </row>
    <row r="1037" hidden="1">
      <c r="A1037" s="34">
        <v>28.0</v>
      </c>
      <c r="B1037" s="34">
        <v>2.0</v>
      </c>
      <c r="C1037" s="34">
        <v>25.0</v>
      </c>
      <c r="D1037" s="1" t="s">
        <v>123</v>
      </c>
      <c r="E1037" s="1" t="s">
        <v>2679</v>
      </c>
      <c r="F1037" s="1" t="s">
        <v>3001</v>
      </c>
      <c r="G1037" s="1">
        <v>27.0</v>
      </c>
      <c r="H1037" s="1">
        <v>2.0</v>
      </c>
      <c r="I1037" s="1" t="s">
        <v>123</v>
      </c>
      <c r="J1037" s="1" t="s">
        <v>2679</v>
      </c>
      <c r="K1037" s="1">
        <v>22.0</v>
      </c>
      <c r="L1037" s="1" t="s">
        <v>3002</v>
      </c>
    </row>
    <row r="1038" hidden="1">
      <c r="A1038" s="34">
        <v>28.0</v>
      </c>
      <c r="B1038" s="34">
        <v>2.0</v>
      </c>
      <c r="C1038" s="34">
        <v>32.0</v>
      </c>
      <c r="D1038" s="1" t="s">
        <v>123</v>
      </c>
      <c r="E1038" s="1" t="s">
        <v>2679</v>
      </c>
      <c r="F1038" s="1" t="s">
        <v>3003</v>
      </c>
      <c r="G1038" s="1">
        <v>27.0</v>
      </c>
      <c r="H1038" s="1">
        <v>8.0</v>
      </c>
      <c r="I1038" s="1" t="s">
        <v>123</v>
      </c>
      <c r="J1038" s="1" t="s">
        <v>2990</v>
      </c>
      <c r="K1038" s="1">
        <v>98.0</v>
      </c>
      <c r="L1038" s="1" t="s">
        <v>3004</v>
      </c>
    </row>
    <row r="1039" hidden="1">
      <c r="A1039" s="34">
        <v>28.0</v>
      </c>
      <c r="B1039" s="34">
        <v>2.0</v>
      </c>
      <c r="C1039" s="34">
        <v>40.0</v>
      </c>
      <c r="D1039" s="1" t="s">
        <v>123</v>
      </c>
      <c r="E1039" s="1" t="s">
        <v>2679</v>
      </c>
      <c r="F1039" s="1" t="s">
        <v>3005</v>
      </c>
      <c r="G1039" s="1">
        <v>27.0</v>
      </c>
      <c r="H1039" s="1">
        <v>8.0</v>
      </c>
      <c r="I1039" s="1" t="s">
        <v>123</v>
      </c>
      <c r="J1039" s="1" t="s">
        <v>2990</v>
      </c>
      <c r="K1039" s="1">
        <v>16.0</v>
      </c>
      <c r="L1039" s="1" t="s">
        <v>3006</v>
      </c>
    </row>
    <row r="1040" hidden="1">
      <c r="A1040" s="34">
        <v>28.0</v>
      </c>
      <c r="B1040" s="34">
        <v>2.0</v>
      </c>
      <c r="C1040" s="34">
        <v>41.0</v>
      </c>
      <c r="D1040" s="1" t="s">
        <v>123</v>
      </c>
      <c r="E1040" s="1" t="s">
        <v>2679</v>
      </c>
      <c r="F1040" s="1" t="s">
        <v>3007</v>
      </c>
      <c r="G1040" s="1">
        <v>27.0</v>
      </c>
      <c r="H1040" s="1">
        <v>2.0</v>
      </c>
      <c r="I1040" s="1" t="s">
        <v>123</v>
      </c>
      <c r="J1040" s="1" t="s">
        <v>2679</v>
      </c>
      <c r="K1040" s="1">
        <v>5.0</v>
      </c>
      <c r="L1040" s="1" t="s">
        <v>3008</v>
      </c>
    </row>
    <row r="1041" hidden="1">
      <c r="A1041" s="34">
        <v>28.0</v>
      </c>
      <c r="B1041" s="34">
        <v>2.0</v>
      </c>
      <c r="C1041" s="34">
        <v>45.0</v>
      </c>
      <c r="D1041" s="1" t="s">
        <v>123</v>
      </c>
      <c r="E1041" s="1" t="s">
        <v>2679</v>
      </c>
      <c r="F1041" s="1" t="s">
        <v>3009</v>
      </c>
      <c r="G1041" s="1">
        <v>27.0</v>
      </c>
      <c r="H1041" s="1">
        <v>2.0</v>
      </c>
      <c r="I1041" s="1" t="s">
        <v>123</v>
      </c>
      <c r="J1041" s="1" t="s">
        <v>2679</v>
      </c>
      <c r="K1041" s="1">
        <v>1.0</v>
      </c>
      <c r="L1041" s="1" t="s">
        <v>2679</v>
      </c>
    </row>
    <row r="1042" hidden="1">
      <c r="A1042" s="34">
        <v>29.0</v>
      </c>
      <c r="B1042" s="34">
        <v>1.0</v>
      </c>
      <c r="C1042" s="34">
        <v>1.0</v>
      </c>
      <c r="D1042" s="1" t="s">
        <v>125</v>
      </c>
      <c r="E1042" s="1" t="s">
        <v>3010</v>
      </c>
      <c r="F1042" s="1" t="s">
        <v>3011</v>
      </c>
      <c r="G1042" s="1">
        <v>28.0</v>
      </c>
      <c r="H1042" s="1">
        <v>41.0</v>
      </c>
      <c r="I1042" s="1" t="s">
        <v>125</v>
      </c>
      <c r="J1042" s="1" t="s">
        <v>3012</v>
      </c>
      <c r="K1042" s="1">
        <v>1.0</v>
      </c>
      <c r="L1042" s="1" t="s">
        <v>3010</v>
      </c>
    </row>
    <row r="1043" hidden="1">
      <c r="A1043" s="34">
        <v>29.0</v>
      </c>
      <c r="B1043" s="34">
        <v>1.0</v>
      </c>
      <c r="C1043" s="34">
        <v>28.0</v>
      </c>
      <c r="D1043" s="1" t="s">
        <v>125</v>
      </c>
      <c r="E1043" s="1" t="s">
        <v>3010</v>
      </c>
      <c r="F1043" s="1" t="s">
        <v>3013</v>
      </c>
      <c r="G1043" s="1">
        <v>28.0</v>
      </c>
      <c r="H1043" s="1">
        <v>19.0</v>
      </c>
      <c r="I1043" s="1" t="s">
        <v>125</v>
      </c>
      <c r="J1043" s="1" t="s">
        <v>3014</v>
      </c>
      <c r="K1043" s="1">
        <v>1.0</v>
      </c>
      <c r="L1043" s="1" t="s">
        <v>3015</v>
      </c>
    </row>
    <row r="1044" hidden="1">
      <c r="A1044" s="34">
        <v>29.0</v>
      </c>
      <c r="B1044" s="34">
        <v>1.0</v>
      </c>
      <c r="C1044" s="34">
        <v>31.0</v>
      </c>
      <c r="D1044" s="1" t="s">
        <v>125</v>
      </c>
      <c r="E1044" s="1" t="s">
        <v>3010</v>
      </c>
      <c r="F1044" s="1" t="s">
        <v>3016</v>
      </c>
      <c r="G1044" s="1">
        <v>28.0</v>
      </c>
      <c r="H1044" s="1">
        <v>13.0</v>
      </c>
      <c r="I1044" s="1" t="s">
        <v>125</v>
      </c>
      <c r="J1044" s="1" t="s">
        <v>3017</v>
      </c>
      <c r="K1044" s="1">
        <v>1.0</v>
      </c>
      <c r="L1044" s="1" t="s">
        <v>3017</v>
      </c>
    </row>
    <row r="1045" hidden="1">
      <c r="A1045" s="34">
        <v>29.0</v>
      </c>
      <c r="B1045" s="34">
        <v>1.0</v>
      </c>
      <c r="C1045" s="34">
        <v>67.0</v>
      </c>
      <c r="D1045" s="1" t="s">
        <v>125</v>
      </c>
      <c r="E1045" s="1" t="s">
        <v>3010</v>
      </c>
      <c r="F1045" s="1" t="s">
        <v>3018</v>
      </c>
      <c r="G1045" s="1">
        <v>28.0</v>
      </c>
      <c r="H1045" s="1">
        <v>41.0</v>
      </c>
      <c r="I1045" s="1" t="s">
        <v>125</v>
      </c>
      <c r="J1045" s="1" t="s">
        <v>3012</v>
      </c>
      <c r="K1045" s="1">
        <v>1.0</v>
      </c>
      <c r="L1045" s="1" t="s">
        <v>3010</v>
      </c>
    </row>
    <row r="1046" hidden="1">
      <c r="A1046" s="34">
        <v>29.0</v>
      </c>
      <c r="B1046" s="34">
        <v>1.0</v>
      </c>
      <c r="C1046" s="34">
        <v>68.0</v>
      </c>
      <c r="D1046" s="1" t="s">
        <v>125</v>
      </c>
      <c r="E1046" s="1" t="s">
        <v>3010</v>
      </c>
      <c r="F1046" s="1" t="s">
        <v>3019</v>
      </c>
      <c r="G1046" s="1">
        <v>28.0</v>
      </c>
      <c r="H1046" s="1">
        <v>18.0</v>
      </c>
      <c r="I1046" s="1" t="s">
        <v>125</v>
      </c>
      <c r="J1046" s="1" t="s">
        <v>924</v>
      </c>
      <c r="K1046" s="1">
        <v>1.0</v>
      </c>
      <c r="L1046" s="1" t="s">
        <v>3020</v>
      </c>
    </row>
    <row r="1047" hidden="1">
      <c r="A1047" s="34">
        <v>29.0</v>
      </c>
      <c r="B1047" s="34">
        <v>1.0</v>
      </c>
      <c r="C1047" s="34">
        <v>69.0</v>
      </c>
      <c r="D1047" s="1" t="s">
        <v>125</v>
      </c>
      <c r="E1047" s="1" t="s">
        <v>3010</v>
      </c>
      <c r="F1047" s="1" t="s">
        <v>3021</v>
      </c>
      <c r="G1047" s="1">
        <v>28.0</v>
      </c>
      <c r="H1047" s="1">
        <v>1.0</v>
      </c>
      <c r="I1047" s="1" t="s">
        <v>125</v>
      </c>
      <c r="J1047" s="1" t="s">
        <v>1039</v>
      </c>
      <c r="K1047" s="1">
        <v>1.0</v>
      </c>
      <c r="L1047" s="1" t="s">
        <v>1039</v>
      </c>
    </row>
    <row r="1048" hidden="1">
      <c r="A1048" s="34">
        <v>29.0</v>
      </c>
      <c r="B1048" s="34">
        <v>1.0</v>
      </c>
      <c r="C1048" s="34">
        <v>70.0</v>
      </c>
      <c r="D1048" s="1" t="s">
        <v>125</v>
      </c>
      <c r="E1048" s="1" t="s">
        <v>3010</v>
      </c>
      <c r="F1048" s="1" t="s">
        <v>3022</v>
      </c>
      <c r="G1048" s="1">
        <v>28.0</v>
      </c>
      <c r="H1048" s="1">
        <v>37.0</v>
      </c>
      <c r="I1048" s="1" t="s">
        <v>125</v>
      </c>
      <c r="J1048" s="1" t="s">
        <v>3023</v>
      </c>
      <c r="K1048" s="1">
        <v>1.0</v>
      </c>
      <c r="L1048" s="1" t="s">
        <v>3024</v>
      </c>
    </row>
    <row r="1049" hidden="1">
      <c r="A1049" s="34">
        <v>29.0</v>
      </c>
      <c r="B1049" s="34">
        <v>1.0</v>
      </c>
      <c r="C1049" s="34">
        <v>72.0</v>
      </c>
      <c r="D1049" s="1" t="s">
        <v>125</v>
      </c>
      <c r="E1049" s="1" t="s">
        <v>3010</v>
      </c>
      <c r="F1049" s="1" t="s">
        <v>3025</v>
      </c>
      <c r="G1049" s="1">
        <v>28.0</v>
      </c>
      <c r="H1049" s="1">
        <v>16.0</v>
      </c>
      <c r="I1049" s="1" t="s">
        <v>125</v>
      </c>
      <c r="J1049" s="1" t="s">
        <v>96</v>
      </c>
      <c r="K1049" s="1">
        <v>1.0</v>
      </c>
      <c r="L1049" s="1" t="s">
        <v>96</v>
      </c>
    </row>
    <row r="1050" hidden="1">
      <c r="A1050" s="34">
        <v>29.0</v>
      </c>
      <c r="B1050" s="34">
        <v>1.0</v>
      </c>
      <c r="C1050" s="34">
        <v>73.0</v>
      </c>
      <c r="D1050" s="1" t="s">
        <v>125</v>
      </c>
      <c r="E1050" s="1" t="s">
        <v>3010</v>
      </c>
      <c r="F1050" s="1" t="s">
        <v>3026</v>
      </c>
      <c r="G1050" s="1">
        <v>28.0</v>
      </c>
      <c r="H1050" s="1">
        <v>42.0</v>
      </c>
      <c r="I1050" s="1" t="s">
        <v>125</v>
      </c>
      <c r="J1050" s="1" t="s">
        <v>1064</v>
      </c>
      <c r="K1050" s="1">
        <v>1.0</v>
      </c>
      <c r="L1050" s="1" t="s">
        <v>1064</v>
      </c>
    </row>
    <row r="1051" hidden="1">
      <c r="A1051" s="34">
        <v>29.0</v>
      </c>
      <c r="B1051" s="34">
        <v>4.0</v>
      </c>
      <c r="C1051" s="34">
        <v>7.0</v>
      </c>
      <c r="D1051" s="1" t="s">
        <v>125</v>
      </c>
      <c r="E1051" s="1" t="s">
        <v>3027</v>
      </c>
      <c r="F1051" s="1" t="s">
        <v>3028</v>
      </c>
      <c r="G1051" s="1">
        <v>28.0</v>
      </c>
      <c r="H1051" s="1">
        <v>32.0</v>
      </c>
      <c r="I1051" s="1" t="s">
        <v>125</v>
      </c>
      <c r="J1051" s="1" t="s">
        <v>3027</v>
      </c>
      <c r="K1051" s="1">
        <v>1.0</v>
      </c>
      <c r="L1051" s="1" t="s">
        <v>3027</v>
      </c>
    </row>
    <row r="1052" hidden="1">
      <c r="A1052" s="34">
        <v>29.0</v>
      </c>
      <c r="B1052" s="34">
        <v>4.0</v>
      </c>
      <c r="C1052" s="34">
        <v>17.0</v>
      </c>
      <c r="D1052" s="1" t="s">
        <v>125</v>
      </c>
      <c r="E1052" s="1" t="s">
        <v>3027</v>
      </c>
      <c r="F1052" s="1" t="s">
        <v>3029</v>
      </c>
      <c r="G1052" s="1">
        <v>28.0</v>
      </c>
      <c r="H1052" s="1">
        <v>33.0</v>
      </c>
      <c r="I1052" s="1" t="s">
        <v>125</v>
      </c>
      <c r="J1052" s="1" t="s">
        <v>3030</v>
      </c>
      <c r="K1052" s="1">
        <v>1.0</v>
      </c>
      <c r="L1052" s="1" t="s">
        <v>3031</v>
      </c>
    </row>
    <row r="1053" hidden="1">
      <c r="A1053" s="34">
        <v>29.0</v>
      </c>
      <c r="B1053" s="34">
        <v>4.0</v>
      </c>
      <c r="C1053" s="34">
        <v>19.0</v>
      </c>
      <c r="D1053" s="1" t="s">
        <v>125</v>
      </c>
      <c r="E1053" s="1" t="s">
        <v>3027</v>
      </c>
      <c r="F1053" s="1" t="s">
        <v>3032</v>
      </c>
      <c r="G1053" s="1">
        <v>28.0</v>
      </c>
      <c r="H1053" s="1">
        <v>25.0</v>
      </c>
      <c r="I1053" s="1" t="s">
        <v>125</v>
      </c>
      <c r="J1053" s="1" t="s">
        <v>3033</v>
      </c>
      <c r="K1053" s="1">
        <v>1.0</v>
      </c>
      <c r="L1053" s="1" t="s">
        <v>3034</v>
      </c>
    </row>
    <row r="1054" hidden="1">
      <c r="A1054" s="34">
        <v>29.0</v>
      </c>
      <c r="B1054" s="34">
        <v>4.0</v>
      </c>
      <c r="C1054" s="34">
        <v>20.0</v>
      </c>
      <c r="D1054" s="1" t="s">
        <v>125</v>
      </c>
      <c r="E1054" s="1" t="s">
        <v>3027</v>
      </c>
      <c r="F1054" s="1" t="s">
        <v>3035</v>
      </c>
      <c r="G1054" s="1">
        <v>28.0</v>
      </c>
      <c r="H1054" s="1">
        <v>7.0</v>
      </c>
      <c r="I1054" s="1" t="s">
        <v>125</v>
      </c>
      <c r="J1054" s="1" t="s">
        <v>869</v>
      </c>
      <c r="K1054" s="1">
        <v>1.0</v>
      </c>
      <c r="L1054" s="1" t="s">
        <v>3036</v>
      </c>
    </row>
    <row r="1055" hidden="1">
      <c r="A1055" s="34">
        <v>29.0</v>
      </c>
      <c r="B1055" s="34">
        <v>4.0</v>
      </c>
      <c r="C1055" s="34">
        <v>21.0</v>
      </c>
      <c r="D1055" s="1" t="s">
        <v>125</v>
      </c>
      <c r="E1055" s="1" t="s">
        <v>3027</v>
      </c>
      <c r="F1055" s="1" t="s">
        <v>3037</v>
      </c>
      <c r="G1055" s="1">
        <v>28.0</v>
      </c>
      <c r="H1055" s="1">
        <v>14.0</v>
      </c>
      <c r="I1055" s="1" t="s">
        <v>125</v>
      </c>
      <c r="J1055" s="1" t="s">
        <v>94</v>
      </c>
      <c r="K1055" s="1">
        <v>1.0</v>
      </c>
      <c r="L1055" s="1" t="s">
        <v>3038</v>
      </c>
    </row>
    <row r="1056" hidden="1">
      <c r="A1056" s="34">
        <v>29.0</v>
      </c>
      <c r="B1056" s="34">
        <v>4.0</v>
      </c>
      <c r="C1056" s="34">
        <v>22.0</v>
      </c>
      <c r="D1056" s="1" t="s">
        <v>125</v>
      </c>
      <c r="E1056" s="1" t="s">
        <v>3027</v>
      </c>
      <c r="F1056" s="1" t="s">
        <v>3039</v>
      </c>
      <c r="G1056" s="1">
        <v>28.0</v>
      </c>
      <c r="H1056" s="1">
        <v>24.0</v>
      </c>
      <c r="I1056" s="1" t="s">
        <v>125</v>
      </c>
      <c r="J1056" s="1" t="s">
        <v>3040</v>
      </c>
      <c r="K1056" s="1">
        <v>1.0</v>
      </c>
      <c r="L1056" s="1" t="s">
        <v>3040</v>
      </c>
    </row>
    <row r="1057" hidden="1">
      <c r="A1057" s="34">
        <v>29.0</v>
      </c>
      <c r="B1057" s="34">
        <v>4.0</v>
      </c>
      <c r="C1057" s="34">
        <v>23.0</v>
      </c>
      <c r="D1057" s="1" t="s">
        <v>125</v>
      </c>
      <c r="E1057" s="1" t="s">
        <v>3027</v>
      </c>
      <c r="F1057" s="1" t="s">
        <v>3041</v>
      </c>
      <c r="G1057" s="1">
        <v>28.0</v>
      </c>
      <c r="H1057" s="1">
        <v>15.0</v>
      </c>
      <c r="I1057" s="1" t="s">
        <v>125</v>
      </c>
      <c r="J1057" s="1" t="s">
        <v>592</v>
      </c>
      <c r="K1057" s="1">
        <v>1.0</v>
      </c>
      <c r="L1057" s="1" t="s">
        <v>3042</v>
      </c>
    </row>
    <row r="1058" hidden="1">
      <c r="A1058" s="34">
        <v>29.0</v>
      </c>
      <c r="B1058" s="34">
        <v>4.0</v>
      </c>
      <c r="C1058" s="34">
        <v>33.0</v>
      </c>
      <c r="D1058" s="1" t="s">
        <v>125</v>
      </c>
      <c r="E1058" s="1" t="s">
        <v>3027</v>
      </c>
      <c r="F1058" s="1" t="s">
        <v>3043</v>
      </c>
      <c r="G1058" s="1">
        <v>28.0</v>
      </c>
      <c r="H1058" s="1">
        <v>32.0</v>
      </c>
      <c r="I1058" s="1" t="s">
        <v>125</v>
      </c>
      <c r="J1058" s="1" t="s">
        <v>3027</v>
      </c>
      <c r="K1058" s="1">
        <v>1.0</v>
      </c>
      <c r="L1058" s="1" t="s">
        <v>3027</v>
      </c>
    </row>
    <row r="1059" hidden="1">
      <c r="A1059" s="34">
        <v>29.0</v>
      </c>
      <c r="B1059" s="34">
        <v>4.0</v>
      </c>
      <c r="C1059" s="34">
        <v>40.0</v>
      </c>
      <c r="D1059" s="1" t="s">
        <v>125</v>
      </c>
      <c r="E1059" s="1" t="s">
        <v>3027</v>
      </c>
      <c r="F1059" s="1" t="s">
        <v>3044</v>
      </c>
      <c r="G1059" s="1">
        <v>28.0</v>
      </c>
      <c r="H1059" s="1">
        <v>32.0</v>
      </c>
      <c r="I1059" s="1" t="s">
        <v>125</v>
      </c>
      <c r="J1059" s="1" t="s">
        <v>3027</v>
      </c>
      <c r="K1059" s="1">
        <v>1.0</v>
      </c>
      <c r="L1059" s="1" t="s">
        <v>3027</v>
      </c>
    </row>
    <row r="1060" hidden="1">
      <c r="A1060" s="34">
        <v>29.0</v>
      </c>
      <c r="B1060" s="34">
        <v>4.0</v>
      </c>
      <c r="C1060" s="34">
        <v>41.0</v>
      </c>
      <c r="D1060" s="1" t="s">
        <v>125</v>
      </c>
      <c r="E1060" s="1" t="s">
        <v>3027</v>
      </c>
      <c r="F1060" s="1" t="s">
        <v>3045</v>
      </c>
      <c r="G1060" s="1">
        <v>28.0</v>
      </c>
      <c r="H1060" s="1">
        <v>32.0</v>
      </c>
      <c r="I1060" s="1" t="s">
        <v>125</v>
      </c>
      <c r="J1060" s="1" t="s">
        <v>3027</v>
      </c>
      <c r="K1060" s="1">
        <v>1.0</v>
      </c>
      <c r="L1060" s="1" t="s">
        <v>3027</v>
      </c>
    </row>
    <row r="1061" hidden="1">
      <c r="A1061" s="34">
        <v>29.0</v>
      </c>
      <c r="B1061" s="34">
        <v>10.0</v>
      </c>
      <c r="C1061" s="34">
        <v>7.0</v>
      </c>
      <c r="D1061" s="1" t="s">
        <v>125</v>
      </c>
      <c r="E1061" s="1" t="s">
        <v>3046</v>
      </c>
      <c r="F1061" s="1" t="s">
        <v>3047</v>
      </c>
      <c r="G1061" s="1">
        <v>30.0</v>
      </c>
      <c r="H1061" s="1">
        <v>123.0</v>
      </c>
      <c r="I1061" s="1" t="s">
        <v>3048</v>
      </c>
      <c r="J1061" s="1" t="s">
        <v>3049</v>
      </c>
      <c r="K1061" s="1">
        <v>1.0</v>
      </c>
      <c r="L1061" s="1" t="s">
        <v>3049</v>
      </c>
    </row>
    <row r="1062" hidden="1">
      <c r="A1062" s="34">
        <v>29.0</v>
      </c>
      <c r="B1062" s="34">
        <v>10.0</v>
      </c>
      <c r="C1062" s="34">
        <v>8.0</v>
      </c>
      <c r="D1062" s="1" t="s">
        <v>125</v>
      </c>
      <c r="E1062" s="1" t="s">
        <v>3046</v>
      </c>
      <c r="F1062" s="1" t="s">
        <v>3050</v>
      </c>
      <c r="G1062" s="1">
        <v>28.0</v>
      </c>
      <c r="H1062" s="1">
        <v>3.0</v>
      </c>
      <c r="I1062" s="1" t="s">
        <v>125</v>
      </c>
      <c r="J1062" s="1" t="s">
        <v>3051</v>
      </c>
      <c r="K1062" s="1">
        <v>43.0</v>
      </c>
      <c r="L1062" s="1" t="s">
        <v>731</v>
      </c>
    </row>
    <row r="1063" hidden="1">
      <c r="A1063" s="34">
        <v>29.0</v>
      </c>
      <c r="B1063" s="34">
        <v>10.0</v>
      </c>
      <c r="C1063" s="34">
        <v>9.0</v>
      </c>
      <c r="D1063" s="1" t="s">
        <v>125</v>
      </c>
      <c r="E1063" s="1" t="s">
        <v>3046</v>
      </c>
      <c r="F1063" s="1" t="s">
        <v>3052</v>
      </c>
      <c r="G1063" s="1">
        <v>30.0</v>
      </c>
      <c r="H1063" s="1">
        <v>205.0</v>
      </c>
      <c r="I1063" s="1" t="s">
        <v>3048</v>
      </c>
      <c r="J1063" s="1" t="s">
        <v>3053</v>
      </c>
      <c r="K1063" s="1">
        <v>1.0</v>
      </c>
      <c r="L1063" s="1" t="s">
        <v>3053</v>
      </c>
    </row>
    <row r="1064" hidden="1">
      <c r="A1064" s="34">
        <v>29.0</v>
      </c>
      <c r="B1064" s="34">
        <v>10.0</v>
      </c>
      <c r="C1064" s="34">
        <v>10.0</v>
      </c>
      <c r="D1064" s="1" t="s">
        <v>125</v>
      </c>
      <c r="E1064" s="1" t="s">
        <v>3046</v>
      </c>
      <c r="F1064" s="1" t="s">
        <v>3054</v>
      </c>
      <c r="G1064" s="1">
        <v>28.0</v>
      </c>
      <c r="H1064" s="1">
        <v>3.0</v>
      </c>
      <c r="I1064" s="1" t="s">
        <v>125</v>
      </c>
      <c r="J1064" s="1" t="s">
        <v>3051</v>
      </c>
      <c r="K1064" s="1">
        <v>1.0</v>
      </c>
      <c r="L1064" s="1" t="s">
        <v>3051</v>
      </c>
    </row>
    <row r="1065" hidden="1">
      <c r="A1065" s="34">
        <v>29.0</v>
      </c>
      <c r="B1065" s="34">
        <v>10.0</v>
      </c>
      <c r="C1065" s="34">
        <v>16.0</v>
      </c>
      <c r="D1065" s="1" t="s">
        <v>125</v>
      </c>
      <c r="E1065" s="1" t="s">
        <v>3046</v>
      </c>
      <c r="F1065" s="1" t="s">
        <v>3055</v>
      </c>
      <c r="G1065" s="1">
        <v>28.0</v>
      </c>
      <c r="H1065" s="1">
        <v>3.0</v>
      </c>
      <c r="I1065" s="1" t="s">
        <v>125</v>
      </c>
      <c r="J1065" s="1" t="s">
        <v>3051</v>
      </c>
      <c r="K1065" s="1">
        <v>1.0</v>
      </c>
      <c r="L1065" s="1" t="s">
        <v>3051</v>
      </c>
    </row>
    <row r="1066" hidden="1">
      <c r="A1066" s="34">
        <v>29.0</v>
      </c>
      <c r="B1066" s="34">
        <v>10.0</v>
      </c>
      <c r="C1066" s="34">
        <v>37.0</v>
      </c>
      <c r="D1066" s="1" t="s">
        <v>125</v>
      </c>
      <c r="E1066" s="1" t="s">
        <v>3046</v>
      </c>
      <c r="F1066" s="1" t="s">
        <v>3056</v>
      </c>
      <c r="G1066" s="1">
        <v>30.0</v>
      </c>
      <c r="H1066" s="1">
        <v>133.0</v>
      </c>
      <c r="I1066" s="1" t="s">
        <v>3048</v>
      </c>
      <c r="J1066" s="1" t="s">
        <v>3057</v>
      </c>
      <c r="K1066" s="1">
        <v>1.0</v>
      </c>
      <c r="L1066" s="1" t="s">
        <v>3058</v>
      </c>
    </row>
    <row r="1067" hidden="1">
      <c r="A1067" s="34">
        <v>29.0</v>
      </c>
      <c r="B1067" s="34">
        <v>10.0</v>
      </c>
      <c r="C1067" s="34">
        <v>38.0</v>
      </c>
      <c r="D1067" s="1" t="s">
        <v>125</v>
      </c>
      <c r="E1067" s="1" t="s">
        <v>3046</v>
      </c>
      <c r="F1067" s="1" t="s">
        <v>3059</v>
      </c>
      <c r="G1067" s="1">
        <v>28.0</v>
      </c>
      <c r="H1067" s="1">
        <v>38.0</v>
      </c>
      <c r="I1067" s="1" t="s">
        <v>125</v>
      </c>
      <c r="J1067" s="1" t="s">
        <v>3046</v>
      </c>
      <c r="K1067" s="1">
        <v>1.0</v>
      </c>
      <c r="L1067" s="1" t="s">
        <v>3046</v>
      </c>
    </row>
    <row r="1068" hidden="1">
      <c r="A1068" s="34">
        <v>29.0</v>
      </c>
      <c r="B1068" s="34">
        <v>10.0</v>
      </c>
      <c r="C1068" s="34">
        <v>74.0</v>
      </c>
      <c r="D1068" s="1" t="s">
        <v>125</v>
      </c>
      <c r="E1068" s="1" t="s">
        <v>3046</v>
      </c>
      <c r="F1068" s="1" t="s">
        <v>3060</v>
      </c>
      <c r="G1068" s="1">
        <v>30.0</v>
      </c>
      <c r="H1068" s="1">
        <v>152.0</v>
      </c>
      <c r="I1068" s="1" t="s">
        <v>3048</v>
      </c>
      <c r="J1068" s="1" t="s">
        <v>3061</v>
      </c>
      <c r="K1068" s="1">
        <v>1.0</v>
      </c>
      <c r="L1068" s="1" t="s">
        <v>3061</v>
      </c>
    </row>
    <row r="1069" hidden="1">
      <c r="A1069" s="34">
        <v>29.0</v>
      </c>
      <c r="B1069" s="34">
        <v>10.0</v>
      </c>
      <c r="C1069" s="34">
        <v>75.0</v>
      </c>
      <c r="D1069" s="1" t="s">
        <v>125</v>
      </c>
      <c r="E1069" s="1" t="s">
        <v>3046</v>
      </c>
      <c r="F1069" s="1" t="s">
        <v>3062</v>
      </c>
      <c r="G1069" s="1">
        <v>30.0</v>
      </c>
      <c r="H1069" s="1">
        <v>133.0</v>
      </c>
      <c r="I1069" s="1" t="s">
        <v>3048</v>
      </c>
      <c r="J1069" s="1" t="s">
        <v>3057</v>
      </c>
      <c r="K1069" s="1">
        <v>1.0</v>
      </c>
      <c r="L1069" s="1" t="s">
        <v>3058</v>
      </c>
    </row>
    <row r="1070" hidden="1">
      <c r="A1070" s="34">
        <v>29.0</v>
      </c>
      <c r="B1070" s="34">
        <v>10.0</v>
      </c>
      <c r="C1070" s="34">
        <v>77.0</v>
      </c>
      <c r="D1070" s="1" t="s">
        <v>125</v>
      </c>
      <c r="E1070" s="1" t="s">
        <v>3046</v>
      </c>
      <c r="F1070" s="1" t="s">
        <v>3063</v>
      </c>
      <c r="G1070" s="1">
        <v>28.0</v>
      </c>
      <c r="H1070" s="1">
        <v>9.0</v>
      </c>
      <c r="I1070" s="1" t="s">
        <v>125</v>
      </c>
      <c r="J1070" s="1" t="s">
        <v>3064</v>
      </c>
      <c r="K1070" s="1">
        <v>1.0</v>
      </c>
      <c r="L1070" s="1" t="s">
        <v>3064</v>
      </c>
    </row>
    <row r="1071" hidden="1">
      <c r="A1071" s="34">
        <v>29.0</v>
      </c>
      <c r="B1071" s="34">
        <v>13.0</v>
      </c>
      <c r="C1071" s="34">
        <v>2.0</v>
      </c>
      <c r="D1071" s="1" t="s">
        <v>125</v>
      </c>
      <c r="E1071" s="1" t="s">
        <v>3065</v>
      </c>
      <c r="F1071" s="1" t="s">
        <v>3066</v>
      </c>
      <c r="G1071" s="1">
        <v>28.0</v>
      </c>
      <c r="H1071" s="1">
        <v>21.0</v>
      </c>
      <c r="I1071" s="1" t="s">
        <v>125</v>
      </c>
      <c r="J1071" s="1" t="s">
        <v>3067</v>
      </c>
      <c r="K1071" s="1">
        <v>73.0</v>
      </c>
      <c r="L1071" s="1" t="s">
        <v>1349</v>
      </c>
    </row>
    <row r="1072" hidden="1">
      <c r="A1072" s="34">
        <v>29.0</v>
      </c>
      <c r="B1072" s="34">
        <v>13.0</v>
      </c>
      <c r="C1072" s="34">
        <v>4.0</v>
      </c>
      <c r="D1072" s="1" t="s">
        <v>125</v>
      </c>
      <c r="E1072" s="1" t="s">
        <v>3065</v>
      </c>
      <c r="F1072" s="1" t="s">
        <v>3068</v>
      </c>
      <c r="G1072" s="1">
        <v>28.0</v>
      </c>
      <c r="H1072" s="1">
        <v>43.0</v>
      </c>
      <c r="I1072" s="1" t="s">
        <v>125</v>
      </c>
      <c r="J1072" s="1" t="s">
        <v>3069</v>
      </c>
      <c r="K1072" s="1">
        <v>1.0</v>
      </c>
      <c r="L1072" s="1" t="s">
        <v>3069</v>
      </c>
    </row>
    <row r="1073" hidden="1">
      <c r="A1073" s="34">
        <v>29.0</v>
      </c>
      <c r="B1073" s="34">
        <v>13.0</v>
      </c>
      <c r="C1073" s="34">
        <v>5.0</v>
      </c>
      <c r="D1073" s="1" t="s">
        <v>125</v>
      </c>
      <c r="E1073" s="1" t="s">
        <v>3065</v>
      </c>
      <c r="F1073" s="1" t="s">
        <v>3070</v>
      </c>
      <c r="G1073" s="1">
        <v>28.0</v>
      </c>
      <c r="H1073" s="1">
        <v>43.0</v>
      </c>
      <c r="I1073" s="1" t="s">
        <v>125</v>
      </c>
      <c r="J1073" s="1" t="s">
        <v>3069</v>
      </c>
      <c r="K1073" s="1">
        <v>1.0</v>
      </c>
      <c r="L1073" s="1" t="s">
        <v>3069</v>
      </c>
    </row>
    <row r="1074" hidden="1">
      <c r="A1074" s="34">
        <v>29.0</v>
      </c>
      <c r="B1074" s="34">
        <v>13.0</v>
      </c>
      <c r="C1074" s="34">
        <v>14.0</v>
      </c>
      <c r="D1074" s="1" t="s">
        <v>125</v>
      </c>
      <c r="E1074" s="1" t="s">
        <v>3065</v>
      </c>
      <c r="F1074" s="1" t="s">
        <v>3071</v>
      </c>
      <c r="G1074" s="1">
        <v>28.0</v>
      </c>
      <c r="H1074" s="1">
        <v>21.0</v>
      </c>
      <c r="I1074" s="1" t="s">
        <v>125</v>
      </c>
      <c r="J1074" s="1" t="s">
        <v>3067</v>
      </c>
      <c r="K1074" s="1">
        <v>91.0</v>
      </c>
      <c r="L1074" s="1" t="s">
        <v>3072</v>
      </c>
    </row>
    <row r="1075" hidden="1">
      <c r="A1075" s="34">
        <v>29.0</v>
      </c>
      <c r="B1075" s="34">
        <v>13.0</v>
      </c>
      <c r="C1075" s="34">
        <v>24.0</v>
      </c>
      <c r="D1075" s="1" t="s">
        <v>125</v>
      </c>
      <c r="E1075" s="1" t="s">
        <v>3065</v>
      </c>
      <c r="F1075" s="1" t="s">
        <v>3073</v>
      </c>
      <c r="G1075" s="1">
        <v>28.0</v>
      </c>
      <c r="H1075" s="1">
        <v>21.0</v>
      </c>
      <c r="I1075" s="1" t="s">
        <v>125</v>
      </c>
      <c r="J1075" s="1" t="s">
        <v>3067</v>
      </c>
      <c r="K1075" s="1">
        <v>1.0</v>
      </c>
      <c r="L1075" s="1" t="s">
        <v>3065</v>
      </c>
    </row>
    <row r="1076" hidden="1">
      <c r="A1076" s="34">
        <v>29.0</v>
      </c>
      <c r="B1076" s="34">
        <v>13.0</v>
      </c>
      <c r="C1076" s="34">
        <v>25.0</v>
      </c>
      <c r="D1076" s="1" t="s">
        <v>125</v>
      </c>
      <c r="E1076" s="1" t="s">
        <v>3065</v>
      </c>
      <c r="F1076" s="1" t="s">
        <v>3074</v>
      </c>
      <c r="G1076" s="1">
        <v>28.0</v>
      </c>
      <c r="H1076" s="1">
        <v>12.0</v>
      </c>
      <c r="I1076" s="1" t="s">
        <v>125</v>
      </c>
      <c r="J1076" s="1" t="s">
        <v>3075</v>
      </c>
      <c r="K1076" s="1">
        <v>1.0</v>
      </c>
      <c r="L1076" s="1" t="s">
        <v>3075</v>
      </c>
    </row>
    <row r="1077" hidden="1">
      <c r="A1077" s="34">
        <v>29.0</v>
      </c>
      <c r="B1077" s="34">
        <v>13.0</v>
      </c>
      <c r="C1077" s="34">
        <v>26.0</v>
      </c>
      <c r="D1077" s="1" t="s">
        <v>125</v>
      </c>
      <c r="E1077" s="1" t="s">
        <v>3065</v>
      </c>
      <c r="F1077" s="1" t="s">
        <v>3076</v>
      </c>
      <c r="G1077" s="1">
        <v>28.0</v>
      </c>
      <c r="H1077" s="1">
        <v>11.0</v>
      </c>
      <c r="I1077" s="1" t="s">
        <v>125</v>
      </c>
      <c r="J1077" s="1" t="s">
        <v>855</v>
      </c>
      <c r="K1077" s="1">
        <v>1.0</v>
      </c>
      <c r="L1077" s="1" t="s">
        <v>3077</v>
      </c>
    </row>
    <row r="1078" hidden="1">
      <c r="A1078" s="34">
        <v>29.0</v>
      </c>
      <c r="B1078" s="34">
        <v>13.0</v>
      </c>
      <c r="C1078" s="34">
        <v>27.0</v>
      </c>
      <c r="D1078" s="1" t="s">
        <v>125</v>
      </c>
      <c r="E1078" s="1" t="s">
        <v>3065</v>
      </c>
      <c r="F1078" s="1" t="s">
        <v>3078</v>
      </c>
      <c r="G1078" s="1">
        <v>28.0</v>
      </c>
      <c r="H1078" s="1">
        <v>29.0</v>
      </c>
      <c r="I1078" s="1" t="s">
        <v>125</v>
      </c>
      <c r="J1078" s="1" t="s">
        <v>703</v>
      </c>
      <c r="K1078" s="1">
        <v>1.0</v>
      </c>
      <c r="L1078" s="1" t="s">
        <v>703</v>
      </c>
    </row>
    <row r="1079" hidden="1">
      <c r="A1079" s="34">
        <v>29.0</v>
      </c>
      <c r="B1079" s="34">
        <v>13.0</v>
      </c>
      <c r="C1079" s="34">
        <v>29.0</v>
      </c>
      <c r="D1079" s="1" t="s">
        <v>125</v>
      </c>
      <c r="E1079" s="1" t="s">
        <v>3065</v>
      </c>
      <c r="F1079" s="1" t="s">
        <v>3079</v>
      </c>
      <c r="G1079" s="1">
        <v>28.0</v>
      </c>
      <c r="H1079" s="1">
        <v>12.0</v>
      </c>
      <c r="I1079" s="1" t="s">
        <v>125</v>
      </c>
      <c r="J1079" s="1" t="s">
        <v>3075</v>
      </c>
      <c r="K1079" s="1">
        <v>1.0</v>
      </c>
      <c r="L1079" s="1" t="s">
        <v>3075</v>
      </c>
    </row>
    <row r="1080" hidden="1">
      <c r="A1080" s="34">
        <v>29.0</v>
      </c>
      <c r="B1080" s="34">
        <v>13.0</v>
      </c>
      <c r="C1080" s="34">
        <v>30.0</v>
      </c>
      <c r="D1080" s="1" t="s">
        <v>125</v>
      </c>
      <c r="E1080" s="1" t="s">
        <v>3065</v>
      </c>
      <c r="F1080" s="1" t="s">
        <v>3080</v>
      </c>
      <c r="G1080" s="1">
        <v>28.0</v>
      </c>
      <c r="H1080" s="1">
        <v>2.0</v>
      </c>
      <c r="I1080" s="1" t="s">
        <v>125</v>
      </c>
      <c r="J1080" s="1" t="s">
        <v>824</v>
      </c>
      <c r="K1080" s="1">
        <v>1.0</v>
      </c>
      <c r="L1080" s="1" t="s">
        <v>824</v>
      </c>
    </row>
    <row r="1081" hidden="1">
      <c r="A1081" s="34">
        <v>29.0</v>
      </c>
      <c r="B1081" s="34">
        <v>13.0</v>
      </c>
      <c r="C1081" s="34">
        <v>34.0</v>
      </c>
      <c r="D1081" s="1" t="s">
        <v>125</v>
      </c>
      <c r="E1081" s="1" t="s">
        <v>3065</v>
      </c>
      <c r="F1081" s="1" t="s">
        <v>3081</v>
      </c>
      <c r="G1081" s="1">
        <v>28.0</v>
      </c>
      <c r="H1081" s="1">
        <v>4.0</v>
      </c>
      <c r="I1081" s="1" t="s">
        <v>125</v>
      </c>
      <c r="J1081" s="1" t="s">
        <v>3082</v>
      </c>
      <c r="K1081" s="1">
        <v>1.0</v>
      </c>
      <c r="L1081" s="1" t="s">
        <v>3082</v>
      </c>
    </row>
    <row r="1082" hidden="1">
      <c r="A1082" s="34">
        <v>29.0</v>
      </c>
      <c r="B1082" s="34">
        <v>13.0</v>
      </c>
      <c r="C1082" s="34">
        <v>35.0</v>
      </c>
      <c r="D1082" s="1" t="s">
        <v>125</v>
      </c>
      <c r="E1082" s="1" t="s">
        <v>3065</v>
      </c>
      <c r="F1082" s="1" t="s">
        <v>3083</v>
      </c>
      <c r="G1082" s="1">
        <v>28.0</v>
      </c>
      <c r="H1082" s="1">
        <v>28.0</v>
      </c>
      <c r="I1082" s="1" t="s">
        <v>125</v>
      </c>
      <c r="J1082" s="1" t="s">
        <v>3084</v>
      </c>
      <c r="K1082" s="1">
        <v>1.0</v>
      </c>
      <c r="L1082" s="1" t="s">
        <v>3084</v>
      </c>
    </row>
    <row r="1083" hidden="1">
      <c r="A1083" s="34">
        <v>29.0</v>
      </c>
      <c r="B1083" s="34">
        <v>18.0</v>
      </c>
      <c r="C1083" s="34">
        <v>76.0</v>
      </c>
      <c r="D1083" s="1" t="s">
        <v>125</v>
      </c>
      <c r="E1083" s="1" t="s">
        <v>3085</v>
      </c>
      <c r="F1083" s="1" t="s">
        <v>3086</v>
      </c>
      <c r="G1083" s="1">
        <v>28.0</v>
      </c>
      <c r="H1083" s="1">
        <v>27.0</v>
      </c>
      <c r="I1083" s="1" t="s">
        <v>125</v>
      </c>
      <c r="J1083" s="1" t="s">
        <v>3085</v>
      </c>
      <c r="K1083" s="1">
        <v>1.0</v>
      </c>
      <c r="L1083" s="1" t="s">
        <v>3085</v>
      </c>
    </row>
    <row r="1084" hidden="1">
      <c r="A1084" s="34">
        <v>29.0</v>
      </c>
      <c r="B1084" s="34">
        <v>18.0</v>
      </c>
      <c r="C1084" s="34">
        <v>78.0</v>
      </c>
      <c r="D1084" s="1" t="s">
        <v>125</v>
      </c>
      <c r="E1084" s="1" t="s">
        <v>3085</v>
      </c>
      <c r="F1084" s="1" t="s">
        <v>3087</v>
      </c>
      <c r="G1084" s="1">
        <v>28.0</v>
      </c>
      <c r="H1084" s="1">
        <v>27.0</v>
      </c>
      <c r="I1084" s="1" t="s">
        <v>125</v>
      </c>
      <c r="J1084" s="1" t="s">
        <v>3085</v>
      </c>
      <c r="K1084" s="1">
        <v>1.0</v>
      </c>
      <c r="L1084" s="1" t="s">
        <v>3085</v>
      </c>
    </row>
    <row r="1085" hidden="1">
      <c r="A1085" s="34">
        <v>29.0</v>
      </c>
      <c r="B1085" s="34">
        <v>19.0</v>
      </c>
      <c r="C1085" s="34">
        <v>12.0</v>
      </c>
      <c r="D1085" s="1" t="s">
        <v>125</v>
      </c>
      <c r="E1085" s="1" t="s">
        <v>674</v>
      </c>
      <c r="F1085" s="1" t="s">
        <v>3088</v>
      </c>
      <c r="G1085" s="1">
        <v>28.0</v>
      </c>
      <c r="H1085" s="1">
        <v>22.0</v>
      </c>
      <c r="I1085" s="1" t="s">
        <v>125</v>
      </c>
      <c r="J1085" s="1" t="s">
        <v>674</v>
      </c>
      <c r="K1085" s="1">
        <v>264.0</v>
      </c>
      <c r="L1085" s="1" t="s">
        <v>3089</v>
      </c>
    </row>
    <row r="1086" hidden="1">
      <c r="A1086" s="34">
        <v>29.0</v>
      </c>
      <c r="B1086" s="34">
        <v>19.0</v>
      </c>
      <c r="C1086" s="34">
        <v>18.0</v>
      </c>
      <c r="D1086" s="1" t="s">
        <v>125</v>
      </c>
      <c r="E1086" s="1" t="s">
        <v>674</v>
      </c>
      <c r="F1086" s="1" t="s">
        <v>3090</v>
      </c>
      <c r="G1086" s="1">
        <v>28.0</v>
      </c>
      <c r="H1086" s="1">
        <v>40.0</v>
      </c>
      <c r="I1086" s="1" t="s">
        <v>125</v>
      </c>
      <c r="J1086" s="1" t="s">
        <v>3091</v>
      </c>
      <c r="K1086" s="1">
        <v>1.0</v>
      </c>
      <c r="L1086" s="1" t="s">
        <v>3091</v>
      </c>
    </row>
    <row r="1087" hidden="1">
      <c r="A1087" s="34">
        <v>29.0</v>
      </c>
      <c r="B1087" s="34">
        <v>19.0</v>
      </c>
      <c r="C1087" s="34">
        <v>36.0</v>
      </c>
      <c r="D1087" s="1" t="s">
        <v>125</v>
      </c>
      <c r="E1087" s="1" t="s">
        <v>674</v>
      </c>
      <c r="F1087" s="1" t="s">
        <v>3092</v>
      </c>
      <c r="G1087" s="1">
        <v>28.0</v>
      </c>
      <c r="H1087" s="1">
        <v>22.0</v>
      </c>
      <c r="I1087" s="1" t="s">
        <v>125</v>
      </c>
      <c r="J1087" s="1" t="s">
        <v>674</v>
      </c>
      <c r="K1087" s="1">
        <v>1.0</v>
      </c>
      <c r="L1087" s="1" t="s">
        <v>3093</v>
      </c>
    </row>
    <row r="1088" hidden="1">
      <c r="A1088" s="34">
        <v>29.0</v>
      </c>
      <c r="B1088" s="34">
        <v>19.0</v>
      </c>
      <c r="C1088" s="34">
        <v>39.0</v>
      </c>
      <c r="D1088" s="1" t="s">
        <v>125</v>
      </c>
      <c r="E1088" s="1" t="s">
        <v>674</v>
      </c>
      <c r="F1088" s="1" t="s">
        <v>3094</v>
      </c>
      <c r="G1088" s="1">
        <v>28.0</v>
      </c>
      <c r="H1088" s="1">
        <v>22.0</v>
      </c>
      <c r="I1088" s="1" t="s">
        <v>125</v>
      </c>
      <c r="J1088" s="1" t="s">
        <v>674</v>
      </c>
      <c r="K1088" s="1">
        <v>1.0</v>
      </c>
      <c r="L1088" s="1" t="s">
        <v>3093</v>
      </c>
    </row>
    <row r="1089" hidden="1">
      <c r="A1089" s="34">
        <v>29.0</v>
      </c>
      <c r="B1089" s="34">
        <v>19.0</v>
      </c>
      <c r="C1089" s="34">
        <v>66.0</v>
      </c>
      <c r="D1089" s="1" t="s">
        <v>125</v>
      </c>
      <c r="E1089" s="1" t="s">
        <v>674</v>
      </c>
      <c r="F1089" s="1" t="s">
        <v>3095</v>
      </c>
      <c r="G1089" s="1">
        <v>28.0</v>
      </c>
      <c r="H1089" s="1">
        <v>35.0</v>
      </c>
      <c r="I1089" s="1" t="s">
        <v>125</v>
      </c>
      <c r="J1089" s="1" t="s">
        <v>3096</v>
      </c>
      <c r="K1089" s="1">
        <v>1.0</v>
      </c>
      <c r="L1089" s="1" t="s">
        <v>3096</v>
      </c>
    </row>
    <row r="1090" hidden="1">
      <c r="A1090" s="34">
        <v>29.0</v>
      </c>
      <c r="B1090" s="34">
        <v>19.0</v>
      </c>
      <c r="C1090" s="34">
        <v>79.0</v>
      </c>
      <c r="D1090" s="1" t="s">
        <v>125</v>
      </c>
      <c r="E1090" s="1" t="s">
        <v>674</v>
      </c>
      <c r="F1090" s="1" t="s">
        <v>3097</v>
      </c>
      <c r="G1090" s="1">
        <v>28.0</v>
      </c>
      <c r="H1090" s="1">
        <v>22.0</v>
      </c>
      <c r="I1090" s="1" t="s">
        <v>125</v>
      </c>
      <c r="J1090" s="1" t="s">
        <v>674</v>
      </c>
      <c r="K1090" s="1">
        <v>1.0</v>
      </c>
      <c r="L1090" s="1" t="s">
        <v>3093</v>
      </c>
    </row>
    <row r="1091" hidden="1">
      <c r="A1091" s="34">
        <v>30.0</v>
      </c>
      <c r="B1091" s="34">
        <v>1.0</v>
      </c>
      <c r="C1091" s="34">
        <v>2.0</v>
      </c>
      <c r="D1091" s="1" t="s">
        <v>126</v>
      </c>
      <c r="E1091" s="1" t="s">
        <v>126</v>
      </c>
      <c r="F1091" s="1" t="s">
        <v>3098</v>
      </c>
      <c r="G1091" s="1">
        <v>29.0</v>
      </c>
      <c r="H1091" s="1">
        <v>5.0</v>
      </c>
      <c r="I1091" s="1" t="s">
        <v>126</v>
      </c>
      <c r="J1091" s="1" t="s">
        <v>3099</v>
      </c>
      <c r="K1091" s="1">
        <v>1.0</v>
      </c>
      <c r="L1091" s="1" t="s">
        <v>3100</v>
      </c>
    </row>
    <row r="1092" hidden="1">
      <c r="A1092" s="34">
        <v>30.0</v>
      </c>
      <c r="B1092" s="34">
        <v>1.0</v>
      </c>
      <c r="C1092" s="34">
        <v>5.0</v>
      </c>
      <c r="D1092" s="1" t="s">
        <v>126</v>
      </c>
      <c r="E1092" s="1" t="s">
        <v>126</v>
      </c>
      <c r="F1092" s="1" t="s">
        <v>3101</v>
      </c>
      <c r="G1092" s="1">
        <v>29.0</v>
      </c>
      <c r="H1092" s="1">
        <v>42.0</v>
      </c>
      <c r="I1092" s="1" t="s">
        <v>126</v>
      </c>
      <c r="J1092" s="1" t="s">
        <v>3102</v>
      </c>
      <c r="K1092" s="1">
        <v>1.0</v>
      </c>
      <c r="L1092" s="1" t="s">
        <v>3102</v>
      </c>
    </row>
    <row r="1093" hidden="1">
      <c r="A1093" s="34">
        <v>30.0</v>
      </c>
      <c r="B1093" s="34">
        <v>1.0</v>
      </c>
      <c r="C1093" s="34">
        <v>6.0</v>
      </c>
      <c r="D1093" s="1" t="s">
        <v>126</v>
      </c>
      <c r="E1093" s="1" t="s">
        <v>126</v>
      </c>
      <c r="F1093" s="1" t="s">
        <v>3103</v>
      </c>
      <c r="G1093" s="1">
        <v>29.0</v>
      </c>
      <c r="H1093" s="1">
        <v>41.0</v>
      </c>
      <c r="I1093" s="1" t="s">
        <v>126</v>
      </c>
      <c r="J1093" s="1" t="s">
        <v>3104</v>
      </c>
      <c r="K1093" s="1">
        <v>1.0</v>
      </c>
      <c r="L1093" s="1" t="s">
        <v>3105</v>
      </c>
    </row>
    <row r="1094" hidden="1">
      <c r="A1094" s="34">
        <v>30.0</v>
      </c>
      <c r="B1094" s="34">
        <v>1.0</v>
      </c>
      <c r="C1094" s="34">
        <v>7.0</v>
      </c>
      <c r="D1094" s="1" t="s">
        <v>126</v>
      </c>
      <c r="E1094" s="1" t="s">
        <v>126</v>
      </c>
      <c r="F1094" s="1" t="s">
        <v>3106</v>
      </c>
      <c r="G1094" s="1">
        <v>29.0</v>
      </c>
      <c r="H1094" s="1">
        <v>44.0</v>
      </c>
      <c r="I1094" s="1" t="s">
        <v>126</v>
      </c>
      <c r="J1094" s="1" t="s">
        <v>3107</v>
      </c>
      <c r="K1094" s="1">
        <v>1.0</v>
      </c>
      <c r="L1094" s="1" t="s">
        <v>3107</v>
      </c>
    </row>
    <row r="1095" hidden="1">
      <c r="A1095" s="34">
        <v>30.0</v>
      </c>
      <c r="B1095" s="34">
        <v>1.0</v>
      </c>
      <c r="C1095" s="34">
        <v>8.0</v>
      </c>
      <c r="D1095" s="1" t="s">
        <v>126</v>
      </c>
      <c r="E1095" s="1" t="s">
        <v>126</v>
      </c>
      <c r="F1095" s="1" t="s">
        <v>3108</v>
      </c>
      <c r="G1095" s="1">
        <v>29.0</v>
      </c>
      <c r="H1095" s="1">
        <v>33.0</v>
      </c>
      <c r="I1095" s="1" t="s">
        <v>126</v>
      </c>
      <c r="J1095" s="1" t="s">
        <v>126</v>
      </c>
      <c r="K1095" s="1">
        <v>1.0</v>
      </c>
      <c r="L1095" s="1" t="s">
        <v>3109</v>
      </c>
    </row>
    <row r="1096" hidden="1">
      <c r="A1096" s="34">
        <v>30.0</v>
      </c>
      <c r="B1096" s="34">
        <v>1.0</v>
      </c>
      <c r="C1096" s="34">
        <v>9.0</v>
      </c>
      <c r="D1096" s="1" t="s">
        <v>126</v>
      </c>
      <c r="E1096" s="1" t="s">
        <v>126</v>
      </c>
      <c r="F1096" s="1" t="s">
        <v>3110</v>
      </c>
      <c r="G1096" s="1">
        <v>29.0</v>
      </c>
      <c r="H1096" s="1">
        <v>10.0</v>
      </c>
      <c r="I1096" s="1" t="s">
        <v>126</v>
      </c>
      <c r="J1096" s="1" t="s">
        <v>3111</v>
      </c>
      <c r="K1096" s="1">
        <v>1.0</v>
      </c>
      <c r="L1096" s="1" t="s">
        <v>3112</v>
      </c>
    </row>
    <row r="1097" hidden="1">
      <c r="A1097" s="34">
        <v>30.0</v>
      </c>
      <c r="B1097" s="34">
        <v>1.0</v>
      </c>
      <c r="C1097" s="34">
        <v>10.0</v>
      </c>
      <c r="D1097" s="1" t="s">
        <v>126</v>
      </c>
      <c r="E1097" s="1" t="s">
        <v>126</v>
      </c>
      <c r="F1097" s="1" t="s">
        <v>3113</v>
      </c>
      <c r="G1097" s="1">
        <v>29.0</v>
      </c>
      <c r="H1097" s="1">
        <v>2.0</v>
      </c>
      <c r="I1097" s="1" t="s">
        <v>126</v>
      </c>
      <c r="J1097" s="1" t="s">
        <v>3114</v>
      </c>
      <c r="K1097" s="1">
        <v>1.0</v>
      </c>
      <c r="L1097" s="1" t="s">
        <v>3115</v>
      </c>
    </row>
    <row r="1098" hidden="1">
      <c r="A1098" s="34">
        <v>30.0</v>
      </c>
      <c r="B1098" s="34">
        <v>1.0</v>
      </c>
      <c r="C1098" s="34">
        <v>17.0</v>
      </c>
      <c r="D1098" s="1" t="s">
        <v>126</v>
      </c>
      <c r="E1098" s="1" t="s">
        <v>126</v>
      </c>
      <c r="F1098" s="1" t="s">
        <v>3116</v>
      </c>
      <c r="G1098" s="1">
        <v>29.0</v>
      </c>
      <c r="H1098" s="1">
        <v>1.0</v>
      </c>
      <c r="I1098" s="1" t="s">
        <v>126</v>
      </c>
      <c r="J1098" s="1" t="s">
        <v>3117</v>
      </c>
      <c r="K1098" s="1">
        <v>1.0</v>
      </c>
      <c r="L1098" s="1" t="s">
        <v>3118</v>
      </c>
    </row>
    <row r="1099" hidden="1">
      <c r="A1099" s="34">
        <v>30.0</v>
      </c>
      <c r="B1099" s="34">
        <v>1.0</v>
      </c>
      <c r="C1099" s="34">
        <v>18.0</v>
      </c>
      <c r="D1099" s="1" t="s">
        <v>126</v>
      </c>
      <c r="E1099" s="1" t="s">
        <v>126</v>
      </c>
      <c r="F1099" s="1" t="s">
        <v>3119</v>
      </c>
      <c r="G1099" s="1">
        <v>29.0</v>
      </c>
      <c r="H1099" s="1">
        <v>26.0</v>
      </c>
      <c r="I1099" s="1" t="s">
        <v>126</v>
      </c>
      <c r="J1099" s="1" t="s">
        <v>3120</v>
      </c>
      <c r="K1099" s="1">
        <v>1.0</v>
      </c>
      <c r="L1099" s="1" t="s">
        <v>3120</v>
      </c>
    </row>
    <row r="1100" hidden="1">
      <c r="A1100" s="34">
        <v>30.0</v>
      </c>
      <c r="B1100" s="34">
        <v>1.0</v>
      </c>
      <c r="C1100" s="34">
        <v>19.0</v>
      </c>
      <c r="D1100" s="1" t="s">
        <v>126</v>
      </c>
      <c r="E1100" s="1" t="s">
        <v>126</v>
      </c>
      <c r="F1100" s="1" t="s">
        <v>3121</v>
      </c>
      <c r="G1100" s="1">
        <v>29.0</v>
      </c>
      <c r="H1100" s="1">
        <v>5.0</v>
      </c>
      <c r="I1100" s="1" t="s">
        <v>126</v>
      </c>
      <c r="J1100" s="1" t="s">
        <v>3099</v>
      </c>
      <c r="K1100" s="1">
        <v>1.0</v>
      </c>
      <c r="L1100" s="1" t="s">
        <v>3100</v>
      </c>
    </row>
    <row r="1101" hidden="1">
      <c r="A1101" s="34">
        <v>30.0</v>
      </c>
      <c r="B1101" s="34">
        <v>1.0</v>
      </c>
      <c r="C1101" s="34">
        <v>20.0</v>
      </c>
      <c r="D1101" s="1" t="s">
        <v>126</v>
      </c>
      <c r="E1101" s="1" t="s">
        <v>126</v>
      </c>
      <c r="F1101" s="1" t="s">
        <v>3122</v>
      </c>
      <c r="G1101" s="1">
        <v>29.0</v>
      </c>
      <c r="H1101" s="1">
        <v>13.0</v>
      </c>
      <c r="I1101" s="1" t="s">
        <v>126</v>
      </c>
      <c r="J1101" s="1" t="s">
        <v>3123</v>
      </c>
      <c r="K1101" s="1">
        <v>1.0</v>
      </c>
      <c r="L1101" s="1" t="s">
        <v>3123</v>
      </c>
    </row>
    <row r="1102" hidden="1">
      <c r="A1102" s="34">
        <v>30.0</v>
      </c>
      <c r="B1102" s="34">
        <v>1.0</v>
      </c>
      <c r="C1102" s="34">
        <v>22.0</v>
      </c>
      <c r="D1102" s="1" t="s">
        <v>126</v>
      </c>
      <c r="E1102" s="1" t="s">
        <v>126</v>
      </c>
      <c r="F1102" s="1" t="s">
        <v>3124</v>
      </c>
      <c r="G1102" s="1">
        <v>29.0</v>
      </c>
      <c r="H1102" s="1">
        <v>25.0</v>
      </c>
      <c r="I1102" s="1" t="s">
        <v>126</v>
      </c>
      <c r="J1102" s="1" t="s">
        <v>3125</v>
      </c>
      <c r="K1102" s="1">
        <v>1.0</v>
      </c>
      <c r="L1102" s="1" t="s">
        <v>3126</v>
      </c>
    </row>
    <row r="1103" hidden="1">
      <c r="A1103" s="34">
        <v>30.0</v>
      </c>
      <c r="B1103" s="34">
        <v>1.0</v>
      </c>
      <c r="C1103" s="34">
        <v>35.0</v>
      </c>
      <c r="D1103" s="1" t="s">
        <v>126</v>
      </c>
      <c r="E1103" s="1" t="s">
        <v>126</v>
      </c>
      <c r="F1103" s="1" t="s">
        <v>3127</v>
      </c>
      <c r="G1103" s="1">
        <v>29.0</v>
      </c>
      <c r="H1103" s="1">
        <v>21.0</v>
      </c>
      <c r="I1103" s="1" t="s">
        <v>126</v>
      </c>
      <c r="J1103" s="1" t="s">
        <v>3128</v>
      </c>
      <c r="K1103" s="1">
        <v>1.0</v>
      </c>
      <c r="L1103" s="1" t="s">
        <v>3129</v>
      </c>
    </row>
    <row r="1104" hidden="1">
      <c r="A1104" s="34">
        <v>30.0</v>
      </c>
      <c r="B1104" s="34">
        <v>1.0</v>
      </c>
      <c r="C1104" s="34">
        <v>37.0</v>
      </c>
      <c r="D1104" s="1" t="s">
        <v>126</v>
      </c>
      <c r="E1104" s="1" t="s">
        <v>126</v>
      </c>
      <c r="F1104" s="1" t="s">
        <v>3130</v>
      </c>
      <c r="G1104" s="1">
        <v>29.0</v>
      </c>
      <c r="H1104" s="1">
        <v>6.0</v>
      </c>
      <c r="I1104" s="1" t="s">
        <v>126</v>
      </c>
      <c r="J1104" s="1" t="s">
        <v>3131</v>
      </c>
      <c r="K1104" s="1">
        <v>1.0</v>
      </c>
      <c r="L1104" s="1" t="s">
        <v>3131</v>
      </c>
    </row>
    <row r="1105" hidden="1">
      <c r="A1105" s="34">
        <v>30.0</v>
      </c>
      <c r="B1105" s="34">
        <v>1.0</v>
      </c>
      <c r="C1105" s="34">
        <v>48.0</v>
      </c>
      <c r="D1105" s="1" t="s">
        <v>126</v>
      </c>
      <c r="E1105" s="1" t="s">
        <v>126</v>
      </c>
      <c r="F1105" s="1" t="s">
        <v>3132</v>
      </c>
      <c r="G1105" s="1">
        <v>29.0</v>
      </c>
      <c r="H1105" s="1">
        <v>34.0</v>
      </c>
      <c r="I1105" s="1" t="s">
        <v>126</v>
      </c>
      <c r="J1105" s="1" t="s">
        <v>3133</v>
      </c>
      <c r="K1105" s="1">
        <v>1.0</v>
      </c>
      <c r="L1105" s="1" t="s">
        <v>3133</v>
      </c>
    </row>
    <row r="1106" hidden="1">
      <c r="A1106" s="34">
        <v>30.0</v>
      </c>
      <c r="B1106" s="34">
        <v>1.0</v>
      </c>
      <c r="C1106" s="34">
        <v>51.0</v>
      </c>
      <c r="D1106" s="1" t="s">
        <v>126</v>
      </c>
      <c r="E1106" s="1" t="s">
        <v>126</v>
      </c>
      <c r="F1106" s="1" t="s">
        <v>3134</v>
      </c>
      <c r="G1106" s="1">
        <v>29.0</v>
      </c>
      <c r="H1106" s="1">
        <v>28.0</v>
      </c>
      <c r="I1106" s="1" t="s">
        <v>126</v>
      </c>
      <c r="J1106" s="1" t="s">
        <v>3135</v>
      </c>
      <c r="K1106" s="1">
        <v>1.0</v>
      </c>
      <c r="L1106" s="1" t="s">
        <v>3135</v>
      </c>
    </row>
    <row r="1107" hidden="1">
      <c r="A1107" s="34">
        <v>31.0</v>
      </c>
      <c r="B1107" s="34">
        <v>2.0</v>
      </c>
      <c r="C1107" s="34">
        <v>10.0</v>
      </c>
      <c r="D1107" s="1" t="s">
        <v>128</v>
      </c>
      <c r="E1107" s="1" t="s">
        <v>3136</v>
      </c>
      <c r="F1107" s="1" t="s">
        <v>3137</v>
      </c>
      <c r="G1107" s="1">
        <v>30.0</v>
      </c>
      <c r="H1107" s="1">
        <v>87.0</v>
      </c>
      <c r="I1107" s="1" t="s">
        <v>3048</v>
      </c>
      <c r="J1107" s="1" t="s">
        <v>3136</v>
      </c>
      <c r="K1107" s="1">
        <v>1.0</v>
      </c>
      <c r="L1107" s="1" t="s">
        <v>3138</v>
      </c>
    </row>
    <row r="1108" hidden="1">
      <c r="A1108" s="34">
        <v>31.0</v>
      </c>
      <c r="B1108" s="34">
        <v>2.0</v>
      </c>
      <c r="C1108" s="34">
        <v>12.0</v>
      </c>
      <c r="D1108" s="1" t="s">
        <v>128</v>
      </c>
      <c r="E1108" s="1" t="s">
        <v>3136</v>
      </c>
      <c r="F1108" s="1" t="s">
        <v>3139</v>
      </c>
      <c r="G1108" s="1">
        <v>30.0</v>
      </c>
      <c r="H1108" s="1">
        <v>93.0</v>
      </c>
      <c r="I1108" s="1" t="s">
        <v>3048</v>
      </c>
      <c r="J1108" s="1" t="s">
        <v>1524</v>
      </c>
      <c r="K1108" s="1">
        <v>2.0</v>
      </c>
      <c r="L1108" s="1" t="s">
        <v>3140</v>
      </c>
    </row>
    <row r="1109" hidden="1">
      <c r="A1109" s="34">
        <v>31.0</v>
      </c>
      <c r="B1109" s="34">
        <v>2.0</v>
      </c>
      <c r="C1109" s="34">
        <v>17.0</v>
      </c>
      <c r="D1109" s="1" t="s">
        <v>128</v>
      </c>
      <c r="E1109" s="1" t="s">
        <v>3136</v>
      </c>
      <c r="F1109" s="1" t="s">
        <v>3141</v>
      </c>
      <c r="G1109" s="1">
        <v>30.0</v>
      </c>
      <c r="H1109" s="1">
        <v>38.0</v>
      </c>
      <c r="I1109" s="1" t="s">
        <v>3048</v>
      </c>
      <c r="J1109" s="1" t="s">
        <v>3142</v>
      </c>
      <c r="K1109" s="1">
        <v>1.0</v>
      </c>
      <c r="L1109" s="1" t="s">
        <v>3142</v>
      </c>
    </row>
    <row r="1110" hidden="1">
      <c r="A1110" s="34">
        <v>31.0</v>
      </c>
      <c r="B1110" s="34">
        <v>2.0</v>
      </c>
      <c r="C1110" s="34">
        <v>18.0</v>
      </c>
      <c r="D1110" s="1" t="s">
        <v>128</v>
      </c>
      <c r="E1110" s="1" t="s">
        <v>3136</v>
      </c>
      <c r="F1110" s="1" t="s">
        <v>3143</v>
      </c>
      <c r="G1110" s="1">
        <v>30.0</v>
      </c>
      <c r="H1110" s="1">
        <v>38.0</v>
      </c>
      <c r="I1110" s="1" t="s">
        <v>3048</v>
      </c>
      <c r="J1110" s="1" t="s">
        <v>3142</v>
      </c>
      <c r="K1110" s="1">
        <v>19.0</v>
      </c>
      <c r="L1110" s="1" t="s">
        <v>3144</v>
      </c>
    </row>
    <row r="1111" hidden="1">
      <c r="A1111" s="34">
        <v>31.0</v>
      </c>
      <c r="B1111" s="34">
        <v>2.0</v>
      </c>
      <c r="C1111" s="34">
        <v>19.0</v>
      </c>
      <c r="D1111" s="1" t="s">
        <v>128</v>
      </c>
      <c r="E1111" s="1" t="s">
        <v>3136</v>
      </c>
      <c r="F1111" s="1" t="s">
        <v>3145</v>
      </c>
      <c r="G1111" s="1">
        <v>30.0</v>
      </c>
      <c r="H1111" s="1">
        <v>26.0</v>
      </c>
      <c r="I1111" s="1" t="s">
        <v>3048</v>
      </c>
      <c r="J1111" s="1" t="s">
        <v>3146</v>
      </c>
      <c r="K1111" s="1">
        <v>1.0</v>
      </c>
      <c r="L1111" s="1" t="s">
        <v>3146</v>
      </c>
    </row>
    <row r="1112" hidden="1">
      <c r="A1112" s="34">
        <v>31.0</v>
      </c>
      <c r="B1112" s="34">
        <v>2.0</v>
      </c>
      <c r="C1112" s="34">
        <v>21.0</v>
      </c>
      <c r="D1112" s="1" t="s">
        <v>128</v>
      </c>
      <c r="E1112" s="1" t="s">
        <v>3136</v>
      </c>
      <c r="F1112" s="1" t="s">
        <v>3147</v>
      </c>
      <c r="G1112" s="1">
        <v>30.0</v>
      </c>
      <c r="H1112" s="1">
        <v>191.0</v>
      </c>
      <c r="I1112" s="1" t="s">
        <v>3048</v>
      </c>
      <c r="J1112" s="1" t="s">
        <v>3148</v>
      </c>
      <c r="K1112" s="1">
        <v>20.0</v>
      </c>
      <c r="L1112" s="1" t="s">
        <v>3149</v>
      </c>
    </row>
    <row r="1113" hidden="1">
      <c r="A1113" s="34">
        <v>31.0</v>
      </c>
      <c r="B1113" s="34">
        <v>2.0</v>
      </c>
      <c r="C1113" s="34">
        <v>22.0</v>
      </c>
      <c r="D1113" s="1" t="s">
        <v>128</v>
      </c>
      <c r="E1113" s="1" t="s">
        <v>3136</v>
      </c>
      <c r="F1113" s="1" t="s">
        <v>3150</v>
      </c>
      <c r="G1113" s="1">
        <v>30.0</v>
      </c>
      <c r="H1113" s="1">
        <v>9.0</v>
      </c>
      <c r="I1113" s="1" t="s">
        <v>3048</v>
      </c>
      <c r="J1113" s="1" t="s">
        <v>3151</v>
      </c>
      <c r="K1113" s="1">
        <v>233.0</v>
      </c>
      <c r="L1113" s="1" t="s">
        <v>3152</v>
      </c>
    </row>
    <row r="1114" hidden="1">
      <c r="A1114" s="34">
        <v>31.0</v>
      </c>
      <c r="B1114" s="34">
        <v>2.0</v>
      </c>
      <c r="C1114" s="34">
        <v>30.0</v>
      </c>
      <c r="D1114" s="1" t="s">
        <v>128</v>
      </c>
      <c r="E1114" s="1" t="s">
        <v>3136</v>
      </c>
      <c r="F1114" s="1" t="s">
        <v>3153</v>
      </c>
      <c r="G1114" s="1">
        <v>30.0</v>
      </c>
      <c r="H1114" s="1">
        <v>128.0</v>
      </c>
      <c r="I1114" s="1" t="s">
        <v>3048</v>
      </c>
      <c r="J1114" s="1" t="s">
        <v>3154</v>
      </c>
      <c r="K1114" s="1">
        <v>1.0</v>
      </c>
      <c r="L1114" s="1" t="s">
        <v>3154</v>
      </c>
    </row>
    <row r="1115" hidden="1">
      <c r="A1115" s="34">
        <v>31.0</v>
      </c>
      <c r="B1115" s="34">
        <v>2.0</v>
      </c>
      <c r="C1115" s="34">
        <v>36.0</v>
      </c>
      <c r="D1115" s="1" t="s">
        <v>128</v>
      </c>
      <c r="E1115" s="1" t="s">
        <v>3136</v>
      </c>
      <c r="F1115" s="1" t="s">
        <v>3155</v>
      </c>
      <c r="G1115" s="1">
        <v>30.0</v>
      </c>
      <c r="H1115" s="1">
        <v>16.0</v>
      </c>
      <c r="I1115" s="1" t="s">
        <v>3048</v>
      </c>
      <c r="J1115" s="1" t="s">
        <v>3156</v>
      </c>
      <c r="K1115" s="1">
        <v>1.0</v>
      </c>
      <c r="L1115" s="1" t="s">
        <v>3157</v>
      </c>
    </row>
    <row r="1116" hidden="1">
      <c r="A1116" s="34">
        <v>31.0</v>
      </c>
      <c r="B1116" s="34">
        <v>2.0</v>
      </c>
      <c r="C1116" s="34">
        <v>37.0</v>
      </c>
      <c r="D1116" s="1" t="s">
        <v>128</v>
      </c>
      <c r="E1116" s="1" t="s">
        <v>3136</v>
      </c>
      <c r="F1116" s="1" t="s">
        <v>3158</v>
      </c>
      <c r="G1116" s="1">
        <v>30.0</v>
      </c>
      <c r="H1116" s="1">
        <v>65.0</v>
      </c>
      <c r="I1116" s="1" t="s">
        <v>3048</v>
      </c>
      <c r="J1116" s="1" t="s">
        <v>1831</v>
      </c>
      <c r="K1116" s="1">
        <v>46.0</v>
      </c>
      <c r="L1116" s="1" t="s">
        <v>3159</v>
      </c>
    </row>
    <row r="1117" hidden="1">
      <c r="A1117" s="34">
        <v>31.0</v>
      </c>
      <c r="B1117" s="34">
        <v>2.0</v>
      </c>
      <c r="C1117" s="34">
        <v>38.0</v>
      </c>
      <c r="D1117" s="1" t="s">
        <v>128</v>
      </c>
      <c r="E1117" s="1" t="s">
        <v>3136</v>
      </c>
      <c r="F1117" s="1" t="s">
        <v>3160</v>
      </c>
      <c r="G1117" s="1">
        <v>30.0</v>
      </c>
      <c r="H1117" s="1">
        <v>191.0</v>
      </c>
      <c r="I1117" s="1" t="s">
        <v>3048</v>
      </c>
      <c r="J1117" s="1" t="s">
        <v>3148</v>
      </c>
      <c r="K1117" s="1">
        <v>7.0</v>
      </c>
      <c r="L1117" s="1" t="s">
        <v>3161</v>
      </c>
    </row>
    <row r="1118" hidden="1">
      <c r="A1118" s="34">
        <v>31.0</v>
      </c>
      <c r="B1118" s="34">
        <v>2.0</v>
      </c>
      <c r="C1118" s="34">
        <v>54.0</v>
      </c>
      <c r="D1118" s="1" t="s">
        <v>128</v>
      </c>
      <c r="E1118" s="1" t="s">
        <v>3136</v>
      </c>
      <c r="F1118" s="1" t="s">
        <v>3162</v>
      </c>
      <c r="G1118" s="1">
        <v>30.0</v>
      </c>
      <c r="H1118" s="1">
        <v>38.0</v>
      </c>
      <c r="I1118" s="1" t="s">
        <v>3048</v>
      </c>
      <c r="J1118" s="1" t="s">
        <v>3142</v>
      </c>
      <c r="K1118" s="1">
        <v>12.0</v>
      </c>
      <c r="L1118" s="1" t="s">
        <v>3163</v>
      </c>
    </row>
    <row r="1119" hidden="1">
      <c r="A1119" s="34">
        <v>31.0</v>
      </c>
      <c r="B1119" s="34">
        <v>2.0</v>
      </c>
      <c r="C1119" s="34">
        <v>56.0</v>
      </c>
      <c r="D1119" s="1" t="s">
        <v>128</v>
      </c>
      <c r="E1119" s="1" t="s">
        <v>3136</v>
      </c>
      <c r="F1119" s="1" t="s">
        <v>3164</v>
      </c>
      <c r="G1119" s="1">
        <v>30.0</v>
      </c>
      <c r="H1119" s="1">
        <v>4.0</v>
      </c>
      <c r="I1119" s="1" t="s">
        <v>3048</v>
      </c>
      <c r="J1119" s="1" t="s">
        <v>1171</v>
      </c>
      <c r="K1119" s="1">
        <v>1.0</v>
      </c>
      <c r="L1119" s="1" t="s">
        <v>1171</v>
      </c>
    </row>
    <row r="1120" hidden="1">
      <c r="A1120" s="34">
        <v>31.0</v>
      </c>
      <c r="B1120" s="34">
        <v>2.0</v>
      </c>
      <c r="C1120" s="34">
        <v>58.0</v>
      </c>
      <c r="D1120" s="1" t="s">
        <v>128</v>
      </c>
      <c r="E1120" s="1" t="s">
        <v>3136</v>
      </c>
      <c r="F1120" s="1" t="s">
        <v>3165</v>
      </c>
      <c r="G1120" s="1">
        <v>30.0</v>
      </c>
      <c r="H1120" s="1">
        <v>87.0</v>
      </c>
      <c r="I1120" s="1" t="s">
        <v>3048</v>
      </c>
      <c r="J1120" s="1" t="s">
        <v>3136</v>
      </c>
      <c r="K1120" s="1">
        <v>1.0</v>
      </c>
      <c r="L1120" s="1" t="s">
        <v>3138</v>
      </c>
    </row>
    <row r="1121" hidden="1">
      <c r="A1121" s="34">
        <v>31.0</v>
      </c>
      <c r="B1121" s="34">
        <v>2.0</v>
      </c>
      <c r="C1121" s="34">
        <v>63.0</v>
      </c>
      <c r="D1121" s="1" t="s">
        <v>128</v>
      </c>
      <c r="E1121" s="1" t="s">
        <v>3136</v>
      </c>
      <c r="F1121" s="1" t="s">
        <v>3166</v>
      </c>
      <c r="G1121" s="1">
        <v>30.0</v>
      </c>
      <c r="H1121" s="1">
        <v>4.0</v>
      </c>
      <c r="I1121" s="1" t="s">
        <v>3048</v>
      </c>
      <c r="J1121" s="1" t="s">
        <v>1171</v>
      </c>
      <c r="K1121" s="1">
        <v>113.0</v>
      </c>
      <c r="L1121" s="1" t="s">
        <v>3167</v>
      </c>
    </row>
    <row r="1122" hidden="1">
      <c r="A1122" s="34">
        <v>31.0</v>
      </c>
      <c r="B1122" s="34">
        <v>2.0</v>
      </c>
      <c r="C1122" s="34">
        <v>66.0</v>
      </c>
      <c r="D1122" s="1" t="s">
        <v>128</v>
      </c>
      <c r="E1122" s="1" t="s">
        <v>3136</v>
      </c>
      <c r="F1122" s="1" t="s">
        <v>3168</v>
      </c>
      <c r="G1122" s="1">
        <v>30.0</v>
      </c>
      <c r="H1122" s="1">
        <v>87.0</v>
      </c>
      <c r="I1122" s="1" t="s">
        <v>3048</v>
      </c>
      <c r="J1122" s="1" t="s">
        <v>3136</v>
      </c>
      <c r="K1122" s="1">
        <v>1.0</v>
      </c>
      <c r="L1122" s="1" t="s">
        <v>3138</v>
      </c>
    </row>
    <row r="1123" hidden="1">
      <c r="A1123" s="34">
        <v>31.0</v>
      </c>
      <c r="B1123" s="34">
        <v>2.0</v>
      </c>
      <c r="C1123" s="34">
        <v>67.0</v>
      </c>
      <c r="D1123" s="1" t="s">
        <v>128</v>
      </c>
      <c r="E1123" s="1" t="s">
        <v>3136</v>
      </c>
      <c r="F1123" s="1" t="s">
        <v>3169</v>
      </c>
      <c r="G1123" s="1">
        <v>30.0</v>
      </c>
      <c r="H1123" s="1">
        <v>87.0</v>
      </c>
      <c r="I1123" s="1" t="s">
        <v>3048</v>
      </c>
      <c r="J1123" s="1" t="s">
        <v>3136</v>
      </c>
      <c r="K1123" s="1">
        <v>1.0</v>
      </c>
      <c r="L1123" s="1" t="s">
        <v>3138</v>
      </c>
    </row>
    <row r="1124" hidden="1">
      <c r="A1124" s="34">
        <v>31.0</v>
      </c>
      <c r="B1124" s="34">
        <v>7.0</v>
      </c>
      <c r="C1124" s="34">
        <v>24.0</v>
      </c>
      <c r="D1124" s="1" t="s">
        <v>128</v>
      </c>
      <c r="E1124" s="1" t="s">
        <v>3170</v>
      </c>
      <c r="F1124" s="1" t="s">
        <v>3171</v>
      </c>
      <c r="G1124" s="1">
        <v>30.0</v>
      </c>
      <c r="H1124" s="1">
        <v>131.0</v>
      </c>
      <c r="I1124" s="1" t="s">
        <v>3048</v>
      </c>
      <c r="J1124" s="1" t="s">
        <v>3172</v>
      </c>
      <c r="K1124" s="1">
        <v>1.0</v>
      </c>
      <c r="L1124" s="1" t="s">
        <v>3173</v>
      </c>
    </row>
    <row r="1125" hidden="1">
      <c r="A1125" s="34">
        <v>31.0</v>
      </c>
      <c r="B1125" s="34">
        <v>7.0</v>
      </c>
      <c r="C1125" s="34">
        <v>26.0</v>
      </c>
      <c r="D1125" s="1" t="s">
        <v>128</v>
      </c>
      <c r="E1125" s="1" t="s">
        <v>3170</v>
      </c>
      <c r="F1125" s="1" t="s">
        <v>3174</v>
      </c>
      <c r="G1125" s="1">
        <v>30.0</v>
      </c>
      <c r="H1125" s="1">
        <v>189.0</v>
      </c>
      <c r="I1125" s="1" t="s">
        <v>3048</v>
      </c>
      <c r="J1125" s="1" t="s">
        <v>1295</v>
      </c>
      <c r="K1125" s="1">
        <v>1.0</v>
      </c>
      <c r="L1125" s="1" t="s">
        <v>3175</v>
      </c>
    </row>
    <row r="1126" hidden="1">
      <c r="A1126" s="34">
        <v>31.0</v>
      </c>
      <c r="B1126" s="34">
        <v>7.0</v>
      </c>
      <c r="C1126" s="34">
        <v>27.0</v>
      </c>
      <c r="D1126" s="1" t="s">
        <v>128</v>
      </c>
      <c r="E1126" s="1" t="s">
        <v>3170</v>
      </c>
      <c r="F1126" s="1" t="s">
        <v>3176</v>
      </c>
      <c r="G1126" s="1">
        <v>30.0</v>
      </c>
      <c r="H1126" s="1">
        <v>124.0</v>
      </c>
      <c r="I1126" s="1" t="s">
        <v>3048</v>
      </c>
      <c r="J1126" s="1" t="s">
        <v>3177</v>
      </c>
      <c r="K1126" s="1">
        <v>1.0</v>
      </c>
      <c r="L1126" s="1" t="s">
        <v>3178</v>
      </c>
    </row>
    <row r="1127" hidden="1">
      <c r="A1127" s="34">
        <v>31.0</v>
      </c>
      <c r="B1127" s="34">
        <v>7.0</v>
      </c>
      <c r="C1127" s="34">
        <v>47.0</v>
      </c>
      <c r="D1127" s="1" t="s">
        <v>128</v>
      </c>
      <c r="E1127" s="1" t="s">
        <v>3170</v>
      </c>
      <c r="F1127" s="1" t="s">
        <v>3179</v>
      </c>
      <c r="G1127" s="1">
        <v>30.0</v>
      </c>
      <c r="H1127" s="1">
        <v>160.0</v>
      </c>
      <c r="I1127" s="1" t="s">
        <v>3048</v>
      </c>
      <c r="J1127" s="1" t="s">
        <v>3180</v>
      </c>
      <c r="K1127" s="1">
        <v>1.0</v>
      </c>
      <c r="L1127" s="1" t="s">
        <v>3181</v>
      </c>
    </row>
    <row r="1128" hidden="1">
      <c r="A1128" s="34">
        <v>31.0</v>
      </c>
      <c r="B1128" s="34">
        <v>7.0</v>
      </c>
      <c r="C1128" s="34">
        <v>48.0</v>
      </c>
      <c r="D1128" s="1" t="s">
        <v>128</v>
      </c>
      <c r="E1128" s="1" t="s">
        <v>3170</v>
      </c>
      <c r="F1128" s="1" t="s">
        <v>3182</v>
      </c>
      <c r="G1128" s="1">
        <v>30.0</v>
      </c>
      <c r="H1128" s="1">
        <v>151.0</v>
      </c>
      <c r="I1128" s="1" t="s">
        <v>3048</v>
      </c>
      <c r="J1128" s="1" t="s">
        <v>3183</v>
      </c>
      <c r="K1128" s="1">
        <v>1.0</v>
      </c>
      <c r="L1128" s="1" t="s">
        <v>3183</v>
      </c>
    </row>
    <row r="1129" hidden="1">
      <c r="A1129" s="34">
        <v>31.0</v>
      </c>
      <c r="B1129" s="34">
        <v>7.0</v>
      </c>
      <c r="C1129" s="34">
        <v>49.0</v>
      </c>
      <c r="D1129" s="1" t="s">
        <v>128</v>
      </c>
      <c r="E1129" s="1" t="s">
        <v>3170</v>
      </c>
      <c r="F1129" s="1" t="s">
        <v>3184</v>
      </c>
      <c r="G1129" s="1">
        <v>30.0</v>
      </c>
      <c r="H1129" s="1">
        <v>34.0</v>
      </c>
      <c r="I1129" s="1" t="s">
        <v>3048</v>
      </c>
      <c r="J1129" s="1" t="s">
        <v>3185</v>
      </c>
      <c r="K1129" s="1">
        <v>1.0</v>
      </c>
      <c r="L1129" s="1" t="s">
        <v>3185</v>
      </c>
    </row>
    <row r="1130" hidden="1">
      <c r="A1130" s="34">
        <v>31.0</v>
      </c>
      <c r="B1130" s="34">
        <v>7.0</v>
      </c>
      <c r="C1130" s="34">
        <v>52.0</v>
      </c>
      <c r="D1130" s="1" t="s">
        <v>128</v>
      </c>
      <c r="E1130" s="1" t="s">
        <v>3170</v>
      </c>
      <c r="F1130" s="1" t="s">
        <v>3186</v>
      </c>
      <c r="G1130" s="1">
        <v>30.0</v>
      </c>
      <c r="H1130" s="1">
        <v>13.0</v>
      </c>
      <c r="I1130" s="1" t="s">
        <v>3048</v>
      </c>
      <c r="J1130" s="1" t="s">
        <v>3187</v>
      </c>
      <c r="K1130" s="1">
        <v>1.0</v>
      </c>
      <c r="L1130" s="1" t="s">
        <v>3188</v>
      </c>
    </row>
    <row r="1131" hidden="1">
      <c r="A1131" s="34">
        <v>31.0</v>
      </c>
      <c r="B1131" s="34">
        <v>7.0</v>
      </c>
      <c r="C1131" s="34">
        <v>53.0</v>
      </c>
      <c r="D1131" s="1" t="s">
        <v>128</v>
      </c>
      <c r="E1131" s="1" t="s">
        <v>3170</v>
      </c>
      <c r="F1131" s="1" t="s">
        <v>3189</v>
      </c>
      <c r="G1131" s="1">
        <v>30.0</v>
      </c>
      <c r="H1131" s="1">
        <v>150.0</v>
      </c>
      <c r="I1131" s="1" t="s">
        <v>3048</v>
      </c>
      <c r="J1131" s="1" t="s">
        <v>3190</v>
      </c>
      <c r="K1131" s="1">
        <v>5.0</v>
      </c>
      <c r="L1131" s="1" t="s">
        <v>3191</v>
      </c>
    </row>
    <row r="1132" hidden="1">
      <c r="A1132" s="34">
        <v>31.0</v>
      </c>
      <c r="B1132" s="34">
        <v>7.0</v>
      </c>
      <c r="C1132" s="34">
        <v>59.0</v>
      </c>
      <c r="D1132" s="1" t="s">
        <v>128</v>
      </c>
      <c r="E1132" s="1" t="s">
        <v>3170</v>
      </c>
      <c r="F1132" s="1" t="s">
        <v>3192</v>
      </c>
      <c r="G1132" s="1">
        <v>30.0</v>
      </c>
      <c r="H1132" s="1">
        <v>155.0</v>
      </c>
      <c r="I1132" s="1" t="s">
        <v>3048</v>
      </c>
      <c r="J1132" s="1" t="s">
        <v>3193</v>
      </c>
      <c r="K1132" s="1">
        <v>1.0</v>
      </c>
      <c r="L1132" s="1" t="s">
        <v>3193</v>
      </c>
    </row>
    <row r="1133" hidden="1">
      <c r="A1133" s="34">
        <v>31.0</v>
      </c>
      <c r="B1133" s="34">
        <v>7.0</v>
      </c>
      <c r="C1133" s="34">
        <v>60.0</v>
      </c>
      <c r="D1133" s="1" t="s">
        <v>128</v>
      </c>
      <c r="E1133" s="1" t="s">
        <v>3170</v>
      </c>
      <c r="F1133" s="1" t="s">
        <v>3194</v>
      </c>
      <c r="G1133" s="1">
        <v>30.0</v>
      </c>
      <c r="H1133" s="1">
        <v>129.0</v>
      </c>
      <c r="I1133" s="1" t="s">
        <v>3048</v>
      </c>
      <c r="J1133" s="1" t="s">
        <v>3195</v>
      </c>
      <c r="K1133" s="1">
        <v>1.0</v>
      </c>
      <c r="L1133" s="1" t="s">
        <v>3195</v>
      </c>
    </row>
    <row r="1134" hidden="1">
      <c r="A1134" s="34">
        <v>31.0</v>
      </c>
      <c r="B1134" s="34">
        <v>7.0</v>
      </c>
      <c r="C1134" s="34">
        <v>72.0</v>
      </c>
      <c r="D1134" s="1" t="s">
        <v>128</v>
      </c>
      <c r="E1134" s="1" t="s">
        <v>3170</v>
      </c>
      <c r="F1134" s="1" t="s">
        <v>3196</v>
      </c>
      <c r="G1134" s="1">
        <v>30.0</v>
      </c>
      <c r="H1134" s="1">
        <v>131.0</v>
      </c>
      <c r="I1134" s="1" t="s">
        <v>3048</v>
      </c>
      <c r="J1134" s="1" t="s">
        <v>3172</v>
      </c>
      <c r="K1134" s="1">
        <v>1.0</v>
      </c>
      <c r="L1134" s="1" t="s">
        <v>3172</v>
      </c>
    </row>
    <row r="1135" hidden="1">
      <c r="A1135" s="34">
        <v>31.0</v>
      </c>
      <c r="B1135" s="34">
        <v>7.0</v>
      </c>
      <c r="C1135" s="34">
        <v>73.0</v>
      </c>
      <c r="D1135" s="1" t="s">
        <v>128</v>
      </c>
      <c r="E1135" s="1" t="s">
        <v>3170</v>
      </c>
      <c r="F1135" s="1" t="s">
        <v>3197</v>
      </c>
      <c r="G1135" s="1">
        <v>30.0</v>
      </c>
      <c r="H1135" s="1">
        <v>131.0</v>
      </c>
      <c r="I1135" s="1" t="s">
        <v>3048</v>
      </c>
      <c r="J1135" s="1" t="s">
        <v>3172</v>
      </c>
      <c r="K1135" s="1">
        <v>1.0</v>
      </c>
      <c r="L1135" s="1" t="s">
        <v>3173</v>
      </c>
    </row>
    <row r="1136" hidden="1">
      <c r="A1136" s="34">
        <v>31.0</v>
      </c>
      <c r="B1136" s="34">
        <v>7.0</v>
      </c>
      <c r="C1136" s="34">
        <v>74.0</v>
      </c>
      <c r="D1136" s="1" t="s">
        <v>128</v>
      </c>
      <c r="E1136" s="1" t="s">
        <v>3170</v>
      </c>
      <c r="F1136" s="1" t="s">
        <v>3198</v>
      </c>
      <c r="G1136" s="1">
        <v>30.0</v>
      </c>
      <c r="H1136" s="1">
        <v>40.0</v>
      </c>
      <c r="I1136" s="1" t="s">
        <v>3048</v>
      </c>
      <c r="J1136" s="1" t="s">
        <v>3199</v>
      </c>
      <c r="K1136" s="1">
        <v>1.0</v>
      </c>
      <c r="L1136" s="1" t="s">
        <v>3199</v>
      </c>
    </row>
    <row r="1137" hidden="1">
      <c r="A1137" s="34">
        <v>31.0</v>
      </c>
      <c r="B1137" s="34">
        <v>9.0</v>
      </c>
      <c r="C1137" s="34">
        <v>23.0</v>
      </c>
      <c r="D1137" s="1" t="s">
        <v>128</v>
      </c>
      <c r="E1137" s="1" t="s">
        <v>3200</v>
      </c>
      <c r="F1137" s="1" t="s">
        <v>3201</v>
      </c>
      <c r="G1137" s="1">
        <v>30.0</v>
      </c>
      <c r="H1137" s="1">
        <v>211.0</v>
      </c>
      <c r="I1137" s="1" t="s">
        <v>3048</v>
      </c>
      <c r="J1137" s="1" t="s">
        <v>849</v>
      </c>
      <c r="K1137" s="1">
        <v>1.0</v>
      </c>
      <c r="L1137" s="1" t="s">
        <v>849</v>
      </c>
    </row>
    <row r="1138" hidden="1">
      <c r="A1138" s="34">
        <v>31.0</v>
      </c>
      <c r="B1138" s="34">
        <v>9.0</v>
      </c>
      <c r="C1138" s="34">
        <v>28.0</v>
      </c>
      <c r="D1138" s="1" t="s">
        <v>128</v>
      </c>
      <c r="E1138" s="1" t="s">
        <v>3200</v>
      </c>
      <c r="F1138" s="1" t="s">
        <v>3202</v>
      </c>
      <c r="G1138" s="1">
        <v>30.0</v>
      </c>
      <c r="H1138" s="1">
        <v>102.0</v>
      </c>
      <c r="I1138" s="1" t="s">
        <v>3048</v>
      </c>
      <c r="J1138" s="1" t="s">
        <v>3203</v>
      </c>
      <c r="K1138" s="1">
        <v>1.0</v>
      </c>
      <c r="L1138" s="1" t="s">
        <v>3204</v>
      </c>
    </row>
    <row r="1139" hidden="1">
      <c r="A1139" s="34">
        <v>31.0</v>
      </c>
      <c r="B1139" s="34">
        <v>9.0</v>
      </c>
      <c r="C1139" s="34">
        <v>43.0</v>
      </c>
      <c r="D1139" s="1" t="s">
        <v>128</v>
      </c>
      <c r="E1139" s="1" t="s">
        <v>3200</v>
      </c>
      <c r="F1139" s="1" t="s">
        <v>3205</v>
      </c>
      <c r="G1139" s="1">
        <v>30.0</v>
      </c>
      <c r="H1139" s="1">
        <v>10.0</v>
      </c>
      <c r="I1139" s="1" t="s">
        <v>3048</v>
      </c>
      <c r="J1139" s="1" t="s">
        <v>3206</v>
      </c>
      <c r="K1139" s="1">
        <v>1.0</v>
      </c>
      <c r="L1139" s="1" t="s">
        <v>3206</v>
      </c>
    </row>
    <row r="1140" hidden="1">
      <c r="A1140" s="34">
        <v>31.0</v>
      </c>
      <c r="B1140" s="34">
        <v>9.0</v>
      </c>
      <c r="C1140" s="34">
        <v>44.0</v>
      </c>
      <c r="D1140" s="1" t="s">
        <v>128</v>
      </c>
      <c r="E1140" s="1" t="s">
        <v>3200</v>
      </c>
      <c r="F1140" s="1" t="s">
        <v>3207</v>
      </c>
      <c r="G1140" s="1">
        <v>30.0</v>
      </c>
      <c r="H1140" s="1">
        <v>183.0</v>
      </c>
      <c r="I1140" s="1" t="s">
        <v>3048</v>
      </c>
      <c r="J1140" s="1" t="s">
        <v>3208</v>
      </c>
      <c r="K1140" s="1">
        <v>1.0</v>
      </c>
      <c r="L1140" s="1" t="s">
        <v>3208</v>
      </c>
    </row>
    <row r="1141" hidden="1">
      <c r="A1141" s="34">
        <v>31.0</v>
      </c>
      <c r="B1141" s="34">
        <v>9.0</v>
      </c>
      <c r="C1141" s="34">
        <v>45.0</v>
      </c>
      <c r="D1141" s="1" t="s">
        <v>128</v>
      </c>
      <c r="E1141" s="1" t="s">
        <v>3200</v>
      </c>
      <c r="F1141" s="1" t="s">
        <v>3209</v>
      </c>
      <c r="G1141" s="1">
        <v>30.0</v>
      </c>
      <c r="H1141" s="1">
        <v>109.0</v>
      </c>
      <c r="I1141" s="1" t="s">
        <v>3048</v>
      </c>
      <c r="J1141" s="1" t="s">
        <v>3210</v>
      </c>
      <c r="K1141" s="1">
        <v>1.0</v>
      </c>
      <c r="L1141" s="1" t="s">
        <v>3210</v>
      </c>
    </row>
    <row r="1142" hidden="1">
      <c r="A1142" s="34">
        <v>31.0</v>
      </c>
      <c r="B1142" s="34">
        <v>9.0</v>
      </c>
      <c r="C1142" s="34">
        <v>46.0</v>
      </c>
      <c r="D1142" s="1" t="s">
        <v>128</v>
      </c>
      <c r="E1142" s="1" t="s">
        <v>3200</v>
      </c>
      <c r="F1142" s="1" t="s">
        <v>3211</v>
      </c>
      <c r="G1142" s="1">
        <v>30.0</v>
      </c>
      <c r="H1142" s="1">
        <v>5.0</v>
      </c>
      <c r="I1142" s="1" t="s">
        <v>3048</v>
      </c>
      <c r="J1142" s="1" t="s">
        <v>3212</v>
      </c>
      <c r="K1142" s="1">
        <v>1.0</v>
      </c>
      <c r="L1142" s="1" t="s">
        <v>3212</v>
      </c>
    </row>
    <row r="1143" hidden="1">
      <c r="A1143" s="34">
        <v>31.0</v>
      </c>
      <c r="B1143" s="34">
        <v>9.0</v>
      </c>
      <c r="C1143" s="34">
        <v>75.0</v>
      </c>
      <c r="D1143" s="1" t="s">
        <v>128</v>
      </c>
      <c r="E1143" s="1" t="s">
        <v>3200</v>
      </c>
      <c r="F1143" s="1" t="s">
        <v>603</v>
      </c>
      <c r="G1143" s="1">
        <v>30.0</v>
      </c>
      <c r="H1143" s="1">
        <v>86.0</v>
      </c>
      <c r="I1143" s="1" t="s">
        <v>3048</v>
      </c>
      <c r="J1143" s="1" t="s">
        <v>3213</v>
      </c>
      <c r="K1143" s="1">
        <v>1.0</v>
      </c>
      <c r="L1143" s="1" t="s">
        <v>3213</v>
      </c>
    </row>
    <row r="1144" hidden="1">
      <c r="A1144" s="34">
        <v>31.0</v>
      </c>
      <c r="B1144" s="34">
        <v>12.0</v>
      </c>
      <c r="C1144" s="34">
        <v>15.0</v>
      </c>
      <c r="D1144" s="1" t="s">
        <v>128</v>
      </c>
      <c r="E1144" s="1" t="s">
        <v>606</v>
      </c>
      <c r="F1144" s="1" t="s">
        <v>3214</v>
      </c>
      <c r="G1144" s="1">
        <v>30.0</v>
      </c>
      <c r="H1144" s="1">
        <v>193.0</v>
      </c>
      <c r="I1144" s="1" t="s">
        <v>3048</v>
      </c>
      <c r="J1144" s="1" t="s">
        <v>606</v>
      </c>
      <c r="K1144" s="1">
        <v>1.0</v>
      </c>
      <c r="L1144" s="1" t="s">
        <v>606</v>
      </c>
    </row>
    <row r="1145" hidden="1">
      <c r="A1145" s="34">
        <v>31.0</v>
      </c>
      <c r="B1145" s="34">
        <v>12.0</v>
      </c>
      <c r="C1145" s="34">
        <v>25.0</v>
      </c>
      <c r="D1145" s="1" t="s">
        <v>128</v>
      </c>
      <c r="E1145" s="1" t="s">
        <v>606</v>
      </c>
      <c r="F1145" s="1" t="s">
        <v>3215</v>
      </c>
      <c r="G1145" s="1">
        <v>30.0</v>
      </c>
      <c r="H1145" s="1">
        <v>49.0</v>
      </c>
      <c r="I1145" s="1" t="s">
        <v>3048</v>
      </c>
      <c r="J1145" s="1" t="s">
        <v>3216</v>
      </c>
      <c r="K1145" s="1">
        <v>1.0</v>
      </c>
      <c r="L1145" s="1" t="s">
        <v>3216</v>
      </c>
    </row>
    <row r="1146" hidden="1">
      <c r="A1146" s="34">
        <v>31.0</v>
      </c>
      <c r="B1146" s="34">
        <v>12.0</v>
      </c>
      <c r="C1146" s="34">
        <v>31.0</v>
      </c>
      <c r="D1146" s="1" t="s">
        <v>128</v>
      </c>
      <c r="E1146" s="1" t="s">
        <v>606</v>
      </c>
      <c r="F1146" s="1" t="s">
        <v>3217</v>
      </c>
      <c r="G1146" s="1">
        <v>30.0</v>
      </c>
      <c r="H1146" s="1">
        <v>105.0</v>
      </c>
      <c r="I1146" s="1" t="s">
        <v>3048</v>
      </c>
      <c r="J1146" s="1" t="s">
        <v>3218</v>
      </c>
      <c r="K1146" s="1">
        <v>68.0</v>
      </c>
      <c r="L1146" s="1" t="s">
        <v>3219</v>
      </c>
    </row>
    <row r="1147" hidden="1">
      <c r="A1147" s="34">
        <v>31.0</v>
      </c>
      <c r="B1147" s="34">
        <v>12.0</v>
      </c>
      <c r="C1147" s="34">
        <v>39.0</v>
      </c>
      <c r="D1147" s="1" t="s">
        <v>128</v>
      </c>
      <c r="E1147" s="1" t="s">
        <v>606</v>
      </c>
      <c r="F1147" s="1" t="s">
        <v>3220</v>
      </c>
      <c r="G1147" s="1">
        <v>30.0</v>
      </c>
      <c r="H1147" s="1">
        <v>126.0</v>
      </c>
      <c r="I1147" s="1" t="s">
        <v>3048</v>
      </c>
      <c r="J1147" s="1" t="s">
        <v>3221</v>
      </c>
      <c r="K1147" s="1">
        <v>1.0</v>
      </c>
      <c r="L1147" s="1" t="s">
        <v>3222</v>
      </c>
    </row>
    <row r="1148" hidden="1">
      <c r="A1148" s="34">
        <v>31.0</v>
      </c>
      <c r="B1148" s="34">
        <v>12.0</v>
      </c>
      <c r="C1148" s="34">
        <v>40.0</v>
      </c>
      <c r="D1148" s="1" t="s">
        <v>128</v>
      </c>
      <c r="E1148" s="1" t="s">
        <v>606</v>
      </c>
      <c r="F1148" s="1" t="s">
        <v>3223</v>
      </c>
      <c r="G1148" s="1">
        <v>30.0</v>
      </c>
      <c r="H1148" s="1">
        <v>45.0</v>
      </c>
      <c r="I1148" s="1" t="s">
        <v>3048</v>
      </c>
      <c r="J1148" s="1" t="s">
        <v>3224</v>
      </c>
      <c r="K1148" s="1">
        <v>25.0</v>
      </c>
      <c r="L1148" s="1" t="s">
        <v>3225</v>
      </c>
    </row>
    <row r="1149" hidden="1">
      <c r="A1149" s="34">
        <v>31.0</v>
      </c>
      <c r="B1149" s="34">
        <v>12.0</v>
      </c>
      <c r="C1149" s="34">
        <v>57.0</v>
      </c>
      <c r="D1149" s="1" t="s">
        <v>128</v>
      </c>
      <c r="E1149" s="1" t="s">
        <v>606</v>
      </c>
      <c r="F1149" s="1" t="s">
        <v>3226</v>
      </c>
      <c r="G1149" s="1">
        <v>30.0</v>
      </c>
      <c r="H1149" s="1">
        <v>193.0</v>
      </c>
      <c r="I1149" s="1" t="s">
        <v>3048</v>
      </c>
      <c r="J1149" s="1" t="s">
        <v>606</v>
      </c>
      <c r="K1149" s="1">
        <v>1.0</v>
      </c>
      <c r="L1149" s="1" t="s">
        <v>606</v>
      </c>
    </row>
    <row r="1150" hidden="1">
      <c r="A1150" s="34">
        <v>31.0</v>
      </c>
      <c r="B1150" s="34">
        <v>12.0</v>
      </c>
      <c r="C1150" s="34">
        <v>61.0</v>
      </c>
      <c r="D1150" s="1" t="s">
        <v>128</v>
      </c>
      <c r="E1150" s="1" t="s">
        <v>606</v>
      </c>
      <c r="F1150" s="1" t="s">
        <v>3227</v>
      </c>
      <c r="G1150" s="1">
        <v>30.0</v>
      </c>
      <c r="H1150" s="1">
        <v>193.0</v>
      </c>
      <c r="I1150" s="1" t="s">
        <v>3048</v>
      </c>
      <c r="J1150" s="1" t="s">
        <v>606</v>
      </c>
      <c r="K1150" s="1">
        <v>1.0</v>
      </c>
      <c r="L1150" s="1" t="s">
        <v>606</v>
      </c>
    </row>
    <row r="1151" hidden="1">
      <c r="A1151" s="34">
        <v>31.0</v>
      </c>
      <c r="B1151" s="34">
        <v>12.0</v>
      </c>
      <c r="C1151" s="34">
        <v>68.0</v>
      </c>
      <c r="D1151" s="1" t="s">
        <v>128</v>
      </c>
      <c r="E1151" s="1" t="s">
        <v>606</v>
      </c>
      <c r="F1151" s="1" t="s">
        <v>3228</v>
      </c>
      <c r="G1151" s="1">
        <v>30.0</v>
      </c>
      <c r="H1151" s="1">
        <v>193.0</v>
      </c>
      <c r="I1151" s="1" t="s">
        <v>3048</v>
      </c>
      <c r="J1151" s="1" t="s">
        <v>606</v>
      </c>
      <c r="K1151" s="1">
        <v>1.0</v>
      </c>
      <c r="L1151" s="1" t="s">
        <v>606</v>
      </c>
    </row>
    <row r="1152" hidden="1">
      <c r="A1152" s="34">
        <v>31.0</v>
      </c>
      <c r="B1152" s="34">
        <v>25.0</v>
      </c>
      <c r="C1152" s="34">
        <v>20.0</v>
      </c>
      <c r="D1152" s="1" t="s">
        <v>128</v>
      </c>
      <c r="E1152" s="1" t="s">
        <v>3229</v>
      </c>
      <c r="F1152" s="1" t="s">
        <v>3230</v>
      </c>
      <c r="G1152" s="1">
        <v>30.0</v>
      </c>
      <c r="H1152" s="1">
        <v>139.0</v>
      </c>
      <c r="I1152" s="1" t="s">
        <v>3048</v>
      </c>
      <c r="J1152" s="1" t="s">
        <v>3231</v>
      </c>
      <c r="K1152" s="1">
        <v>1.0</v>
      </c>
      <c r="L1152" s="1" t="s">
        <v>3231</v>
      </c>
    </row>
    <row r="1153" hidden="1">
      <c r="A1153" s="34">
        <v>31.0</v>
      </c>
      <c r="B1153" s="34">
        <v>25.0</v>
      </c>
      <c r="C1153" s="34">
        <v>32.0</v>
      </c>
      <c r="D1153" s="1" t="s">
        <v>128</v>
      </c>
      <c r="E1153" s="1" t="s">
        <v>3229</v>
      </c>
      <c r="F1153" s="1" t="s">
        <v>3232</v>
      </c>
      <c r="G1153" s="1">
        <v>30.0</v>
      </c>
      <c r="H1153" s="1">
        <v>11.0</v>
      </c>
      <c r="I1153" s="1" t="s">
        <v>3048</v>
      </c>
      <c r="J1153" s="1" t="s">
        <v>3233</v>
      </c>
      <c r="K1153" s="1">
        <v>1.0</v>
      </c>
      <c r="L1153" s="1" t="s">
        <v>3233</v>
      </c>
    </row>
    <row r="1154" hidden="1">
      <c r="A1154" s="34">
        <v>31.0</v>
      </c>
      <c r="B1154" s="34">
        <v>25.0</v>
      </c>
      <c r="C1154" s="34">
        <v>33.0</v>
      </c>
      <c r="D1154" s="1" t="s">
        <v>128</v>
      </c>
      <c r="E1154" s="1" t="s">
        <v>3229</v>
      </c>
      <c r="F1154" s="1" t="s">
        <v>3234</v>
      </c>
      <c r="G1154" s="1">
        <v>30.0</v>
      </c>
      <c r="H1154" s="1">
        <v>141.0</v>
      </c>
      <c r="I1154" s="1" t="s">
        <v>3048</v>
      </c>
      <c r="J1154" s="1" t="s">
        <v>3235</v>
      </c>
      <c r="K1154" s="1">
        <v>1.0</v>
      </c>
      <c r="L1154" s="1" t="s">
        <v>3235</v>
      </c>
    </row>
    <row r="1155" hidden="1">
      <c r="A1155" s="34">
        <v>31.0</v>
      </c>
      <c r="B1155" s="34">
        <v>25.0</v>
      </c>
      <c r="C1155" s="34">
        <v>34.0</v>
      </c>
      <c r="D1155" s="1" t="s">
        <v>128</v>
      </c>
      <c r="E1155" s="1" t="s">
        <v>3229</v>
      </c>
      <c r="F1155" s="1" t="s">
        <v>3236</v>
      </c>
      <c r="G1155" s="1">
        <v>30.0</v>
      </c>
      <c r="H1155" s="1">
        <v>32.0</v>
      </c>
      <c r="I1155" s="1" t="s">
        <v>3048</v>
      </c>
      <c r="J1155" s="1" t="s">
        <v>3237</v>
      </c>
      <c r="K1155" s="1">
        <v>1.0</v>
      </c>
      <c r="L1155" s="1" t="s">
        <v>3237</v>
      </c>
    </row>
    <row r="1156" hidden="1">
      <c r="A1156" s="34">
        <v>31.0</v>
      </c>
      <c r="B1156" s="34">
        <v>25.0</v>
      </c>
      <c r="C1156" s="34">
        <v>35.0</v>
      </c>
      <c r="D1156" s="1" t="s">
        <v>128</v>
      </c>
      <c r="E1156" s="1" t="s">
        <v>3229</v>
      </c>
      <c r="F1156" s="1" t="s">
        <v>3238</v>
      </c>
      <c r="G1156" s="1">
        <v>30.0</v>
      </c>
      <c r="H1156" s="1">
        <v>143.0</v>
      </c>
      <c r="I1156" s="1" t="s">
        <v>3048</v>
      </c>
      <c r="J1156" s="1" t="s">
        <v>3239</v>
      </c>
      <c r="K1156" s="1">
        <v>1.0</v>
      </c>
      <c r="L1156" s="1" t="s">
        <v>3239</v>
      </c>
    </row>
    <row r="1157" hidden="1">
      <c r="A1157" s="34">
        <v>31.0</v>
      </c>
      <c r="B1157" s="34">
        <v>25.0</v>
      </c>
      <c r="C1157" s="34">
        <v>50.0</v>
      </c>
      <c r="D1157" s="1" t="s">
        <v>128</v>
      </c>
      <c r="E1157" s="1" t="s">
        <v>3229</v>
      </c>
      <c r="F1157" s="1" t="s">
        <v>3240</v>
      </c>
      <c r="G1157" s="1">
        <v>30.0</v>
      </c>
      <c r="H1157" s="1">
        <v>97.0</v>
      </c>
      <c r="I1157" s="1" t="s">
        <v>3048</v>
      </c>
      <c r="J1157" s="1" t="s">
        <v>3229</v>
      </c>
      <c r="K1157" s="1">
        <v>1.0</v>
      </c>
      <c r="L1157" s="1" t="s">
        <v>3241</v>
      </c>
    </row>
    <row r="1158" hidden="1">
      <c r="A1158" s="34">
        <v>31.0</v>
      </c>
      <c r="B1158" s="34">
        <v>25.0</v>
      </c>
      <c r="C1158" s="34">
        <v>51.0</v>
      </c>
      <c r="D1158" s="1" t="s">
        <v>128</v>
      </c>
      <c r="E1158" s="1" t="s">
        <v>3229</v>
      </c>
      <c r="F1158" s="1" t="s">
        <v>3242</v>
      </c>
      <c r="G1158" s="1">
        <v>30.0</v>
      </c>
      <c r="H1158" s="1">
        <v>15.0</v>
      </c>
      <c r="I1158" s="1" t="s">
        <v>3048</v>
      </c>
      <c r="J1158" s="1" t="s">
        <v>3243</v>
      </c>
      <c r="K1158" s="1">
        <v>1.0</v>
      </c>
      <c r="L1158" s="1" t="s">
        <v>3243</v>
      </c>
    </row>
    <row r="1159" hidden="1">
      <c r="A1159" s="34">
        <v>31.0</v>
      </c>
      <c r="B1159" s="34">
        <v>25.0</v>
      </c>
      <c r="C1159" s="34">
        <v>70.0</v>
      </c>
      <c r="D1159" s="1" t="s">
        <v>128</v>
      </c>
      <c r="E1159" s="1" t="s">
        <v>3229</v>
      </c>
      <c r="F1159" s="1" t="s">
        <v>3244</v>
      </c>
      <c r="G1159" s="1">
        <v>30.0</v>
      </c>
      <c r="H1159" s="1">
        <v>143.0</v>
      </c>
      <c r="I1159" s="1" t="s">
        <v>3048</v>
      </c>
      <c r="J1159" s="1" t="s">
        <v>3239</v>
      </c>
      <c r="K1159" s="1">
        <v>81.0</v>
      </c>
      <c r="L1159" s="1" t="s">
        <v>3245</v>
      </c>
    </row>
    <row r="1160">
      <c r="A1160" s="34">
        <v>32.0</v>
      </c>
      <c r="B1160" s="34">
        <v>2.0</v>
      </c>
      <c r="C1160" s="34">
        <v>9.0</v>
      </c>
      <c r="D1160" s="1" t="s">
        <v>130</v>
      </c>
      <c r="E1160" s="1" t="s">
        <v>3246</v>
      </c>
      <c r="F1160" s="1" t="s">
        <v>3247</v>
      </c>
      <c r="G1160" s="1">
        <v>30.0</v>
      </c>
      <c r="H1160" s="1">
        <v>196.0</v>
      </c>
      <c r="I1160" s="1" t="s">
        <v>3048</v>
      </c>
      <c r="J1160" s="1" t="s">
        <v>3248</v>
      </c>
      <c r="K1160" s="1">
        <v>1.0</v>
      </c>
      <c r="L1160" s="1" t="s">
        <v>3248</v>
      </c>
    </row>
    <row r="1161">
      <c r="A1161" s="34">
        <v>32.0</v>
      </c>
      <c r="B1161" s="34">
        <v>2.0</v>
      </c>
      <c r="C1161" s="34">
        <v>10.0</v>
      </c>
      <c r="D1161" s="1" t="s">
        <v>130</v>
      </c>
      <c r="E1161" s="1" t="s">
        <v>3246</v>
      </c>
      <c r="F1161" s="1" t="s">
        <v>3249</v>
      </c>
      <c r="G1161" s="1">
        <v>30.0</v>
      </c>
      <c r="H1161" s="1">
        <v>53.0</v>
      </c>
      <c r="I1161" s="1" t="s">
        <v>3048</v>
      </c>
      <c r="J1161" s="1" t="s">
        <v>3250</v>
      </c>
      <c r="K1161" s="1">
        <v>1.0</v>
      </c>
      <c r="L1161" s="1" t="s">
        <v>3250</v>
      </c>
    </row>
    <row r="1162">
      <c r="A1162" s="34">
        <v>32.0</v>
      </c>
      <c r="B1162" s="34">
        <v>2.0</v>
      </c>
      <c r="C1162" s="34">
        <v>11.0</v>
      </c>
      <c r="D1162" s="1" t="s">
        <v>130</v>
      </c>
      <c r="E1162" s="1" t="s">
        <v>3246</v>
      </c>
      <c r="F1162" s="1" t="s">
        <v>3251</v>
      </c>
      <c r="G1162" s="1">
        <v>30.0</v>
      </c>
      <c r="H1162" s="1">
        <v>14.0</v>
      </c>
      <c r="I1162" s="1" t="s">
        <v>3048</v>
      </c>
      <c r="J1162" s="1" t="s">
        <v>3252</v>
      </c>
      <c r="K1162" s="1">
        <v>15.0</v>
      </c>
      <c r="L1162" s="1" t="s">
        <v>3253</v>
      </c>
    </row>
    <row r="1163">
      <c r="A1163" s="34">
        <v>32.0</v>
      </c>
      <c r="B1163" s="34">
        <v>2.0</v>
      </c>
      <c r="C1163" s="34">
        <v>12.0</v>
      </c>
      <c r="D1163" s="1" t="s">
        <v>130</v>
      </c>
      <c r="E1163" s="1" t="s">
        <v>3246</v>
      </c>
      <c r="F1163" s="1" t="s">
        <v>3254</v>
      </c>
      <c r="G1163" s="1">
        <v>30.0</v>
      </c>
      <c r="H1163" s="1">
        <v>21.0</v>
      </c>
      <c r="I1163" s="1" t="s">
        <v>3048</v>
      </c>
      <c r="J1163" s="1" t="s">
        <v>1335</v>
      </c>
      <c r="K1163" s="1">
        <v>17.0</v>
      </c>
      <c r="L1163" s="1" t="s">
        <v>3255</v>
      </c>
    </row>
    <row r="1164">
      <c r="A1164" s="34">
        <v>32.0</v>
      </c>
      <c r="B1164" s="34">
        <v>2.0</v>
      </c>
      <c r="C1164" s="34">
        <v>13.0</v>
      </c>
      <c r="D1164" s="1" t="s">
        <v>130</v>
      </c>
      <c r="E1164" s="1" t="s">
        <v>3246</v>
      </c>
      <c r="F1164" s="1" t="s">
        <v>3256</v>
      </c>
      <c r="G1164" s="1">
        <v>30.0</v>
      </c>
      <c r="H1164" s="1">
        <v>125.0</v>
      </c>
      <c r="I1164" s="1" t="s">
        <v>3048</v>
      </c>
      <c r="J1164" s="1" t="s">
        <v>3257</v>
      </c>
      <c r="K1164" s="1">
        <v>1.0</v>
      </c>
      <c r="L1164" s="1" t="s">
        <v>3258</v>
      </c>
    </row>
    <row r="1165">
      <c r="A1165" s="34">
        <v>32.0</v>
      </c>
      <c r="B1165" s="34">
        <v>2.0</v>
      </c>
      <c r="C1165" s="34">
        <v>14.0</v>
      </c>
      <c r="D1165" s="1" t="s">
        <v>130</v>
      </c>
      <c r="E1165" s="1" t="s">
        <v>3246</v>
      </c>
      <c r="F1165" s="1" t="s">
        <v>3259</v>
      </c>
      <c r="G1165" s="1">
        <v>30.0</v>
      </c>
      <c r="H1165" s="1">
        <v>14.0</v>
      </c>
      <c r="I1165" s="1" t="s">
        <v>3048</v>
      </c>
      <c r="J1165" s="1" t="s">
        <v>3252</v>
      </c>
      <c r="K1165" s="1">
        <v>1.0</v>
      </c>
      <c r="L1165" s="1" t="s">
        <v>3260</v>
      </c>
    </row>
    <row r="1166">
      <c r="A1166" s="34">
        <v>32.0</v>
      </c>
      <c r="B1166" s="34">
        <v>2.0</v>
      </c>
      <c r="C1166" s="34">
        <v>15.0</v>
      </c>
      <c r="D1166" s="1" t="s">
        <v>130</v>
      </c>
      <c r="E1166" s="1" t="s">
        <v>3246</v>
      </c>
      <c r="F1166" s="1" t="s">
        <v>3261</v>
      </c>
      <c r="G1166" s="1">
        <v>30.0</v>
      </c>
      <c r="H1166" s="1">
        <v>52.0</v>
      </c>
      <c r="I1166" s="1" t="s">
        <v>3048</v>
      </c>
      <c r="J1166" s="1" t="s">
        <v>3262</v>
      </c>
      <c r="K1166" s="1">
        <v>1.0</v>
      </c>
      <c r="L1166" s="1" t="s">
        <v>3262</v>
      </c>
    </row>
    <row r="1167">
      <c r="A1167" s="34">
        <v>32.0</v>
      </c>
      <c r="B1167" s="34">
        <v>2.0</v>
      </c>
      <c r="C1167" s="34">
        <v>16.0</v>
      </c>
      <c r="D1167" s="1" t="s">
        <v>130</v>
      </c>
      <c r="E1167" s="1" t="s">
        <v>3246</v>
      </c>
      <c r="F1167" s="1" t="s">
        <v>3263</v>
      </c>
      <c r="G1167" s="1">
        <v>30.0</v>
      </c>
      <c r="H1167" s="1">
        <v>117.0</v>
      </c>
      <c r="I1167" s="1" t="s">
        <v>3048</v>
      </c>
      <c r="J1167" s="1" t="s">
        <v>3264</v>
      </c>
      <c r="K1167" s="1">
        <v>1.0</v>
      </c>
      <c r="L1167" s="1" t="s">
        <v>3264</v>
      </c>
    </row>
    <row r="1168">
      <c r="A1168" s="34">
        <v>32.0</v>
      </c>
      <c r="B1168" s="34">
        <v>2.0</v>
      </c>
      <c r="C1168" s="34">
        <v>17.0</v>
      </c>
      <c r="D1168" s="1" t="s">
        <v>130</v>
      </c>
      <c r="E1168" s="1" t="s">
        <v>3246</v>
      </c>
      <c r="F1168" s="1" t="s">
        <v>3265</v>
      </c>
      <c r="G1168" s="1">
        <v>30.0</v>
      </c>
      <c r="H1168" s="1">
        <v>173.0</v>
      </c>
      <c r="I1168" s="1" t="s">
        <v>3048</v>
      </c>
      <c r="J1168" s="1" t="s">
        <v>3266</v>
      </c>
      <c r="K1168" s="1">
        <v>18.0</v>
      </c>
      <c r="L1168" s="1" t="s">
        <v>3267</v>
      </c>
    </row>
    <row r="1169">
      <c r="A1169" s="34">
        <v>32.0</v>
      </c>
      <c r="B1169" s="34">
        <v>2.0</v>
      </c>
      <c r="C1169" s="34">
        <v>18.0</v>
      </c>
      <c r="D1169" s="1" t="s">
        <v>130</v>
      </c>
      <c r="E1169" s="1" t="s">
        <v>3246</v>
      </c>
      <c r="F1169" s="1" t="s">
        <v>3268</v>
      </c>
      <c r="G1169" s="1">
        <v>30.0</v>
      </c>
      <c r="H1169" s="1">
        <v>173.0</v>
      </c>
      <c r="I1169" s="1" t="s">
        <v>3048</v>
      </c>
      <c r="J1169" s="1" t="s">
        <v>3266</v>
      </c>
      <c r="K1169" s="1">
        <v>25.0</v>
      </c>
      <c r="L1169" s="1" t="s">
        <v>3269</v>
      </c>
    </row>
    <row r="1170">
      <c r="A1170" s="34">
        <v>32.0</v>
      </c>
      <c r="B1170" s="34">
        <v>2.0</v>
      </c>
      <c r="C1170" s="34">
        <v>19.0</v>
      </c>
      <c r="D1170" s="1" t="s">
        <v>130</v>
      </c>
      <c r="E1170" s="1" t="s">
        <v>3246</v>
      </c>
      <c r="F1170" s="1" t="s">
        <v>3270</v>
      </c>
      <c r="G1170" s="1">
        <v>20.0</v>
      </c>
      <c r="H1170" s="1">
        <v>21.0</v>
      </c>
      <c r="I1170" s="1" t="s">
        <v>109</v>
      </c>
      <c r="J1170" s="1" t="s">
        <v>3271</v>
      </c>
      <c r="K1170" s="1">
        <v>1.0</v>
      </c>
      <c r="L1170" s="1" t="s">
        <v>3271</v>
      </c>
    </row>
    <row r="1171">
      <c r="A1171" s="34">
        <v>32.0</v>
      </c>
      <c r="B1171" s="34">
        <v>2.0</v>
      </c>
      <c r="C1171" s="34">
        <v>20.0</v>
      </c>
      <c r="D1171" s="1" t="s">
        <v>130</v>
      </c>
      <c r="E1171" s="1" t="s">
        <v>3246</v>
      </c>
      <c r="F1171" s="1" t="s">
        <v>3272</v>
      </c>
      <c r="G1171" s="1">
        <v>20.0</v>
      </c>
      <c r="H1171" s="1">
        <v>2.0</v>
      </c>
      <c r="I1171" s="1" t="s">
        <v>109</v>
      </c>
      <c r="J1171" s="1" t="s">
        <v>3273</v>
      </c>
      <c r="K1171" s="1">
        <v>1.0</v>
      </c>
      <c r="L1171" s="1" t="s">
        <v>3274</v>
      </c>
    </row>
    <row r="1172">
      <c r="A1172" s="34">
        <v>32.0</v>
      </c>
      <c r="B1172" s="34">
        <v>2.0</v>
      </c>
      <c r="C1172" s="34">
        <v>21.0</v>
      </c>
      <c r="D1172" s="1" t="s">
        <v>130</v>
      </c>
      <c r="E1172" s="1" t="s">
        <v>3246</v>
      </c>
      <c r="F1172" s="1" t="s">
        <v>3275</v>
      </c>
      <c r="G1172" s="1">
        <v>20.0</v>
      </c>
      <c r="H1172" s="1">
        <v>2.0</v>
      </c>
      <c r="I1172" s="1" t="s">
        <v>109</v>
      </c>
      <c r="J1172" s="1" t="s">
        <v>3273</v>
      </c>
      <c r="K1172" s="1">
        <v>39.0</v>
      </c>
      <c r="L1172" s="1" t="s">
        <v>3276</v>
      </c>
    </row>
    <row r="1173">
      <c r="A1173" s="34">
        <v>32.0</v>
      </c>
      <c r="B1173" s="34">
        <v>2.0</v>
      </c>
      <c r="C1173" s="34">
        <v>23.0</v>
      </c>
      <c r="D1173" s="1" t="s">
        <v>130</v>
      </c>
      <c r="E1173" s="1" t="s">
        <v>3246</v>
      </c>
      <c r="F1173" s="1" t="s">
        <v>3277</v>
      </c>
      <c r="G1173" s="1">
        <v>30.0</v>
      </c>
      <c r="H1173" s="1">
        <v>44.0</v>
      </c>
      <c r="I1173" s="1" t="s">
        <v>3048</v>
      </c>
      <c r="J1173" s="1" t="s">
        <v>3246</v>
      </c>
      <c r="K1173" s="1">
        <v>52.0</v>
      </c>
      <c r="L1173" s="1" t="s">
        <v>3278</v>
      </c>
    </row>
    <row r="1174">
      <c r="A1174" s="34">
        <v>32.0</v>
      </c>
      <c r="B1174" s="34">
        <v>2.0</v>
      </c>
      <c r="C1174" s="34">
        <v>24.0</v>
      </c>
      <c r="D1174" s="1" t="s">
        <v>130</v>
      </c>
      <c r="E1174" s="1" t="s">
        <v>3246</v>
      </c>
      <c r="F1174" s="1" t="s">
        <v>3279</v>
      </c>
      <c r="G1174" s="1">
        <v>30.0</v>
      </c>
      <c r="H1174" s="1">
        <v>44.0</v>
      </c>
      <c r="I1174" s="1" t="s">
        <v>3048</v>
      </c>
      <c r="J1174" s="1" t="s">
        <v>3246</v>
      </c>
      <c r="K1174" s="1">
        <v>1.0</v>
      </c>
      <c r="L1174" s="1" t="s">
        <v>3246</v>
      </c>
    </row>
    <row r="1175">
      <c r="A1175" s="34">
        <v>32.0</v>
      </c>
      <c r="B1175" s="34">
        <v>2.0</v>
      </c>
      <c r="C1175" s="34">
        <v>25.0</v>
      </c>
      <c r="D1175" s="1" t="s">
        <v>130</v>
      </c>
      <c r="E1175" s="1" t="s">
        <v>3246</v>
      </c>
      <c r="F1175" s="1" t="s">
        <v>3280</v>
      </c>
      <c r="G1175" s="1">
        <v>30.0</v>
      </c>
      <c r="H1175" s="1">
        <v>53.0</v>
      </c>
      <c r="I1175" s="1" t="s">
        <v>3048</v>
      </c>
      <c r="J1175" s="1" t="s">
        <v>3250</v>
      </c>
      <c r="K1175" s="1">
        <v>53.0</v>
      </c>
      <c r="L1175" s="1" t="s">
        <v>3281</v>
      </c>
    </row>
    <row r="1176">
      <c r="A1176" s="34">
        <v>32.0</v>
      </c>
      <c r="B1176" s="34">
        <v>2.0</v>
      </c>
      <c r="C1176" s="34">
        <v>26.0</v>
      </c>
      <c r="D1176" s="1" t="s">
        <v>130</v>
      </c>
      <c r="E1176" s="1" t="s">
        <v>3246</v>
      </c>
      <c r="F1176" s="1" t="s">
        <v>3282</v>
      </c>
      <c r="G1176" s="1">
        <v>30.0</v>
      </c>
      <c r="H1176" s="1">
        <v>52.0</v>
      </c>
      <c r="I1176" s="1" t="s">
        <v>3048</v>
      </c>
      <c r="J1176" s="1" t="s">
        <v>3262</v>
      </c>
      <c r="K1176" s="1">
        <v>8.0</v>
      </c>
      <c r="L1176" s="1" t="s">
        <v>3283</v>
      </c>
    </row>
    <row r="1177">
      <c r="A1177" s="34">
        <v>32.0</v>
      </c>
      <c r="B1177" s="34">
        <v>2.0</v>
      </c>
      <c r="C1177" s="34">
        <v>27.0</v>
      </c>
      <c r="D1177" s="1" t="s">
        <v>130</v>
      </c>
      <c r="E1177" s="1" t="s">
        <v>3246</v>
      </c>
      <c r="F1177" s="1" t="s">
        <v>3284</v>
      </c>
      <c r="G1177" s="1">
        <v>20.0</v>
      </c>
      <c r="H1177" s="1">
        <v>21.0</v>
      </c>
      <c r="I1177" s="1" t="s">
        <v>109</v>
      </c>
      <c r="J1177" s="1" t="s">
        <v>3271</v>
      </c>
      <c r="K1177" s="1">
        <v>10.0</v>
      </c>
      <c r="L1177" s="1" t="s">
        <v>3285</v>
      </c>
    </row>
    <row r="1178">
      <c r="A1178" s="34">
        <v>32.0</v>
      </c>
      <c r="B1178" s="34">
        <v>2.0</v>
      </c>
      <c r="C1178" s="34">
        <v>30.0</v>
      </c>
      <c r="D1178" s="1" t="s">
        <v>130</v>
      </c>
      <c r="E1178" s="1" t="s">
        <v>3246</v>
      </c>
      <c r="F1178" s="1" t="s">
        <v>3286</v>
      </c>
      <c r="G1178" s="1">
        <v>30.0</v>
      </c>
      <c r="H1178" s="1">
        <v>181.0</v>
      </c>
      <c r="I1178" s="1" t="s">
        <v>3048</v>
      </c>
      <c r="J1178" s="1" t="s">
        <v>3287</v>
      </c>
      <c r="K1178" s="1">
        <v>71.0</v>
      </c>
      <c r="L1178" s="1" t="s">
        <v>680</v>
      </c>
    </row>
    <row r="1179">
      <c r="A1179" s="34">
        <v>32.0</v>
      </c>
      <c r="B1179" s="34">
        <v>2.0</v>
      </c>
      <c r="C1179" s="34">
        <v>31.0</v>
      </c>
      <c r="D1179" s="1" t="s">
        <v>130</v>
      </c>
      <c r="E1179" s="1" t="s">
        <v>3246</v>
      </c>
      <c r="F1179" s="1" t="s">
        <v>3288</v>
      </c>
      <c r="G1179" s="1">
        <v>20.0</v>
      </c>
      <c r="H1179" s="1">
        <v>278.0</v>
      </c>
      <c r="I1179" s="1" t="s">
        <v>109</v>
      </c>
      <c r="J1179" s="1" t="s">
        <v>3289</v>
      </c>
      <c r="K1179" s="1">
        <v>1.0</v>
      </c>
      <c r="L1179" s="1" t="s">
        <v>3290</v>
      </c>
    </row>
    <row r="1180">
      <c r="A1180" s="34">
        <v>32.0</v>
      </c>
      <c r="B1180" s="34">
        <v>2.0</v>
      </c>
      <c r="C1180" s="34">
        <v>58.0</v>
      </c>
      <c r="D1180" s="1" t="s">
        <v>130</v>
      </c>
      <c r="E1180" s="1" t="s">
        <v>3246</v>
      </c>
      <c r="F1180" s="1" t="s">
        <v>3291</v>
      </c>
      <c r="G1180" s="1">
        <v>30.0</v>
      </c>
      <c r="H1180" s="1">
        <v>71.0</v>
      </c>
      <c r="I1180" s="1" t="s">
        <v>3048</v>
      </c>
      <c r="J1180" s="1" t="s">
        <v>3292</v>
      </c>
      <c r="K1180" s="1">
        <v>1.0</v>
      </c>
      <c r="L1180" s="1" t="s">
        <v>3293</v>
      </c>
    </row>
    <row r="1181">
      <c r="A1181" s="34">
        <v>32.0</v>
      </c>
      <c r="B1181" s="34">
        <v>2.0</v>
      </c>
      <c r="C1181" s="34">
        <v>61.0</v>
      </c>
      <c r="D1181" s="1" t="s">
        <v>130</v>
      </c>
      <c r="E1181" s="1" t="s">
        <v>3246</v>
      </c>
      <c r="F1181" s="1" t="s">
        <v>3294</v>
      </c>
      <c r="G1181" s="1">
        <v>30.0</v>
      </c>
      <c r="H1181" s="1">
        <v>44.0</v>
      </c>
      <c r="I1181" s="1" t="s">
        <v>3048</v>
      </c>
      <c r="J1181" s="1" t="s">
        <v>3246</v>
      </c>
      <c r="K1181" s="1">
        <v>1.0</v>
      </c>
      <c r="L1181" s="1" t="s">
        <v>3246</v>
      </c>
    </row>
    <row r="1182">
      <c r="A1182" s="34">
        <v>32.0</v>
      </c>
      <c r="B1182" s="34">
        <v>2.0</v>
      </c>
      <c r="C1182" s="34">
        <v>63.0</v>
      </c>
      <c r="D1182" s="1" t="s">
        <v>130</v>
      </c>
      <c r="E1182" s="1" t="s">
        <v>3246</v>
      </c>
      <c r="F1182" s="1" t="s">
        <v>3295</v>
      </c>
      <c r="G1182" s="1">
        <v>30.0</v>
      </c>
      <c r="H1182" s="1">
        <v>174.0</v>
      </c>
      <c r="I1182" s="1" t="s">
        <v>3048</v>
      </c>
      <c r="J1182" s="1" t="s">
        <v>3296</v>
      </c>
      <c r="K1182" s="1">
        <v>1.0</v>
      </c>
      <c r="L1182" s="1" t="s">
        <v>3296</v>
      </c>
    </row>
    <row r="1183">
      <c r="A1183" s="34">
        <v>32.0</v>
      </c>
      <c r="B1183" s="34">
        <v>2.0</v>
      </c>
      <c r="C1183" s="34">
        <v>64.0</v>
      </c>
      <c r="D1183" s="1" t="s">
        <v>130</v>
      </c>
      <c r="E1183" s="1" t="s">
        <v>3246</v>
      </c>
      <c r="F1183" s="1" t="s">
        <v>3297</v>
      </c>
      <c r="G1183" s="1">
        <v>30.0</v>
      </c>
      <c r="H1183" s="1">
        <v>44.0</v>
      </c>
      <c r="I1183" s="1" t="s">
        <v>3048</v>
      </c>
      <c r="J1183" s="1" t="s">
        <v>3246</v>
      </c>
      <c r="K1183" s="1">
        <v>1.0</v>
      </c>
      <c r="L1183" s="1" t="s">
        <v>3246</v>
      </c>
    </row>
    <row r="1184" hidden="1">
      <c r="A1184" s="34">
        <v>32.0</v>
      </c>
      <c r="B1184" s="34">
        <v>3.0</v>
      </c>
      <c r="C1184" s="34">
        <v>1.0</v>
      </c>
      <c r="D1184" s="1" t="s">
        <v>130</v>
      </c>
      <c r="E1184" s="1" t="s">
        <v>3298</v>
      </c>
      <c r="F1184" s="1" t="s">
        <v>3299</v>
      </c>
      <c r="G1184" s="1">
        <v>30.0</v>
      </c>
      <c r="H1184" s="1">
        <v>118.0</v>
      </c>
      <c r="I1184" s="1" t="s">
        <v>3048</v>
      </c>
      <c r="J1184" s="1" t="s">
        <v>3298</v>
      </c>
      <c r="K1184" s="1">
        <v>1.0</v>
      </c>
      <c r="L1184" s="1" t="s">
        <v>3298</v>
      </c>
    </row>
    <row r="1185" hidden="1">
      <c r="A1185" s="34">
        <v>32.0</v>
      </c>
      <c r="B1185" s="34">
        <v>3.0</v>
      </c>
      <c r="C1185" s="34">
        <v>2.0</v>
      </c>
      <c r="D1185" s="1" t="s">
        <v>130</v>
      </c>
      <c r="E1185" s="1" t="s">
        <v>3298</v>
      </c>
      <c r="F1185" s="1" t="s">
        <v>3300</v>
      </c>
      <c r="G1185" s="1">
        <v>30.0</v>
      </c>
      <c r="H1185" s="1">
        <v>138.0</v>
      </c>
      <c r="I1185" s="1" t="s">
        <v>3048</v>
      </c>
      <c r="J1185" s="1" t="s">
        <v>3301</v>
      </c>
      <c r="K1185" s="1">
        <v>1.0</v>
      </c>
      <c r="L1185" s="1" t="s">
        <v>3301</v>
      </c>
    </row>
    <row r="1186" hidden="1">
      <c r="A1186" s="34">
        <v>32.0</v>
      </c>
      <c r="B1186" s="34">
        <v>3.0</v>
      </c>
      <c r="C1186" s="34">
        <v>3.0</v>
      </c>
      <c r="D1186" s="1" t="s">
        <v>130</v>
      </c>
      <c r="E1186" s="1" t="s">
        <v>3298</v>
      </c>
      <c r="F1186" s="1" t="s">
        <v>3302</v>
      </c>
      <c r="G1186" s="1">
        <v>30.0</v>
      </c>
      <c r="H1186" s="1">
        <v>115.0</v>
      </c>
      <c r="I1186" s="1" t="s">
        <v>3048</v>
      </c>
      <c r="J1186" s="1" t="s">
        <v>2872</v>
      </c>
      <c r="K1186" s="1">
        <v>1.0</v>
      </c>
      <c r="L1186" s="1" t="s">
        <v>2872</v>
      </c>
    </row>
    <row r="1187" hidden="1">
      <c r="A1187" s="34">
        <v>32.0</v>
      </c>
      <c r="B1187" s="34">
        <v>3.0</v>
      </c>
      <c r="C1187" s="34">
        <v>4.0</v>
      </c>
      <c r="D1187" s="1" t="s">
        <v>130</v>
      </c>
      <c r="E1187" s="1" t="s">
        <v>3298</v>
      </c>
      <c r="F1187" s="1" t="s">
        <v>3303</v>
      </c>
      <c r="G1187" s="1">
        <v>30.0</v>
      </c>
      <c r="H1187" s="1">
        <v>30.0</v>
      </c>
      <c r="I1187" s="1" t="s">
        <v>3048</v>
      </c>
      <c r="J1187" s="1" t="s">
        <v>3304</v>
      </c>
      <c r="K1187" s="1">
        <v>1.0</v>
      </c>
      <c r="L1187" s="1" t="s">
        <v>3305</v>
      </c>
    </row>
    <row r="1188" hidden="1">
      <c r="A1188" s="34">
        <v>32.0</v>
      </c>
      <c r="B1188" s="34">
        <v>3.0</v>
      </c>
      <c r="C1188" s="34">
        <v>5.0</v>
      </c>
      <c r="D1188" s="1" t="s">
        <v>130</v>
      </c>
      <c r="E1188" s="1" t="s">
        <v>3298</v>
      </c>
      <c r="F1188" s="1" t="s">
        <v>3306</v>
      </c>
      <c r="G1188" s="1">
        <v>30.0</v>
      </c>
      <c r="H1188" s="1">
        <v>85.0</v>
      </c>
      <c r="I1188" s="1" t="s">
        <v>3048</v>
      </c>
      <c r="J1188" s="1" t="s">
        <v>3307</v>
      </c>
      <c r="K1188" s="1">
        <v>1.0</v>
      </c>
      <c r="L1188" s="1" t="s">
        <v>3307</v>
      </c>
    </row>
    <row r="1189" hidden="1">
      <c r="A1189" s="34">
        <v>32.0</v>
      </c>
      <c r="B1189" s="34">
        <v>3.0</v>
      </c>
      <c r="C1189" s="34">
        <v>6.0</v>
      </c>
      <c r="D1189" s="1" t="s">
        <v>130</v>
      </c>
      <c r="E1189" s="1" t="s">
        <v>3298</v>
      </c>
      <c r="F1189" s="1" t="s">
        <v>3308</v>
      </c>
      <c r="G1189" s="1">
        <v>30.0</v>
      </c>
      <c r="H1189" s="1">
        <v>81.0</v>
      </c>
      <c r="I1189" s="1" t="s">
        <v>3048</v>
      </c>
      <c r="J1189" s="1" t="s">
        <v>3309</v>
      </c>
      <c r="K1189" s="1">
        <v>1.0</v>
      </c>
      <c r="L1189" s="1" t="s">
        <v>3309</v>
      </c>
    </row>
    <row r="1190" hidden="1">
      <c r="A1190" s="34">
        <v>32.0</v>
      </c>
      <c r="B1190" s="34">
        <v>3.0</v>
      </c>
      <c r="C1190" s="34">
        <v>7.0</v>
      </c>
      <c r="D1190" s="1" t="s">
        <v>130</v>
      </c>
      <c r="E1190" s="1" t="s">
        <v>3298</v>
      </c>
      <c r="F1190" s="1" t="s">
        <v>3310</v>
      </c>
      <c r="G1190" s="1">
        <v>30.0</v>
      </c>
      <c r="H1190" s="1">
        <v>118.0</v>
      </c>
      <c r="I1190" s="1" t="s">
        <v>3048</v>
      </c>
      <c r="J1190" s="1" t="s">
        <v>3298</v>
      </c>
      <c r="K1190" s="1">
        <v>1.0</v>
      </c>
      <c r="L1190" s="1" t="s">
        <v>3298</v>
      </c>
    </row>
    <row r="1191" hidden="1">
      <c r="A1191" s="34">
        <v>32.0</v>
      </c>
      <c r="B1191" s="34">
        <v>3.0</v>
      </c>
      <c r="C1191" s="34">
        <v>22.0</v>
      </c>
      <c r="D1191" s="1" t="s">
        <v>130</v>
      </c>
      <c r="E1191" s="1" t="s">
        <v>3298</v>
      </c>
      <c r="F1191" s="1" t="s">
        <v>3311</v>
      </c>
      <c r="G1191" s="1">
        <v>30.0</v>
      </c>
      <c r="H1191" s="1">
        <v>85.0</v>
      </c>
      <c r="I1191" s="1" t="s">
        <v>3048</v>
      </c>
      <c r="J1191" s="1" t="s">
        <v>3307</v>
      </c>
      <c r="K1191" s="1">
        <v>10.0</v>
      </c>
      <c r="L1191" s="1" t="s">
        <v>3312</v>
      </c>
    </row>
    <row r="1192" hidden="1">
      <c r="A1192" s="34">
        <v>32.0</v>
      </c>
      <c r="B1192" s="34">
        <v>38.0</v>
      </c>
      <c r="C1192" s="34">
        <v>29.0</v>
      </c>
      <c r="D1192" s="1" t="s">
        <v>130</v>
      </c>
      <c r="E1192" s="1" t="s">
        <v>3313</v>
      </c>
      <c r="F1192" s="1" t="s">
        <v>3314</v>
      </c>
      <c r="G1192" s="1">
        <v>30.0</v>
      </c>
      <c r="H1192" s="1">
        <v>207.0</v>
      </c>
      <c r="I1192" s="1" t="s">
        <v>3048</v>
      </c>
      <c r="J1192" s="1" t="s">
        <v>3315</v>
      </c>
      <c r="K1192" s="1">
        <v>1.0</v>
      </c>
      <c r="L1192" s="1" t="s">
        <v>3313</v>
      </c>
    </row>
    <row r="1193" hidden="1">
      <c r="A1193" s="34">
        <v>32.0</v>
      </c>
      <c r="B1193" s="34">
        <v>38.0</v>
      </c>
      <c r="C1193" s="34">
        <v>35.0</v>
      </c>
      <c r="D1193" s="1" t="s">
        <v>130</v>
      </c>
      <c r="E1193" s="1" t="s">
        <v>3313</v>
      </c>
      <c r="F1193" s="1" t="s">
        <v>3316</v>
      </c>
      <c r="G1193" s="1">
        <v>30.0</v>
      </c>
      <c r="H1193" s="1">
        <v>45.0</v>
      </c>
      <c r="I1193" s="1" t="s">
        <v>3048</v>
      </c>
      <c r="J1193" s="1" t="s">
        <v>3224</v>
      </c>
      <c r="K1193" s="1">
        <v>1.0</v>
      </c>
      <c r="L1193" s="1" t="s">
        <v>3313</v>
      </c>
    </row>
    <row r="1194" hidden="1">
      <c r="A1194" s="34">
        <v>32.0</v>
      </c>
      <c r="B1194" s="34">
        <v>38.0</v>
      </c>
      <c r="C1194" s="34">
        <v>39.0</v>
      </c>
      <c r="D1194" s="1" t="s">
        <v>130</v>
      </c>
      <c r="E1194" s="1" t="s">
        <v>3313</v>
      </c>
      <c r="F1194" s="1" t="s">
        <v>3317</v>
      </c>
      <c r="G1194" s="1">
        <v>30.0</v>
      </c>
      <c r="H1194" s="1">
        <v>45.0</v>
      </c>
      <c r="I1194" s="1" t="s">
        <v>3048</v>
      </c>
      <c r="J1194" s="1" t="s">
        <v>3224</v>
      </c>
      <c r="K1194" s="1">
        <v>14.0</v>
      </c>
      <c r="L1194" s="1" t="s">
        <v>3318</v>
      </c>
    </row>
    <row r="1195" hidden="1">
      <c r="A1195" s="34">
        <v>32.0</v>
      </c>
      <c r="B1195" s="34">
        <v>38.0</v>
      </c>
      <c r="C1195" s="34">
        <v>40.0</v>
      </c>
      <c r="D1195" s="1" t="s">
        <v>130</v>
      </c>
      <c r="E1195" s="1" t="s">
        <v>3313</v>
      </c>
      <c r="F1195" s="1" t="s">
        <v>3319</v>
      </c>
      <c r="G1195" s="1">
        <v>30.0</v>
      </c>
      <c r="H1195" s="1">
        <v>45.0</v>
      </c>
      <c r="I1195" s="1" t="s">
        <v>3048</v>
      </c>
      <c r="J1195" s="1" t="s">
        <v>3224</v>
      </c>
      <c r="K1195" s="1">
        <v>25.0</v>
      </c>
      <c r="L1195" s="1" t="s">
        <v>3225</v>
      </c>
    </row>
    <row r="1196" hidden="1">
      <c r="A1196" s="34">
        <v>32.0</v>
      </c>
      <c r="B1196" s="34">
        <v>38.0</v>
      </c>
      <c r="C1196" s="34">
        <v>41.0</v>
      </c>
      <c r="D1196" s="1" t="s">
        <v>130</v>
      </c>
      <c r="E1196" s="1" t="s">
        <v>3313</v>
      </c>
      <c r="F1196" s="1" t="s">
        <v>3320</v>
      </c>
      <c r="G1196" s="1">
        <v>30.0</v>
      </c>
      <c r="H1196" s="1">
        <v>119.0</v>
      </c>
      <c r="I1196" s="1" t="s">
        <v>3048</v>
      </c>
      <c r="J1196" s="1" t="s">
        <v>3321</v>
      </c>
      <c r="K1196" s="1">
        <v>1.0</v>
      </c>
      <c r="L1196" s="1" t="s">
        <v>3321</v>
      </c>
    </row>
    <row r="1197" hidden="1">
      <c r="A1197" s="34">
        <v>32.0</v>
      </c>
      <c r="B1197" s="34">
        <v>38.0</v>
      </c>
      <c r="C1197" s="34">
        <v>42.0</v>
      </c>
      <c r="D1197" s="1" t="s">
        <v>130</v>
      </c>
      <c r="E1197" s="1" t="s">
        <v>3313</v>
      </c>
      <c r="F1197" s="1" t="s">
        <v>3322</v>
      </c>
      <c r="G1197" s="1">
        <v>30.0</v>
      </c>
      <c r="H1197" s="1">
        <v>45.0</v>
      </c>
      <c r="I1197" s="1" t="s">
        <v>3048</v>
      </c>
      <c r="J1197" s="1" t="s">
        <v>3224</v>
      </c>
      <c r="K1197" s="1">
        <v>27.0</v>
      </c>
      <c r="L1197" s="1" t="s">
        <v>3323</v>
      </c>
    </row>
    <row r="1198" hidden="1">
      <c r="A1198" s="34">
        <v>32.0</v>
      </c>
      <c r="B1198" s="34">
        <v>38.0</v>
      </c>
      <c r="C1198" s="34">
        <v>43.0</v>
      </c>
      <c r="D1198" s="1" t="s">
        <v>130</v>
      </c>
      <c r="E1198" s="1" t="s">
        <v>3313</v>
      </c>
      <c r="F1198" s="1" t="s">
        <v>3324</v>
      </c>
      <c r="G1198" s="1">
        <v>30.0</v>
      </c>
      <c r="H1198" s="1">
        <v>207.0</v>
      </c>
      <c r="I1198" s="1" t="s">
        <v>3048</v>
      </c>
      <c r="J1198" s="1" t="s">
        <v>3315</v>
      </c>
      <c r="K1198" s="1">
        <v>1.0</v>
      </c>
      <c r="L1198" s="1" t="s">
        <v>3315</v>
      </c>
    </row>
    <row r="1199" hidden="1">
      <c r="A1199" s="34">
        <v>32.0</v>
      </c>
      <c r="B1199" s="34">
        <v>38.0</v>
      </c>
      <c r="C1199" s="34">
        <v>44.0</v>
      </c>
      <c r="D1199" s="1" t="s">
        <v>130</v>
      </c>
      <c r="E1199" s="1" t="s">
        <v>3313</v>
      </c>
      <c r="F1199" s="1" t="s">
        <v>3325</v>
      </c>
      <c r="G1199" s="1">
        <v>30.0</v>
      </c>
      <c r="H1199" s="1">
        <v>190.0</v>
      </c>
      <c r="I1199" s="1" t="s">
        <v>3048</v>
      </c>
      <c r="J1199" s="1" t="s">
        <v>3326</v>
      </c>
      <c r="K1199" s="1">
        <v>1.0</v>
      </c>
      <c r="L1199" s="1" t="s">
        <v>3326</v>
      </c>
    </row>
    <row r="1200" hidden="1">
      <c r="A1200" s="34">
        <v>32.0</v>
      </c>
      <c r="B1200" s="34">
        <v>38.0</v>
      </c>
      <c r="C1200" s="34">
        <v>45.0</v>
      </c>
      <c r="D1200" s="1" t="s">
        <v>130</v>
      </c>
      <c r="E1200" s="1" t="s">
        <v>3313</v>
      </c>
      <c r="F1200" s="1" t="s">
        <v>3327</v>
      </c>
      <c r="G1200" s="1">
        <v>30.0</v>
      </c>
      <c r="H1200" s="1">
        <v>176.0</v>
      </c>
      <c r="I1200" s="1" t="s">
        <v>3048</v>
      </c>
      <c r="J1200" s="1" t="s">
        <v>3328</v>
      </c>
      <c r="K1200" s="1">
        <v>1.0</v>
      </c>
      <c r="L1200" s="1" t="s">
        <v>3328</v>
      </c>
    </row>
    <row r="1201" hidden="1">
      <c r="A1201" s="34">
        <v>32.0</v>
      </c>
      <c r="B1201" s="34">
        <v>38.0</v>
      </c>
      <c r="C1201" s="34">
        <v>46.0</v>
      </c>
      <c r="D1201" s="1" t="s">
        <v>130</v>
      </c>
      <c r="E1201" s="1" t="s">
        <v>3313</v>
      </c>
      <c r="F1201" s="1" t="s">
        <v>3329</v>
      </c>
      <c r="G1201" s="1">
        <v>30.0</v>
      </c>
      <c r="H1201" s="1">
        <v>5.0</v>
      </c>
      <c r="I1201" s="1" t="s">
        <v>3048</v>
      </c>
      <c r="J1201" s="1" t="s">
        <v>3212</v>
      </c>
      <c r="K1201" s="1">
        <v>1.0</v>
      </c>
      <c r="L1201" s="1" t="s">
        <v>3212</v>
      </c>
    </row>
    <row r="1202" hidden="1">
      <c r="A1202" s="34">
        <v>32.0</v>
      </c>
      <c r="B1202" s="34">
        <v>38.0</v>
      </c>
      <c r="C1202" s="34">
        <v>47.0</v>
      </c>
      <c r="D1202" s="1" t="s">
        <v>130</v>
      </c>
      <c r="E1202" s="1" t="s">
        <v>3313</v>
      </c>
      <c r="F1202" s="1" t="s">
        <v>3330</v>
      </c>
      <c r="G1202" s="1">
        <v>30.0</v>
      </c>
      <c r="H1202" s="1">
        <v>12.0</v>
      </c>
      <c r="I1202" s="1" t="s">
        <v>3048</v>
      </c>
      <c r="J1202" s="1" t="s">
        <v>3331</v>
      </c>
      <c r="K1202" s="1">
        <v>1.0</v>
      </c>
      <c r="L1202" s="1" t="s">
        <v>3331</v>
      </c>
    </row>
    <row r="1203" hidden="1">
      <c r="A1203" s="34">
        <v>32.0</v>
      </c>
      <c r="B1203" s="34">
        <v>38.0</v>
      </c>
      <c r="C1203" s="34">
        <v>48.0</v>
      </c>
      <c r="D1203" s="1" t="s">
        <v>130</v>
      </c>
      <c r="E1203" s="1" t="s">
        <v>3313</v>
      </c>
      <c r="F1203" s="1" t="s">
        <v>3332</v>
      </c>
      <c r="G1203" s="1">
        <v>30.0</v>
      </c>
      <c r="H1203" s="1">
        <v>208.0</v>
      </c>
      <c r="I1203" s="1" t="s">
        <v>3048</v>
      </c>
      <c r="J1203" s="1" t="s">
        <v>3333</v>
      </c>
      <c r="K1203" s="1">
        <v>1.0</v>
      </c>
      <c r="L1203" s="1" t="s">
        <v>3333</v>
      </c>
    </row>
    <row r="1204" hidden="1">
      <c r="A1204" s="34">
        <v>32.0</v>
      </c>
      <c r="B1204" s="34">
        <v>38.0</v>
      </c>
      <c r="C1204" s="34">
        <v>49.0</v>
      </c>
      <c r="D1204" s="1" t="s">
        <v>130</v>
      </c>
      <c r="E1204" s="1" t="s">
        <v>3313</v>
      </c>
      <c r="F1204" s="1" t="s">
        <v>3334</v>
      </c>
      <c r="G1204" s="1">
        <v>30.0</v>
      </c>
      <c r="H1204" s="1">
        <v>45.0</v>
      </c>
      <c r="I1204" s="1" t="s">
        <v>3048</v>
      </c>
      <c r="J1204" s="1" t="s">
        <v>3224</v>
      </c>
      <c r="K1204" s="1">
        <v>15.0</v>
      </c>
      <c r="L1204" s="1" t="s">
        <v>3335</v>
      </c>
    </row>
    <row r="1205" hidden="1">
      <c r="A1205" s="34">
        <v>32.0</v>
      </c>
      <c r="B1205" s="34">
        <v>38.0</v>
      </c>
      <c r="C1205" s="34">
        <v>54.0</v>
      </c>
      <c r="D1205" s="1" t="s">
        <v>130</v>
      </c>
      <c r="E1205" s="1" t="s">
        <v>3313</v>
      </c>
      <c r="F1205" s="1" t="s">
        <v>3336</v>
      </c>
      <c r="G1205" s="1">
        <v>30.0</v>
      </c>
      <c r="H1205" s="1">
        <v>84.0</v>
      </c>
      <c r="I1205" s="1" t="s">
        <v>3048</v>
      </c>
      <c r="J1205" s="1" t="s">
        <v>3337</v>
      </c>
      <c r="K1205" s="1">
        <v>1.0</v>
      </c>
      <c r="L1205" s="1" t="s">
        <v>3337</v>
      </c>
    </row>
    <row r="1206" hidden="1">
      <c r="A1206" s="34">
        <v>32.0</v>
      </c>
      <c r="B1206" s="34">
        <v>38.0</v>
      </c>
      <c r="C1206" s="34">
        <v>56.0</v>
      </c>
      <c r="D1206" s="1" t="s">
        <v>130</v>
      </c>
      <c r="E1206" s="1" t="s">
        <v>3313</v>
      </c>
      <c r="F1206" s="1" t="s">
        <v>3338</v>
      </c>
      <c r="G1206" s="1">
        <v>30.0</v>
      </c>
      <c r="H1206" s="1">
        <v>77.0</v>
      </c>
      <c r="I1206" s="1" t="s">
        <v>3048</v>
      </c>
      <c r="J1206" s="1" t="s">
        <v>3339</v>
      </c>
      <c r="K1206" s="1">
        <v>1.0</v>
      </c>
      <c r="L1206" s="1" t="s">
        <v>3339</v>
      </c>
    </row>
    <row r="1207" hidden="1">
      <c r="A1207" s="34">
        <v>32.0</v>
      </c>
      <c r="B1207" s="34">
        <v>45.0</v>
      </c>
      <c r="C1207" s="34">
        <v>32.0</v>
      </c>
      <c r="D1207" s="1" t="s">
        <v>130</v>
      </c>
      <c r="E1207" s="1" t="s">
        <v>3340</v>
      </c>
      <c r="F1207" s="1" t="s">
        <v>3341</v>
      </c>
      <c r="G1207" s="1">
        <v>30.0</v>
      </c>
      <c r="H1207" s="1">
        <v>108.0</v>
      </c>
      <c r="I1207" s="1" t="s">
        <v>3048</v>
      </c>
      <c r="J1207" s="1" t="s">
        <v>742</v>
      </c>
      <c r="K1207" s="1">
        <v>1.0</v>
      </c>
      <c r="L1207" s="1" t="s">
        <v>742</v>
      </c>
    </row>
    <row r="1208" hidden="1">
      <c r="A1208" s="34">
        <v>32.0</v>
      </c>
      <c r="B1208" s="34">
        <v>45.0</v>
      </c>
      <c r="C1208" s="34">
        <v>34.0</v>
      </c>
      <c r="D1208" s="1" t="s">
        <v>130</v>
      </c>
      <c r="E1208" s="1" t="s">
        <v>3340</v>
      </c>
      <c r="F1208" s="1" t="s">
        <v>3342</v>
      </c>
      <c r="G1208" s="1">
        <v>30.0</v>
      </c>
      <c r="H1208" s="1">
        <v>73.0</v>
      </c>
      <c r="I1208" s="1" t="s">
        <v>3048</v>
      </c>
      <c r="J1208" s="1" t="s">
        <v>3343</v>
      </c>
      <c r="K1208" s="1">
        <v>22.0</v>
      </c>
      <c r="L1208" s="1" t="s">
        <v>3344</v>
      </c>
    </row>
    <row r="1209" hidden="1">
      <c r="A1209" s="34">
        <v>32.0</v>
      </c>
      <c r="B1209" s="34">
        <v>45.0</v>
      </c>
      <c r="C1209" s="34">
        <v>36.0</v>
      </c>
      <c r="D1209" s="1" t="s">
        <v>130</v>
      </c>
      <c r="E1209" s="1" t="s">
        <v>3340</v>
      </c>
      <c r="F1209" s="1" t="s">
        <v>3345</v>
      </c>
      <c r="G1209" s="1">
        <v>30.0</v>
      </c>
      <c r="H1209" s="1">
        <v>39.0</v>
      </c>
      <c r="I1209" s="1" t="s">
        <v>3048</v>
      </c>
      <c r="J1209" s="1" t="s">
        <v>3340</v>
      </c>
      <c r="K1209" s="1">
        <v>1.0</v>
      </c>
      <c r="L1209" s="1" t="s">
        <v>3340</v>
      </c>
    </row>
    <row r="1210" hidden="1">
      <c r="A1210" s="34">
        <v>32.0</v>
      </c>
      <c r="B1210" s="34">
        <v>45.0</v>
      </c>
      <c r="C1210" s="34">
        <v>37.0</v>
      </c>
      <c r="D1210" s="1" t="s">
        <v>130</v>
      </c>
      <c r="E1210" s="1" t="s">
        <v>3340</v>
      </c>
      <c r="F1210" s="1" t="s">
        <v>3346</v>
      </c>
      <c r="G1210" s="1">
        <v>30.0</v>
      </c>
      <c r="H1210" s="1">
        <v>39.0</v>
      </c>
      <c r="I1210" s="1" t="s">
        <v>3048</v>
      </c>
      <c r="J1210" s="1" t="s">
        <v>3340</v>
      </c>
      <c r="K1210" s="1">
        <v>1.0</v>
      </c>
      <c r="L1210" s="1" t="s">
        <v>3340</v>
      </c>
    </row>
    <row r="1211" hidden="1">
      <c r="A1211" s="34">
        <v>32.0</v>
      </c>
      <c r="B1211" s="34">
        <v>45.0</v>
      </c>
      <c r="C1211" s="34">
        <v>50.0</v>
      </c>
      <c r="D1211" s="1" t="s">
        <v>130</v>
      </c>
      <c r="E1211" s="1" t="s">
        <v>3340</v>
      </c>
      <c r="F1211" s="1" t="s">
        <v>3347</v>
      </c>
      <c r="G1211" s="1">
        <v>30.0</v>
      </c>
      <c r="H1211" s="1">
        <v>73.0</v>
      </c>
      <c r="I1211" s="1" t="s">
        <v>3048</v>
      </c>
      <c r="J1211" s="1" t="s">
        <v>3343</v>
      </c>
      <c r="K1211" s="1">
        <v>11.0</v>
      </c>
      <c r="L1211" s="1" t="s">
        <v>3348</v>
      </c>
    </row>
    <row r="1212" hidden="1">
      <c r="A1212" s="34">
        <v>32.0</v>
      </c>
      <c r="B1212" s="34">
        <v>45.0</v>
      </c>
      <c r="C1212" s="34">
        <v>51.0</v>
      </c>
      <c r="D1212" s="1" t="s">
        <v>130</v>
      </c>
      <c r="E1212" s="1" t="s">
        <v>3340</v>
      </c>
      <c r="F1212" s="1" t="s">
        <v>3349</v>
      </c>
      <c r="G1212" s="1">
        <v>30.0</v>
      </c>
      <c r="H1212" s="1">
        <v>3.0</v>
      </c>
      <c r="I1212" s="1" t="s">
        <v>3048</v>
      </c>
      <c r="J1212" s="1" t="s">
        <v>3350</v>
      </c>
      <c r="K1212" s="1">
        <v>1.0</v>
      </c>
      <c r="L1212" s="1" t="s">
        <v>3350</v>
      </c>
    </row>
    <row r="1213" hidden="1">
      <c r="A1213" s="34">
        <v>32.0</v>
      </c>
      <c r="B1213" s="34">
        <v>45.0</v>
      </c>
      <c r="C1213" s="34">
        <v>52.0</v>
      </c>
      <c r="D1213" s="1" t="s">
        <v>130</v>
      </c>
      <c r="E1213" s="1" t="s">
        <v>3340</v>
      </c>
      <c r="F1213" s="1" t="s">
        <v>3351</v>
      </c>
      <c r="G1213" s="1">
        <v>30.0</v>
      </c>
      <c r="H1213" s="1">
        <v>108.0</v>
      </c>
      <c r="I1213" s="1" t="s">
        <v>3048</v>
      </c>
      <c r="J1213" s="1" t="s">
        <v>742</v>
      </c>
      <c r="K1213" s="1">
        <v>1.0</v>
      </c>
      <c r="L1213" s="1" t="s">
        <v>742</v>
      </c>
    </row>
    <row r="1214" hidden="1">
      <c r="A1214" s="34">
        <v>32.0</v>
      </c>
      <c r="B1214" s="34">
        <v>45.0</v>
      </c>
      <c r="C1214" s="34">
        <v>53.0</v>
      </c>
      <c r="D1214" s="1" t="s">
        <v>130</v>
      </c>
      <c r="E1214" s="1" t="s">
        <v>3340</v>
      </c>
      <c r="F1214" s="1" t="s">
        <v>3352</v>
      </c>
      <c r="G1214" s="1">
        <v>30.0</v>
      </c>
      <c r="H1214" s="1">
        <v>204.0</v>
      </c>
      <c r="I1214" s="1" t="s">
        <v>3048</v>
      </c>
      <c r="J1214" s="1" t="s">
        <v>3353</v>
      </c>
      <c r="K1214" s="1">
        <v>1.0</v>
      </c>
      <c r="L1214" s="1" t="s">
        <v>3353</v>
      </c>
    </row>
    <row r="1215" hidden="1">
      <c r="A1215" s="34">
        <v>32.0</v>
      </c>
      <c r="B1215" s="34">
        <v>45.0</v>
      </c>
      <c r="C1215" s="34">
        <v>55.0</v>
      </c>
      <c r="D1215" s="1" t="s">
        <v>130</v>
      </c>
      <c r="E1215" s="1" t="s">
        <v>3340</v>
      </c>
      <c r="F1215" s="1" t="s">
        <v>3354</v>
      </c>
      <c r="G1215" s="1">
        <v>30.0</v>
      </c>
      <c r="H1215" s="1">
        <v>172.0</v>
      </c>
      <c r="I1215" s="1" t="s">
        <v>3048</v>
      </c>
      <c r="J1215" s="1" t="s">
        <v>3355</v>
      </c>
      <c r="K1215" s="1">
        <v>1.0</v>
      </c>
      <c r="L1215" s="1" t="s">
        <v>3355</v>
      </c>
    </row>
    <row r="1216" hidden="1">
      <c r="A1216" s="34">
        <v>32.0</v>
      </c>
      <c r="B1216" s="34">
        <v>45.0</v>
      </c>
      <c r="C1216" s="34">
        <v>57.0</v>
      </c>
      <c r="D1216" s="1" t="s">
        <v>130</v>
      </c>
      <c r="E1216" s="1" t="s">
        <v>3340</v>
      </c>
      <c r="F1216" s="1" t="s">
        <v>3356</v>
      </c>
      <c r="G1216" s="1">
        <v>30.0</v>
      </c>
      <c r="H1216" s="1">
        <v>89.0</v>
      </c>
      <c r="I1216" s="1" t="s">
        <v>3048</v>
      </c>
      <c r="J1216" s="1" t="s">
        <v>3357</v>
      </c>
      <c r="K1216" s="1">
        <v>1.0</v>
      </c>
      <c r="L1216" s="1" t="s">
        <v>3358</v>
      </c>
    </row>
    <row r="1217" hidden="1">
      <c r="A1217" s="34">
        <v>32.0</v>
      </c>
      <c r="B1217" s="34">
        <v>45.0</v>
      </c>
      <c r="C1217" s="34">
        <v>59.0</v>
      </c>
      <c r="D1217" s="1" t="s">
        <v>130</v>
      </c>
      <c r="E1217" s="1" t="s">
        <v>3340</v>
      </c>
      <c r="F1217" s="1" t="s">
        <v>3359</v>
      </c>
      <c r="G1217" s="1">
        <v>30.0</v>
      </c>
      <c r="H1217" s="1">
        <v>61.0</v>
      </c>
      <c r="I1217" s="1" t="s">
        <v>3048</v>
      </c>
      <c r="J1217" s="1" t="s">
        <v>3360</v>
      </c>
      <c r="K1217" s="1">
        <v>1.0</v>
      </c>
      <c r="L1217" s="1" t="s">
        <v>3360</v>
      </c>
    </row>
    <row r="1218" hidden="1">
      <c r="A1218" s="34">
        <v>32.0</v>
      </c>
      <c r="B1218" s="34">
        <v>45.0</v>
      </c>
      <c r="C1218" s="34">
        <v>60.0</v>
      </c>
      <c r="D1218" s="1" t="s">
        <v>130</v>
      </c>
      <c r="E1218" s="1" t="s">
        <v>3340</v>
      </c>
      <c r="F1218" s="1" t="s">
        <v>3361</v>
      </c>
      <c r="G1218" s="1">
        <v>30.0</v>
      </c>
      <c r="H1218" s="1">
        <v>39.0</v>
      </c>
      <c r="I1218" s="1" t="s">
        <v>3048</v>
      </c>
      <c r="J1218" s="1" t="s">
        <v>3340</v>
      </c>
      <c r="K1218" s="1">
        <v>1.0</v>
      </c>
      <c r="L1218" s="1" t="s">
        <v>3340</v>
      </c>
    </row>
    <row r="1219" hidden="1">
      <c r="A1219" s="34">
        <v>32.0</v>
      </c>
      <c r="B1219" s="34">
        <v>45.0</v>
      </c>
      <c r="C1219" s="34">
        <v>62.0</v>
      </c>
      <c r="D1219" s="1" t="s">
        <v>130</v>
      </c>
      <c r="E1219" s="1" t="s">
        <v>3340</v>
      </c>
      <c r="F1219" s="1" t="s">
        <v>3362</v>
      </c>
      <c r="G1219" s="1">
        <v>30.0</v>
      </c>
      <c r="H1219" s="1">
        <v>144.0</v>
      </c>
      <c r="I1219" s="1" t="s">
        <v>3048</v>
      </c>
      <c r="J1219" s="1" t="s">
        <v>3363</v>
      </c>
      <c r="K1219" s="1">
        <v>26.0</v>
      </c>
      <c r="L1219" s="1" t="s">
        <v>3364</v>
      </c>
    </row>
    <row r="1220" hidden="1">
      <c r="A1220" s="34">
        <v>32.0</v>
      </c>
      <c r="B1220" s="34">
        <v>45.0</v>
      </c>
      <c r="C1220" s="34">
        <v>65.0</v>
      </c>
      <c r="D1220" s="1" t="s">
        <v>130</v>
      </c>
      <c r="E1220" s="1" t="s">
        <v>3340</v>
      </c>
      <c r="F1220" s="1" t="s">
        <v>3365</v>
      </c>
      <c r="G1220" s="1">
        <v>30.0</v>
      </c>
      <c r="H1220" s="1">
        <v>39.0</v>
      </c>
      <c r="I1220" s="1" t="s">
        <v>3048</v>
      </c>
      <c r="J1220" s="1" t="s">
        <v>3340</v>
      </c>
      <c r="K1220" s="1">
        <v>1.0</v>
      </c>
      <c r="L1220" s="1" t="s">
        <v>3340</v>
      </c>
    </row>
    <row r="1221" hidden="1">
      <c r="A1221" s="34">
        <v>32.0</v>
      </c>
      <c r="B1221" s="34">
        <v>45.0</v>
      </c>
      <c r="C1221" s="34">
        <v>66.0</v>
      </c>
      <c r="D1221" s="1" t="s">
        <v>130</v>
      </c>
      <c r="E1221" s="1" t="s">
        <v>3340</v>
      </c>
      <c r="F1221" s="1" t="s">
        <v>3366</v>
      </c>
      <c r="G1221" s="1">
        <v>30.0</v>
      </c>
      <c r="H1221" s="1">
        <v>48.0</v>
      </c>
      <c r="I1221" s="1" t="s">
        <v>3048</v>
      </c>
      <c r="J1221" s="1" t="s">
        <v>3367</v>
      </c>
      <c r="K1221" s="1">
        <v>150.0</v>
      </c>
      <c r="L1221" s="1" t="s">
        <v>3368</v>
      </c>
    </row>
    <row r="1222" hidden="1">
      <c r="A1222" s="34">
        <v>32.0</v>
      </c>
      <c r="B1222" s="34">
        <v>45.0</v>
      </c>
      <c r="C1222" s="34">
        <v>67.0</v>
      </c>
      <c r="D1222" s="1" t="s">
        <v>130</v>
      </c>
      <c r="E1222" s="1" t="s">
        <v>3340</v>
      </c>
      <c r="F1222" s="1" t="s">
        <v>3369</v>
      </c>
      <c r="G1222" s="1">
        <v>30.0</v>
      </c>
      <c r="H1222" s="1">
        <v>39.0</v>
      </c>
      <c r="I1222" s="1" t="s">
        <v>3048</v>
      </c>
      <c r="J1222" s="1" t="s">
        <v>3340</v>
      </c>
      <c r="K1222" s="1">
        <v>1.0</v>
      </c>
      <c r="L1222" s="1" t="s">
        <v>3340</v>
      </c>
    </row>
    <row r="1223" hidden="1">
      <c r="A1223" s="34">
        <v>32.0</v>
      </c>
      <c r="B1223" s="34">
        <v>45.0</v>
      </c>
      <c r="C1223" s="34">
        <v>69.0</v>
      </c>
      <c r="D1223" s="1" t="s">
        <v>130</v>
      </c>
      <c r="E1223" s="1" t="s">
        <v>3340</v>
      </c>
      <c r="F1223" s="1" t="s">
        <v>3370</v>
      </c>
      <c r="G1223" s="1">
        <v>30.0</v>
      </c>
      <c r="H1223" s="1">
        <v>39.0</v>
      </c>
      <c r="I1223" s="1" t="s">
        <v>3048</v>
      </c>
      <c r="J1223" s="1" t="s">
        <v>3340</v>
      </c>
      <c r="K1223" s="1">
        <v>170.0</v>
      </c>
      <c r="L1223" s="1" t="s">
        <v>3371</v>
      </c>
    </row>
    <row r="1224" hidden="1">
      <c r="A1224" s="34">
        <v>33.0</v>
      </c>
      <c r="B1224" s="34">
        <v>1.0</v>
      </c>
      <c r="C1224" s="34">
        <v>13.0</v>
      </c>
      <c r="D1224" s="1" t="s">
        <v>397</v>
      </c>
      <c r="E1224" s="1" t="s">
        <v>3372</v>
      </c>
      <c r="F1224" s="1" t="s">
        <v>3373</v>
      </c>
      <c r="G1224" s="1">
        <v>31.0</v>
      </c>
      <c r="H1224" s="1">
        <v>50.0</v>
      </c>
      <c r="I1224" s="1" t="s">
        <v>397</v>
      </c>
      <c r="J1224" s="1" t="s">
        <v>3374</v>
      </c>
      <c r="K1224" s="1">
        <v>1.0</v>
      </c>
      <c r="L1224" s="1" t="s">
        <v>3374</v>
      </c>
    </row>
    <row r="1225" hidden="1">
      <c r="A1225" s="34">
        <v>33.0</v>
      </c>
      <c r="B1225" s="34">
        <v>1.0</v>
      </c>
      <c r="C1225" s="34">
        <v>16.0</v>
      </c>
      <c r="D1225" s="1" t="s">
        <v>397</v>
      </c>
      <c r="E1225" s="1" t="s">
        <v>3372</v>
      </c>
      <c r="F1225" s="1" t="s">
        <v>3375</v>
      </c>
      <c r="G1225" s="1">
        <v>31.0</v>
      </c>
      <c r="H1225" s="1">
        <v>50.0</v>
      </c>
      <c r="I1225" s="1" t="s">
        <v>397</v>
      </c>
      <c r="J1225" s="1" t="s">
        <v>3374</v>
      </c>
      <c r="K1225" s="1">
        <v>93.0</v>
      </c>
      <c r="L1225" s="1" t="s">
        <v>3376</v>
      </c>
    </row>
    <row r="1226" hidden="1">
      <c r="A1226" s="34">
        <v>33.0</v>
      </c>
      <c r="B1226" s="34">
        <v>1.0</v>
      </c>
      <c r="C1226" s="34">
        <v>20.0</v>
      </c>
      <c r="D1226" s="1" t="s">
        <v>397</v>
      </c>
      <c r="E1226" s="1" t="s">
        <v>3372</v>
      </c>
      <c r="F1226" s="1" t="s">
        <v>3377</v>
      </c>
      <c r="G1226" s="1">
        <v>31.0</v>
      </c>
      <c r="H1226" s="1">
        <v>50.0</v>
      </c>
      <c r="I1226" s="1" t="s">
        <v>397</v>
      </c>
      <c r="J1226" s="1" t="s">
        <v>3374</v>
      </c>
      <c r="K1226" s="1">
        <v>75.0</v>
      </c>
      <c r="L1226" s="1" t="s">
        <v>3378</v>
      </c>
    </row>
    <row r="1227" hidden="1">
      <c r="A1227" s="34">
        <v>33.0</v>
      </c>
      <c r="B1227" s="34">
        <v>1.0</v>
      </c>
      <c r="C1227" s="34">
        <v>52.0</v>
      </c>
      <c r="D1227" s="1" t="s">
        <v>397</v>
      </c>
      <c r="E1227" s="1" t="s">
        <v>3372</v>
      </c>
      <c r="F1227" s="1" t="s">
        <v>3379</v>
      </c>
      <c r="G1227" s="1">
        <v>31.0</v>
      </c>
      <c r="H1227" s="1">
        <v>50.0</v>
      </c>
      <c r="I1227" s="1" t="s">
        <v>397</v>
      </c>
      <c r="J1227" s="1" t="s">
        <v>3374</v>
      </c>
      <c r="K1227" s="1">
        <v>1.0</v>
      </c>
      <c r="L1227" s="1" t="s">
        <v>3374</v>
      </c>
    </row>
    <row r="1228" hidden="1">
      <c r="A1228" s="34">
        <v>33.0</v>
      </c>
      <c r="B1228" s="34">
        <v>1.0</v>
      </c>
      <c r="C1228" s="34">
        <v>56.0</v>
      </c>
      <c r="D1228" s="1" t="s">
        <v>397</v>
      </c>
      <c r="E1228" s="1" t="s">
        <v>3372</v>
      </c>
      <c r="F1228" s="1" t="s">
        <v>3380</v>
      </c>
      <c r="G1228" s="1">
        <v>31.0</v>
      </c>
      <c r="H1228" s="1">
        <v>50.0</v>
      </c>
      <c r="I1228" s="1" t="s">
        <v>397</v>
      </c>
      <c r="J1228" s="1" t="s">
        <v>3374</v>
      </c>
      <c r="K1228" s="1">
        <v>1.0</v>
      </c>
      <c r="L1228" s="1" t="s">
        <v>3374</v>
      </c>
    </row>
    <row r="1229" hidden="1">
      <c r="A1229" s="34">
        <v>33.0</v>
      </c>
      <c r="B1229" s="34">
        <v>1.0</v>
      </c>
      <c r="C1229" s="34">
        <v>57.0</v>
      </c>
      <c r="D1229" s="1" t="s">
        <v>397</v>
      </c>
      <c r="E1229" s="1" t="s">
        <v>3372</v>
      </c>
      <c r="F1229" s="1" t="s">
        <v>3381</v>
      </c>
      <c r="G1229" s="1">
        <v>31.0</v>
      </c>
      <c r="H1229" s="1">
        <v>50.0</v>
      </c>
      <c r="I1229" s="1" t="s">
        <v>397</v>
      </c>
      <c r="J1229" s="1" t="s">
        <v>3374</v>
      </c>
      <c r="K1229" s="1">
        <v>1.0</v>
      </c>
      <c r="L1229" s="1" t="s">
        <v>3374</v>
      </c>
    </row>
    <row r="1230" hidden="1">
      <c r="A1230" s="34">
        <v>33.0</v>
      </c>
      <c r="B1230" s="34">
        <v>1.0</v>
      </c>
      <c r="C1230" s="34">
        <v>59.0</v>
      </c>
      <c r="D1230" s="1" t="s">
        <v>397</v>
      </c>
      <c r="E1230" s="1" t="s">
        <v>3372</v>
      </c>
      <c r="F1230" s="1" t="s">
        <v>3382</v>
      </c>
      <c r="G1230" s="1">
        <v>31.0</v>
      </c>
      <c r="H1230" s="1">
        <v>50.0</v>
      </c>
      <c r="I1230" s="1" t="s">
        <v>397</v>
      </c>
      <c r="J1230" s="1" t="s">
        <v>3374</v>
      </c>
      <c r="K1230" s="1">
        <v>1.0</v>
      </c>
      <c r="L1230" s="1" t="s">
        <v>3374</v>
      </c>
    </row>
    <row r="1231" hidden="1">
      <c r="A1231" s="34">
        <v>33.0</v>
      </c>
      <c r="B1231" s="34">
        <v>1.0</v>
      </c>
      <c r="C1231" s="34">
        <v>60.0</v>
      </c>
      <c r="D1231" s="1" t="s">
        <v>397</v>
      </c>
      <c r="E1231" s="1" t="s">
        <v>3372</v>
      </c>
      <c r="F1231" s="1" t="s">
        <v>3383</v>
      </c>
      <c r="G1231" s="1">
        <v>31.0</v>
      </c>
      <c r="H1231" s="1">
        <v>50.0</v>
      </c>
      <c r="I1231" s="1" t="s">
        <v>397</v>
      </c>
      <c r="J1231" s="1" t="s">
        <v>3374</v>
      </c>
      <c r="K1231" s="1">
        <v>1.0</v>
      </c>
      <c r="L1231" s="1" t="s">
        <v>3374</v>
      </c>
    </row>
    <row r="1232" hidden="1">
      <c r="A1232" s="34">
        <v>33.0</v>
      </c>
      <c r="B1232" s="34">
        <v>1.0</v>
      </c>
      <c r="C1232" s="34">
        <v>61.0</v>
      </c>
      <c r="D1232" s="1" t="s">
        <v>397</v>
      </c>
      <c r="E1232" s="1" t="s">
        <v>3372</v>
      </c>
      <c r="F1232" s="1" t="s">
        <v>3384</v>
      </c>
      <c r="G1232" s="1">
        <v>31.0</v>
      </c>
      <c r="H1232" s="1">
        <v>50.0</v>
      </c>
      <c r="I1232" s="1" t="s">
        <v>397</v>
      </c>
      <c r="J1232" s="1" t="s">
        <v>3374</v>
      </c>
      <c r="K1232" s="1">
        <v>1.0</v>
      </c>
      <c r="L1232" s="1" t="s">
        <v>3374</v>
      </c>
    </row>
    <row r="1233" hidden="1">
      <c r="A1233" s="34">
        <v>33.0</v>
      </c>
      <c r="B1233" s="34">
        <v>33.0</v>
      </c>
      <c r="C1233" s="34">
        <v>2.0</v>
      </c>
      <c r="D1233" s="1" t="s">
        <v>397</v>
      </c>
      <c r="E1233" s="1" t="s">
        <v>3385</v>
      </c>
      <c r="F1233" s="1" t="s">
        <v>3386</v>
      </c>
      <c r="G1233" s="1">
        <v>31.0</v>
      </c>
      <c r="H1233" s="1">
        <v>59.0</v>
      </c>
      <c r="I1233" s="1" t="s">
        <v>397</v>
      </c>
      <c r="J1233" s="1" t="s">
        <v>728</v>
      </c>
      <c r="K1233" s="1">
        <v>1.0</v>
      </c>
      <c r="L1233" s="1" t="s">
        <v>728</v>
      </c>
    </row>
    <row r="1234" hidden="1">
      <c r="A1234" s="34">
        <v>33.0</v>
      </c>
      <c r="B1234" s="34">
        <v>33.0</v>
      </c>
      <c r="C1234" s="34">
        <v>3.0</v>
      </c>
      <c r="D1234" s="1" t="s">
        <v>397</v>
      </c>
      <c r="E1234" s="1" t="s">
        <v>3385</v>
      </c>
      <c r="F1234" s="1" t="s">
        <v>3387</v>
      </c>
      <c r="G1234" s="1">
        <v>31.0</v>
      </c>
      <c r="H1234" s="1">
        <v>52.0</v>
      </c>
      <c r="I1234" s="1" t="s">
        <v>397</v>
      </c>
      <c r="J1234" s="1" t="s">
        <v>3388</v>
      </c>
      <c r="K1234" s="1">
        <v>1.0</v>
      </c>
      <c r="L1234" s="1" t="s">
        <v>3389</v>
      </c>
    </row>
    <row r="1235" hidden="1">
      <c r="A1235" s="34">
        <v>33.0</v>
      </c>
      <c r="B1235" s="34">
        <v>33.0</v>
      </c>
      <c r="C1235" s="34">
        <v>4.0</v>
      </c>
      <c r="D1235" s="1" t="s">
        <v>397</v>
      </c>
      <c r="E1235" s="1" t="s">
        <v>3385</v>
      </c>
      <c r="F1235" s="1" t="s">
        <v>3390</v>
      </c>
      <c r="G1235" s="1">
        <v>31.0</v>
      </c>
      <c r="H1235" s="1">
        <v>102.0</v>
      </c>
      <c r="I1235" s="1" t="s">
        <v>397</v>
      </c>
      <c r="J1235" s="1" t="s">
        <v>3391</v>
      </c>
      <c r="K1235" s="1">
        <v>1.0</v>
      </c>
      <c r="L1235" s="1" t="s">
        <v>3391</v>
      </c>
    </row>
    <row r="1236" hidden="1">
      <c r="A1236" s="34">
        <v>33.0</v>
      </c>
      <c r="B1236" s="34">
        <v>33.0</v>
      </c>
      <c r="C1236" s="34">
        <v>5.0</v>
      </c>
      <c r="D1236" s="1" t="s">
        <v>397</v>
      </c>
      <c r="E1236" s="1" t="s">
        <v>3385</v>
      </c>
      <c r="F1236" s="1" t="s">
        <v>3392</v>
      </c>
      <c r="G1236" s="1">
        <v>31.0</v>
      </c>
      <c r="H1236" s="1">
        <v>96.0</v>
      </c>
      <c r="I1236" s="1" t="s">
        <v>397</v>
      </c>
      <c r="J1236" s="1" t="s">
        <v>3393</v>
      </c>
      <c r="K1236" s="1">
        <v>1.0</v>
      </c>
      <c r="L1236" s="1" t="s">
        <v>3393</v>
      </c>
    </row>
    <row r="1237" hidden="1">
      <c r="A1237" s="34">
        <v>33.0</v>
      </c>
      <c r="B1237" s="34">
        <v>33.0</v>
      </c>
      <c r="C1237" s="34">
        <v>6.0</v>
      </c>
      <c r="D1237" s="1" t="s">
        <v>397</v>
      </c>
      <c r="E1237" s="1" t="s">
        <v>3385</v>
      </c>
      <c r="F1237" s="1" t="s">
        <v>3394</v>
      </c>
      <c r="G1237" s="1">
        <v>31.0</v>
      </c>
      <c r="H1237" s="1">
        <v>96.0</v>
      </c>
      <c r="I1237" s="1" t="s">
        <v>397</v>
      </c>
      <c r="J1237" s="1" t="s">
        <v>3393</v>
      </c>
      <c r="K1237" s="1">
        <v>1.0</v>
      </c>
      <c r="L1237" s="1" t="s">
        <v>3393</v>
      </c>
    </row>
    <row r="1238" hidden="1">
      <c r="A1238" s="34">
        <v>33.0</v>
      </c>
      <c r="B1238" s="34">
        <v>33.0</v>
      </c>
      <c r="C1238" s="34">
        <v>7.0</v>
      </c>
      <c r="D1238" s="1" t="s">
        <v>397</v>
      </c>
      <c r="E1238" s="1" t="s">
        <v>3385</v>
      </c>
      <c r="F1238" s="1" t="s">
        <v>3395</v>
      </c>
      <c r="G1238" s="1">
        <v>31.0</v>
      </c>
      <c r="H1238" s="1">
        <v>61.0</v>
      </c>
      <c r="I1238" s="1" t="s">
        <v>397</v>
      </c>
      <c r="J1238" s="1" t="s">
        <v>3396</v>
      </c>
      <c r="K1238" s="1">
        <v>2.0</v>
      </c>
      <c r="L1238" s="1" t="s">
        <v>3397</v>
      </c>
    </row>
    <row r="1239" hidden="1">
      <c r="A1239" s="34">
        <v>33.0</v>
      </c>
      <c r="B1239" s="34">
        <v>33.0</v>
      </c>
      <c r="C1239" s="34">
        <v>8.0</v>
      </c>
      <c r="D1239" s="1" t="s">
        <v>397</v>
      </c>
      <c r="E1239" s="1" t="s">
        <v>3385</v>
      </c>
      <c r="F1239" s="1" t="s">
        <v>3398</v>
      </c>
      <c r="G1239" s="1">
        <v>31.0</v>
      </c>
      <c r="H1239" s="1">
        <v>98.0</v>
      </c>
      <c r="I1239" s="1" t="s">
        <v>397</v>
      </c>
      <c r="J1239" s="1" t="s">
        <v>3399</v>
      </c>
      <c r="K1239" s="1">
        <v>1.0</v>
      </c>
      <c r="L1239" s="1" t="s">
        <v>3399</v>
      </c>
    </row>
    <row r="1240" hidden="1">
      <c r="A1240" s="34">
        <v>33.0</v>
      </c>
      <c r="B1240" s="34">
        <v>33.0</v>
      </c>
      <c r="C1240" s="34">
        <v>14.0</v>
      </c>
      <c r="D1240" s="1" t="s">
        <v>397</v>
      </c>
      <c r="E1240" s="1" t="s">
        <v>3385</v>
      </c>
      <c r="F1240" s="1" t="s">
        <v>3400</v>
      </c>
      <c r="G1240" s="1">
        <v>31.0</v>
      </c>
      <c r="H1240" s="1">
        <v>41.0</v>
      </c>
      <c r="I1240" s="1" t="s">
        <v>397</v>
      </c>
      <c r="J1240" s="1" t="s">
        <v>3401</v>
      </c>
      <c r="K1240" s="1">
        <v>1.0</v>
      </c>
      <c r="L1240" s="1" t="s">
        <v>3401</v>
      </c>
    </row>
    <row r="1241" hidden="1">
      <c r="A1241" s="34">
        <v>33.0</v>
      </c>
      <c r="B1241" s="34">
        <v>33.0</v>
      </c>
      <c r="C1241" s="34">
        <v>17.0</v>
      </c>
      <c r="D1241" s="1" t="s">
        <v>397</v>
      </c>
      <c r="E1241" s="1" t="s">
        <v>3385</v>
      </c>
      <c r="F1241" s="1" t="s">
        <v>3402</v>
      </c>
      <c r="G1241" s="1">
        <v>31.0</v>
      </c>
      <c r="H1241" s="1">
        <v>48.0</v>
      </c>
      <c r="I1241" s="1" t="s">
        <v>397</v>
      </c>
      <c r="J1241" s="1" t="s">
        <v>3403</v>
      </c>
      <c r="K1241" s="1">
        <v>1.0</v>
      </c>
      <c r="L1241" s="1" t="s">
        <v>3403</v>
      </c>
    </row>
    <row r="1242" hidden="1">
      <c r="A1242" s="34">
        <v>33.0</v>
      </c>
      <c r="B1242" s="34">
        <v>33.0</v>
      </c>
      <c r="C1242" s="34">
        <v>18.0</v>
      </c>
      <c r="D1242" s="1" t="s">
        <v>397</v>
      </c>
      <c r="E1242" s="1" t="s">
        <v>3385</v>
      </c>
      <c r="F1242" s="1" t="s">
        <v>3404</v>
      </c>
      <c r="G1242" s="1">
        <v>31.0</v>
      </c>
      <c r="H1242" s="1">
        <v>33.0</v>
      </c>
      <c r="I1242" s="1" t="s">
        <v>397</v>
      </c>
      <c r="J1242" s="1" t="s">
        <v>3405</v>
      </c>
      <c r="K1242" s="1">
        <v>1.0</v>
      </c>
      <c r="L1242" s="1" t="s">
        <v>3405</v>
      </c>
    </row>
    <row r="1243" hidden="1">
      <c r="A1243" s="34">
        <v>33.0</v>
      </c>
      <c r="B1243" s="34">
        <v>33.0</v>
      </c>
      <c r="C1243" s="34">
        <v>19.0</v>
      </c>
      <c r="D1243" s="1" t="s">
        <v>397</v>
      </c>
      <c r="E1243" s="1" t="s">
        <v>3385</v>
      </c>
      <c r="F1243" s="1" t="s">
        <v>3406</v>
      </c>
      <c r="G1243" s="1">
        <v>31.0</v>
      </c>
      <c r="H1243" s="1">
        <v>38.0</v>
      </c>
      <c r="I1243" s="1" t="s">
        <v>397</v>
      </c>
      <c r="J1243" s="1" t="s">
        <v>3407</v>
      </c>
      <c r="K1243" s="1">
        <v>1.0</v>
      </c>
      <c r="L1243" s="1" t="s">
        <v>3407</v>
      </c>
    </row>
    <row r="1244" hidden="1">
      <c r="A1244" s="34">
        <v>33.0</v>
      </c>
      <c r="B1244" s="34">
        <v>33.0</v>
      </c>
      <c r="C1244" s="34">
        <v>21.0</v>
      </c>
      <c r="D1244" s="1" t="s">
        <v>397</v>
      </c>
      <c r="E1244" s="1" t="s">
        <v>3385</v>
      </c>
      <c r="F1244" s="1" t="s">
        <v>3408</v>
      </c>
      <c r="G1244" s="1">
        <v>31.0</v>
      </c>
      <c r="H1244" s="1">
        <v>63.0</v>
      </c>
      <c r="I1244" s="1" t="s">
        <v>397</v>
      </c>
      <c r="J1244" s="1" t="s">
        <v>3409</v>
      </c>
      <c r="K1244" s="1">
        <v>1.0</v>
      </c>
      <c r="L1244" s="1" t="s">
        <v>3409</v>
      </c>
    </row>
    <row r="1245" hidden="1">
      <c r="A1245" s="34">
        <v>33.0</v>
      </c>
      <c r="B1245" s="34">
        <v>33.0</v>
      </c>
      <c r="C1245" s="34">
        <v>22.0</v>
      </c>
      <c r="D1245" s="1" t="s">
        <v>397</v>
      </c>
      <c r="E1245" s="1" t="s">
        <v>3385</v>
      </c>
      <c r="F1245" s="1" t="s">
        <v>3410</v>
      </c>
      <c r="G1245" s="1">
        <v>31.0</v>
      </c>
      <c r="H1245" s="1">
        <v>44.0</v>
      </c>
      <c r="I1245" s="1" t="s">
        <v>397</v>
      </c>
      <c r="J1245" s="1" t="s">
        <v>3411</v>
      </c>
      <c r="K1245" s="1">
        <v>1.0</v>
      </c>
      <c r="L1245" s="1" t="s">
        <v>3411</v>
      </c>
    </row>
    <row r="1246" hidden="1">
      <c r="A1246" s="34">
        <v>33.0</v>
      </c>
      <c r="B1246" s="34">
        <v>33.0</v>
      </c>
      <c r="C1246" s="34">
        <v>31.0</v>
      </c>
      <c r="D1246" s="1" t="s">
        <v>397</v>
      </c>
      <c r="E1246" s="1" t="s">
        <v>3385</v>
      </c>
      <c r="F1246" s="1" t="s">
        <v>3412</v>
      </c>
      <c r="G1246" s="1">
        <v>31.0</v>
      </c>
      <c r="H1246" s="1">
        <v>40.0</v>
      </c>
      <c r="I1246" s="1" t="s">
        <v>397</v>
      </c>
      <c r="J1246" s="1" t="s">
        <v>3413</v>
      </c>
      <c r="K1246" s="1">
        <v>1.0</v>
      </c>
      <c r="L1246" s="1" t="s">
        <v>3413</v>
      </c>
    </row>
    <row r="1247" hidden="1">
      <c r="A1247" s="34">
        <v>33.0</v>
      </c>
      <c r="B1247" s="34">
        <v>33.0</v>
      </c>
      <c r="C1247" s="34">
        <v>41.0</v>
      </c>
      <c r="D1247" s="1" t="s">
        <v>397</v>
      </c>
      <c r="E1247" s="1" t="s">
        <v>3385</v>
      </c>
      <c r="F1247" s="1" t="s">
        <v>3414</v>
      </c>
      <c r="G1247" s="1">
        <v>31.0</v>
      </c>
      <c r="H1247" s="1">
        <v>2.0</v>
      </c>
      <c r="I1247" s="1" t="s">
        <v>397</v>
      </c>
      <c r="J1247" s="1" t="s">
        <v>3415</v>
      </c>
      <c r="K1247" s="1">
        <v>1.0</v>
      </c>
      <c r="L1247" s="1" t="s">
        <v>3415</v>
      </c>
    </row>
    <row r="1248" hidden="1">
      <c r="A1248" s="34">
        <v>33.0</v>
      </c>
      <c r="B1248" s="34">
        <v>33.0</v>
      </c>
      <c r="C1248" s="34">
        <v>46.0</v>
      </c>
      <c r="D1248" s="1" t="s">
        <v>397</v>
      </c>
      <c r="E1248" s="1" t="s">
        <v>3385</v>
      </c>
      <c r="F1248" s="1" t="s">
        <v>3416</v>
      </c>
      <c r="G1248" s="1">
        <v>31.0</v>
      </c>
      <c r="H1248" s="1">
        <v>101.0</v>
      </c>
      <c r="I1248" s="1" t="s">
        <v>397</v>
      </c>
      <c r="J1248" s="1" t="s">
        <v>3417</v>
      </c>
      <c r="K1248" s="1">
        <v>1.0</v>
      </c>
      <c r="L1248" s="1" t="s">
        <v>3417</v>
      </c>
    </row>
    <row r="1249" hidden="1">
      <c r="A1249" s="34">
        <v>33.0</v>
      </c>
      <c r="B1249" s="34">
        <v>33.0</v>
      </c>
      <c r="C1249" s="34">
        <v>49.0</v>
      </c>
      <c r="D1249" s="1" t="s">
        <v>397</v>
      </c>
      <c r="E1249" s="1" t="s">
        <v>3385</v>
      </c>
      <c r="F1249" s="1" t="s">
        <v>3418</v>
      </c>
      <c r="G1249" s="1">
        <v>31.0</v>
      </c>
      <c r="H1249" s="1">
        <v>93.0</v>
      </c>
      <c r="I1249" s="1" t="s">
        <v>397</v>
      </c>
      <c r="J1249" s="1" t="s">
        <v>3419</v>
      </c>
      <c r="K1249" s="1">
        <v>1.0</v>
      </c>
      <c r="L1249" s="1" t="s">
        <v>3419</v>
      </c>
    </row>
    <row r="1250" hidden="1">
      <c r="A1250" s="34">
        <v>33.0</v>
      </c>
      <c r="B1250" s="34">
        <v>33.0</v>
      </c>
      <c r="C1250" s="34">
        <v>50.0</v>
      </c>
      <c r="D1250" s="1" t="s">
        <v>397</v>
      </c>
      <c r="E1250" s="1" t="s">
        <v>3385</v>
      </c>
      <c r="F1250" s="1" t="s">
        <v>3420</v>
      </c>
      <c r="G1250" s="1">
        <v>31.0</v>
      </c>
      <c r="H1250" s="1">
        <v>13.0</v>
      </c>
      <c r="I1250" s="1" t="s">
        <v>397</v>
      </c>
      <c r="J1250" s="1" t="s">
        <v>3421</v>
      </c>
      <c r="K1250" s="1">
        <v>1.0</v>
      </c>
      <c r="L1250" s="1" t="s">
        <v>3421</v>
      </c>
    </row>
    <row r="1251" hidden="1">
      <c r="A1251" s="34">
        <v>33.0</v>
      </c>
      <c r="B1251" s="34">
        <v>33.0</v>
      </c>
      <c r="C1251" s="34">
        <v>54.0</v>
      </c>
      <c r="D1251" s="1" t="s">
        <v>397</v>
      </c>
      <c r="E1251" s="1" t="s">
        <v>3385</v>
      </c>
      <c r="F1251" s="1" t="s">
        <v>3422</v>
      </c>
      <c r="G1251" s="1">
        <v>31.0</v>
      </c>
      <c r="H1251" s="1">
        <v>89.0</v>
      </c>
      <c r="I1251" s="1" t="s">
        <v>397</v>
      </c>
      <c r="J1251" s="1" t="s">
        <v>3423</v>
      </c>
      <c r="K1251" s="1">
        <v>1.0</v>
      </c>
      <c r="L1251" s="1" t="s">
        <v>3423</v>
      </c>
    </row>
    <row r="1252" hidden="1">
      <c r="A1252" s="34">
        <v>33.0</v>
      </c>
      <c r="B1252" s="34">
        <v>33.0</v>
      </c>
      <c r="C1252" s="34">
        <v>55.0</v>
      </c>
      <c r="D1252" s="1" t="s">
        <v>397</v>
      </c>
      <c r="E1252" s="1" t="s">
        <v>3385</v>
      </c>
      <c r="F1252" s="1" t="s">
        <v>3424</v>
      </c>
      <c r="G1252" s="1">
        <v>31.0</v>
      </c>
      <c r="H1252" s="1">
        <v>79.0</v>
      </c>
      <c r="I1252" s="1" t="s">
        <v>397</v>
      </c>
      <c r="J1252" s="1" t="s">
        <v>3425</v>
      </c>
      <c r="K1252" s="1">
        <v>1.0</v>
      </c>
      <c r="L1252" s="1" t="s">
        <v>3426</v>
      </c>
    </row>
    <row r="1253" hidden="1">
      <c r="A1253" s="34">
        <v>33.0</v>
      </c>
      <c r="B1253" s="34">
        <v>33.0</v>
      </c>
      <c r="C1253" s="34">
        <v>56.0</v>
      </c>
      <c r="D1253" s="1" t="s">
        <v>397</v>
      </c>
      <c r="E1253" s="1" t="s">
        <v>3385</v>
      </c>
      <c r="F1253" s="1" t="s">
        <v>3380</v>
      </c>
      <c r="G1253" s="1">
        <v>31.0</v>
      </c>
      <c r="H1253" s="1">
        <v>50.0</v>
      </c>
      <c r="I1253" s="1" t="s">
        <v>397</v>
      </c>
      <c r="J1253" s="1" t="s">
        <v>3374</v>
      </c>
      <c r="K1253" s="1">
        <v>1.0</v>
      </c>
      <c r="L1253" s="1" t="s">
        <v>3374</v>
      </c>
    </row>
    <row r="1254" hidden="1">
      <c r="A1254" s="34">
        <v>33.0</v>
      </c>
      <c r="B1254" s="34">
        <v>33.0</v>
      </c>
      <c r="C1254" s="34">
        <v>58.0</v>
      </c>
      <c r="D1254" s="1" t="s">
        <v>397</v>
      </c>
      <c r="E1254" s="1" t="s">
        <v>3385</v>
      </c>
      <c r="F1254" s="1" t="s">
        <v>3427</v>
      </c>
      <c r="G1254" s="1">
        <v>31.0</v>
      </c>
      <c r="H1254" s="1">
        <v>50.0</v>
      </c>
      <c r="I1254" s="1" t="s">
        <v>397</v>
      </c>
      <c r="J1254" s="1" t="s">
        <v>3374</v>
      </c>
      <c r="K1254" s="1">
        <v>1.0</v>
      </c>
      <c r="L1254" s="1" t="s">
        <v>3374</v>
      </c>
    </row>
    <row r="1255" hidden="1">
      <c r="A1255" s="34">
        <v>33.0</v>
      </c>
      <c r="B1255" s="34">
        <v>33.0</v>
      </c>
      <c r="C1255" s="34">
        <v>60.0</v>
      </c>
      <c r="D1255" s="1" t="s">
        <v>397</v>
      </c>
      <c r="E1255" s="1" t="s">
        <v>3385</v>
      </c>
      <c r="F1255" s="1" t="s">
        <v>3383</v>
      </c>
      <c r="G1255" s="1">
        <v>31.0</v>
      </c>
      <c r="H1255" s="1">
        <v>50.0</v>
      </c>
      <c r="I1255" s="1" t="s">
        <v>397</v>
      </c>
      <c r="J1255" s="1" t="s">
        <v>3374</v>
      </c>
      <c r="K1255" s="1">
        <v>1.0</v>
      </c>
      <c r="L1255" s="1" t="s">
        <v>3374</v>
      </c>
    </row>
    <row r="1256" hidden="1">
      <c r="A1256" s="34">
        <v>34.0</v>
      </c>
      <c r="B1256" s="34">
        <v>1.0</v>
      </c>
      <c r="C1256" s="34">
        <v>1.0</v>
      </c>
      <c r="D1256" s="1" t="s">
        <v>133</v>
      </c>
      <c r="E1256" s="1" t="s">
        <v>3428</v>
      </c>
      <c r="F1256" s="1" t="s">
        <v>3429</v>
      </c>
      <c r="G1256" s="1">
        <v>32.0</v>
      </c>
      <c r="H1256" s="1">
        <v>56.0</v>
      </c>
      <c r="I1256" s="1" t="s">
        <v>133</v>
      </c>
      <c r="J1256" s="1" t="s">
        <v>133</v>
      </c>
      <c r="K1256" s="1">
        <v>1.0</v>
      </c>
      <c r="L1256" s="1" t="s">
        <v>133</v>
      </c>
    </row>
    <row r="1257" hidden="1">
      <c r="A1257" s="34">
        <v>34.0</v>
      </c>
      <c r="B1257" s="34">
        <v>1.0</v>
      </c>
      <c r="C1257" s="34">
        <v>3.0</v>
      </c>
      <c r="D1257" s="1" t="s">
        <v>133</v>
      </c>
      <c r="E1257" s="1" t="s">
        <v>3428</v>
      </c>
      <c r="F1257" s="1" t="s">
        <v>3430</v>
      </c>
      <c r="G1257" s="1">
        <v>32.0</v>
      </c>
      <c r="H1257" s="1">
        <v>17.0</v>
      </c>
      <c r="I1257" s="1" t="s">
        <v>133</v>
      </c>
      <c r="J1257" s="1" t="s">
        <v>892</v>
      </c>
      <c r="K1257" s="1">
        <v>1.0</v>
      </c>
      <c r="L1257" s="1" t="s">
        <v>892</v>
      </c>
    </row>
    <row r="1258" hidden="1">
      <c r="A1258" s="34">
        <v>34.0</v>
      </c>
      <c r="B1258" s="34">
        <v>1.0</v>
      </c>
      <c r="C1258" s="34">
        <v>4.0</v>
      </c>
      <c r="D1258" s="1" t="s">
        <v>133</v>
      </c>
      <c r="E1258" s="1" t="s">
        <v>3428</v>
      </c>
      <c r="F1258" s="1" t="s">
        <v>3431</v>
      </c>
      <c r="G1258" s="1">
        <v>32.0</v>
      </c>
      <c r="H1258" s="1">
        <v>17.0</v>
      </c>
      <c r="I1258" s="1" t="s">
        <v>133</v>
      </c>
      <c r="J1258" s="1" t="s">
        <v>892</v>
      </c>
      <c r="K1258" s="1">
        <v>1.0</v>
      </c>
      <c r="L1258" s="1" t="s">
        <v>892</v>
      </c>
    </row>
    <row r="1259" hidden="1">
      <c r="A1259" s="34">
        <v>34.0</v>
      </c>
      <c r="B1259" s="34">
        <v>1.0</v>
      </c>
      <c r="C1259" s="34">
        <v>5.0</v>
      </c>
      <c r="D1259" s="1" t="s">
        <v>133</v>
      </c>
      <c r="E1259" s="1" t="s">
        <v>3428</v>
      </c>
      <c r="F1259" s="1" t="s">
        <v>3432</v>
      </c>
      <c r="G1259" s="1">
        <v>32.0</v>
      </c>
      <c r="H1259" s="1">
        <v>20.0</v>
      </c>
      <c r="I1259" s="1" t="s">
        <v>133</v>
      </c>
      <c r="J1259" s="1" t="s">
        <v>3433</v>
      </c>
      <c r="K1259" s="1">
        <v>1.0</v>
      </c>
      <c r="L1259" s="1" t="s">
        <v>3434</v>
      </c>
    </row>
    <row r="1260" hidden="1">
      <c r="A1260" s="34">
        <v>34.0</v>
      </c>
      <c r="B1260" s="34">
        <v>1.0</v>
      </c>
      <c r="C1260" s="34">
        <v>9.0</v>
      </c>
      <c r="D1260" s="1" t="s">
        <v>133</v>
      </c>
      <c r="E1260" s="1" t="s">
        <v>3428</v>
      </c>
      <c r="F1260" s="1" t="s">
        <v>3435</v>
      </c>
      <c r="G1260" s="1">
        <v>32.0</v>
      </c>
      <c r="H1260" s="1">
        <v>7.0</v>
      </c>
      <c r="I1260" s="1" t="s">
        <v>133</v>
      </c>
      <c r="J1260" s="1" t="s">
        <v>3436</v>
      </c>
      <c r="K1260" s="1">
        <v>1.0</v>
      </c>
      <c r="L1260" s="1" t="s">
        <v>3437</v>
      </c>
    </row>
    <row r="1261" hidden="1">
      <c r="A1261" s="34">
        <v>34.0</v>
      </c>
      <c r="B1261" s="34">
        <v>1.0</v>
      </c>
      <c r="C1261" s="34">
        <v>10.0</v>
      </c>
      <c r="D1261" s="1" t="s">
        <v>133</v>
      </c>
      <c r="E1261" s="1" t="s">
        <v>3428</v>
      </c>
      <c r="F1261" s="1" t="s">
        <v>3438</v>
      </c>
      <c r="G1261" s="1">
        <v>32.0</v>
      </c>
      <c r="H1261" s="1">
        <v>19.0</v>
      </c>
      <c r="I1261" s="1" t="s">
        <v>133</v>
      </c>
      <c r="J1261" s="1" t="s">
        <v>3439</v>
      </c>
      <c r="K1261" s="1">
        <v>1.0</v>
      </c>
      <c r="L1261" s="1" t="s">
        <v>3439</v>
      </c>
    </row>
    <row r="1262" hidden="1">
      <c r="A1262" s="34">
        <v>34.0</v>
      </c>
      <c r="B1262" s="34">
        <v>1.0</v>
      </c>
      <c r="C1262" s="34">
        <v>11.0</v>
      </c>
      <c r="D1262" s="1" t="s">
        <v>133</v>
      </c>
      <c r="E1262" s="1" t="s">
        <v>3428</v>
      </c>
      <c r="F1262" s="1" t="s">
        <v>3440</v>
      </c>
      <c r="G1262" s="1">
        <v>32.0</v>
      </c>
      <c r="H1262" s="1">
        <v>34.0</v>
      </c>
      <c r="I1262" s="1" t="s">
        <v>133</v>
      </c>
      <c r="J1262" s="1" t="s">
        <v>3441</v>
      </c>
      <c r="K1262" s="1">
        <v>1.0</v>
      </c>
      <c r="L1262" s="1" t="s">
        <v>3442</v>
      </c>
    </row>
    <row r="1263" hidden="1">
      <c r="A1263" s="34">
        <v>34.0</v>
      </c>
      <c r="B1263" s="34">
        <v>1.0</v>
      </c>
      <c r="C1263" s="34">
        <v>13.0</v>
      </c>
      <c r="D1263" s="1" t="s">
        <v>133</v>
      </c>
      <c r="E1263" s="1" t="s">
        <v>3428</v>
      </c>
      <c r="F1263" s="1" t="s">
        <v>3443</v>
      </c>
      <c r="G1263" s="1">
        <v>32.0</v>
      </c>
      <c r="H1263" s="1">
        <v>27.0</v>
      </c>
      <c r="I1263" s="1" t="s">
        <v>133</v>
      </c>
      <c r="J1263" s="1" t="s">
        <v>3444</v>
      </c>
      <c r="K1263" s="1">
        <v>10.0</v>
      </c>
      <c r="L1263" s="1" t="s">
        <v>3445</v>
      </c>
    </row>
    <row r="1264" hidden="1">
      <c r="A1264" s="34">
        <v>34.0</v>
      </c>
      <c r="B1264" s="34">
        <v>1.0</v>
      </c>
      <c r="C1264" s="34">
        <v>14.0</v>
      </c>
      <c r="D1264" s="1" t="s">
        <v>133</v>
      </c>
      <c r="E1264" s="1" t="s">
        <v>3428</v>
      </c>
      <c r="F1264" s="1" t="s">
        <v>3446</v>
      </c>
      <c r="G1264" s="1">
        <v>32.0</v>
      </c>
      <c r="H1264" s="1">
        <v>26.0</v>
      </c>
      <c r="I1264" s="1" t="s">
        <v>133</v>
      </c>
      <c r="J1264" s="1" t="s">
        <v>3447</v>
      </c>
      <c r="K1264" s="1">
        <v>75.0</v>
      </c>
      <c r="L1264" s="1" t="s">
        <v>3448</v>
      </c>
    </row>
    <row r="1265" hidden="1">
      <c r="A1265" s="34">
        <v>34.0</v>
      </c>
      <c r="B1265" s="34">
        <v>1.0</v>
      </c>
      <c r="C1265" s="34">
        <v>15.0</v>
      </c>
      <c r="D1265" s="1" t="s">
        <v>133</v>
      </c>
      <c r="E1265" s="1" t="s">
        <v>3428</v>
      </c>
      <c r="F1265" s="1" t="s">
        <v>3449</v>
      </c>
      <c r="G1265" s="1">
        <v>32.0</v>
      </c>
      <c r="H1265" s="1">
        <v>26.0</v>
      </c>
      <c r="I1265" s="1" t="s">
        <v>133</v>
      </c>
      <c r="J1265" s="1" t="s">
        <v>3447</v>
      </c>
      <c r="K1265" s="1">
        <v>107.0</v>
      </c>
      <c r="L1265" s="1" t="s">
        <v>3450</v>
      </c>
    </row>
    <row r="1266" hidden="1">
      <c r="A1266" s="34">
        <v>34.0</v>
      </c>
      <c r="B1266" s="34">
        <v>1.0</v>
      </c>
      <c r="C1266" s="34">
        <v>17.0</v>
      </c>
      <c r="D1266" s="1" t="s">
        <v>133</v>
      </c>
      <c r="E1266" s="1" t="s">
        <v>3428</v>
      </c>
      <c r="F1266" s="1" t="s">
        <v>598</v>
      </c>
      <c r="G1266" s="1">
        <v>32.0</v>
      </c>
      <c r="H1266" s="1">
        <v>9.0</v>
      </c>
      <c r="I1266" s="1" t="s">
        <v>133</v>
      </c>
      <c r="J1266" s="1" t="s">
        <v>3451</v>
      </c>
      <c r="K1266" s="1">
        <v>12.0</v>
      </c>
      <c r="L1266" s="1" t="s">
        <v>3452</v>
      </c>
    </row>
    <row r="1267" hidden="1">
      <c r="A1267" s="34">
        <v>34.0</v>
      </c>
      <c r="B1267" s="34">
        <v>1.0</v>
      </c>
      <c r="C1267" s="34">
        <v>18.0</v>
      </c>
      <c r="D1267" s="1" t="s">
        <v>133</v>
      </c>
      <c r="E1267" s="1" t="s">
        <v>3428</v>
      </c>
      <c r="F1267" s="1" t="s">
        <v>3453</v>
      </c>
      <c r="G1267" s="1">
        <v>32.0</v>
      </c>
      <c r="H1267" s="1">
        <v>42.0</v>
      </c>
      <c r="I1267" s="1" t="s">
        <v>133</v>
      </c>
      <c r="J1267" s="1" t="s">
        <v>3454</v>
      </c>
      <c r="K1267" s="1">
        <v>116.0</v>
      </c>
      <c r="L1267" s="1" t="s">
        <v>3455</v>
      </c>
    </row>
    <row r="1268" hidden="1">
      <c r="A1268" s="34">
        <v>34.0</v>
      </c>
      <c r="B1268" s="34">
        <v>1.0</v>
      </c>
      <c r="C1268" s="34">
        <v>22.0</v>
      </c>
      <c r="D1268" s="1" t="s">
        <v>133</v>
      </c>
      <c r="E1268" s="1" t="s">
        <v>3428</v>
      </c>
      <c r="F1268" s="1" t="s">
        <v>3456</v>
      </c>
      <c r="G1268" s="1">
        <v>32.0</v>
      </c>
      <c r="H1268" s="1">
        <v>4.0</v>
      </c>
      <c r="I1268" s="1" t="s">
        <v>133</v>
      </c>
      <c r="J1268" s="1" t="s">
        <v>2659</v>
      </c>
      <c r="K1268" s="1">
        <v>1.0</v>
      </c>
      <c r="L1268" s="1" t="s">
        <v>3457</v>
      </c>
    </row>
    <row r="1269" hidden="1">
      <c r="A1269" s="34">
        <v>34.0</v>
      </c>
      <c r="B1269" s="34">
        <v>1.0</v>
      </c>
      <c r="C1269" s="34">
        <v>24.0</v>
      </c>
      <c r="D1269" s="1" t="s">
        <v>133</v>
      </c>
      <c r="E1269" s="1" t="s">
        <v>3428</v>
      </c>
      <c r="F1269" s="1" t="s">
        <v>3458</v>
      </c>
      <c r="G1269" s="1">
        <v>32.0</v>
      </c>
      <c r="H1269" s="1">
        <v>16.0</v>
      </c>
      <c r="I1269" s="1" t="s">
        <v>133</v>
      </c>
      <c r="J1269" s="1" t="s">
        <v>3459</v>
      </c>
      <c r="K1269" s="1">
        <v>1.0</v>
      </c>
      <c r="L1269" s="1" t="s">
        <v>3459</v>
      </c>
    </row>
    <row r="1270" hidden="1">
      <c r="A1270" s="34">
        <v>34.0</v>
      </c>
      <c r="B1270" s="34">
        <v>1.0</v>
      </c>
      <c r="C1270" s="34">
        <v>25.0</v>
      </c>
      <c r="D1270" s="1" t="s">
        <v>133</v>
      </c>
      <c r="E1270" s="1" t="s">
        <v>3428</v>
      </c>
      <c r="F1270" s="1" t="s">
        <v>3460</v>
      </c>
      <c r="G1270" s="1">
        <v>32.0</v>
      </c>
      <c r="H1270" s="1">
        <v>18.0</v>
      </c>
      <c r="I1270" s="1" t="s">
        <v>133</v>
      </c>
      <c r="J1270" s="1" t="s">
        <v>3461</v>
      </c>
      <c r="K1270" s="1">
        <v>1.0</v>
      </c>
      <c r="L1270" s="1" t="s">
        <v>3461</v>
      </c>
    </row>
    <row r="1271" hidden="1">
      <c r="A1271" s="34">
        <v>34.0</v>
      </c>
      <c r="B1271" s="34">
        <v>1.0</v>
      </c>
      <c r="C1271" s="34">
        <v>27.0</v>
      </c>
      <c r="D1271" s="1" t="s">
        <v>133</v>
      </c>
      <c r="E1271" s="1" t="s">
        <v>3428</v>
      </c>
      <c r="F1271" s="1" t="s">
        <v>3462</v>
      </c>
      <c r="G1271" s="1">
        <v>32.0</v>
      </c>
      <c r="H1271" s="1">
        <v>23.0</v>
      </c>
      <c r="I1271" s="1" t="s">
        <v>133</v>
      </c>
      <c r="J1271" s="1" t="s">
        <v>3463</v>
      </c>
      <c r="K1271" s="1">
        <v>1.0</v>
      </c>
      <c r="L1271" s="1" t="s">
        <v>3463</v>
      </c>
    </row>
    <row r="1272" hidden="1">
      <c r="A1272" s="34">
        <v>34.0</v>
      </c>
      <c r="B1272" s="34">
        <v>1.0</v>
      </c>
      <c r="C1272" s="34">
        <v>28.0</v>
      </c>
      <c r="D1272" s="1" t="s">
        <v>133</v>
      </c>
      <c r="E1272" s="1" t="s">
        <v>3428</v>
      </c>
      <c r="F1272" s="1" t="s">
        <v>3464</v>
      </c>
      <c r="G1272" s="1">
        <v>32.0</v>
      </c>
      <c r="H1272" s="1">
        <v>24.0</v>
      </c>
      <c r="I1272" s="1" t="s">
        <v>133</v>
      </c>
      <c r="J1272" s="1" t="s">
        <v>573</v>
      </c>
      <c r="K1272" s="1">
        <v>1.0</v>
      </c>
      <c r="L1272" s="1" t="s">
        <v>573</v>
      </c>
    </row>
    <row r="1273" hidden="1">
      <c r="A1273" s="34">
        <v>34.0</v>
      </c>
      <c r="B1273" s="34">
        <v>1.0</v>
      </c>
      <c r="C1273" s="34">
        <v>29.0</v>
      </c>
      <c r="D1273" s="1" t="s">
        <v>133</v>
      </c>
      <c r="E1273" s="1" t="s">
        <v>3428</v>
      </c>
      <c r="F1273" s="1" t="s">
        <v>3465</v>
      </c>
      <c r="G1273" s="1">
        <v>32.0</v>
      </c>
      <c r="H1273" s="1">
        <v>25.0</v>
      </c>
      <c r="I1273" s="1" t="s">
        <v>133</v>
      </c>
      <c r="J1273" s="1" t="s">
        <v>3466</v>
      </c>
      <c r="K1273" s="1">
        <v>1.0</v>
      </c>
      <c r="L1273" s="1" t="s">
        <v>3466</v>
      </c>
    </row>
    <row r="1274" hidden="1">
      <c r="A1274" s="34">
        <v>34.0</v>
      </c>
      <c r="B1274" s="34">
        <v>1.0</v>
      </c>
      <c r="C1274" s="34">
        <v>31.0</v>
      </c>
      <c r="D1274" s="1" t="s">
        <v>133</v>
      </c>
      <c r="E1274" s="1" t="s">
        <v>3428</v>
      </c>
      <c r="F1274" s="1" t="s">
        <v>3467</v>
      </c>
      <c r="G1274" s="1">
        <v>32.0</v>
      </c>
      <c r="H1274" s="1">
        <v>30.0</v>
      </c>
      <c r="I1274" s="1" t="s">
        <v>133</v>
      </c>
      <c r="J1274" s="1" t="s">
        <v>3468</v>
      </c>
      <c r="K1274" s="1">
        <v>1.0</v>
      </c>
      <c r="L1274" s="1" t="s">
        <v>3468</v>
      </c>
    </row>
    <row r="1275" hidden="1">
      <c r="A1275" s="34">
        <v>34.0</v>
      </c>
      <c r="B1275" s="34">
        <v>1.0</v>
      </c>
      <c r="C1275" s="34">
        <v>33.0</v>
      </c>
      <c r="D1275" s="1" t="s">
        <v>133</v>
      </c>
      <c r="E1275" s="1" t="s">
        <v>3428</v>
      </c>
      <c r="F1275" s="1" t="s">
        <v>3469</v>
      </c>
      <c r="G1275" s="1">
        <v>32.0</v>
      </c>
      <c r="H1275" s="1">
        <v>32.0</v>
      </c>
      <c r="I1275" s="1" t="s">
        <v>133</v>
      </c>
      <c r="J1275" s="1" t="s">
        <v>105</v>
      </c>
      <c r="K1275" s="1">
        <v>1.0</v>
      </c>
      <c r="L1275" s="1" t="s">
        <v>105</v>
      </c>
    </row>
    <row r="1276" hidden="1">
      <c r="A1276" s="34">
        <v>34.0</v>
      </c>
      <c r="B1276" s="34">
        <v>1.0</v>
      </c>
      <c r="C1276" s="34">
        <v>35.0</v>
      </c>
      <c r="D1276" s="1" t="s">
        <v>133</v>
      </c>
      <c r="E1276" s="1" t="s">
        <v>3428</v>
      </c>
      <c r="F1276" s="1" t="s">
        <v>3470</v>
      </c>
      <c r="G1276" s="1">
        <v>32.0</v>
      </c>
      <c r="H1276" s="1">
        <v>35.0</v>
      </c>
      <c r="I1276" s="1" t="s">
        <v>133</v>
      </c>
      <c r="J1276" s="1" t="s">
        <v>3471</v>
      </c>
      <c r="K1276" s="1">
        <v>1.0</v>
      </c>
      <c r="L1276" s="1" t="s">
        <v>3472</v>
      </c>
    </row>
    <row r="1277" hidden="1">
      <c r="A1277" s="34">
        <v>34.0</v>
      </c>
      <c r="B1277" s="34">
        <v>1.0</v>
      </c>
      <c r="C1277" s="34">
        <v>36.0</v>
      </c>
      <c r="D1277" s="1" t="s">
        <v>133</v>
      </c>
      <c r="E1277" s="1" t="s">
        <v>3428</v>
      </c>
      <c r="F1277" s="1" t="s">
        <v>3473</v>
      </c>
      <c r="G1277" s="1">
        <v>32.0</v>
      </c>
      <c r="H1277" s="1">
        <v>36.0</v>
      </c>
      <c r="I1277" s="1" t="s">
        <v>133</v>
      </c>
      <c r="J1277" s="1" t="s">
        <v>3474</v>
      </c>
      <c r="K1277" s="1">
        <v>1.0</v>
      </c>
      <c r="L1277" s="1" t="s">
        <v>3474</v>
      </c>
    </row>
    <row r="1278" hidden="1">
      <c r="A1278" s="34">
        <v>34.0</v>
      </c>
      <c r="B1278" s="34">
        <v>1.0</v>
      </c>
      <c r="C1278" s="34">
        <v>39.0</v>
      </c>
      <c r="D1278" s="1" t="s">
        <v>133</v>
      </c>
      <c r="E1278" s="1" t="s">
        <v>3428</v>
      </c>
      <c r="F1278" s="1" t="s">
        <v>3475</v>
      </c>
      <c r="G1278" s="1">
        <v>32.0</v>
      </c>
      <c r="H1278" s="1">
        <v>44.0</v>
      </c>
      <c r="I1278" s="1" t="s">
        <v>133</v>
      </c>
      <c r="J1278" s="1" t="s">
        <v>123</v>
      </c>
      <c r="K1278" s="1">
        <v>1.0</v>
      </c>
      <c r="L1278" s="1" t="s">
        <v>123</v>
      </c>
    </row>
    <row r="1279" hidden="1">
      <c r="A1279" s="34">
        <v>34.0</v>
      </c>
      <c r="B1279" s="34">
        <v>1.0</v>
      </c>
      <c r="C1279" s="34">
        <v>42.0</v>
      </c>
      <c r="D1279" s="1" t="s">
        <v>133</v>
      </c>
      <c r="E1279" s="1" t="s">
        <v>3428</v>
      </c>
      <c r="F1279" s="1" t="s">
        <v>3476</v>
      </c>
      <c r="G1279" s="1">
        <v>32.0</v>
      </c>
      <c r="H1279" s="1">
        <v>47.0</v>
      </c>
      <c r="I1279" s="1" t="s">
        <v>133</v>
      </c>
      <c r="J1279" s="1" t="s">
        <v>3477</v>
      </c>
      <c r="K1279" s="1">
        <v>1.0</v>
      </c>
      <c r="L1279" s="1" t="s">
        <v>3478</v>
      </c>
    </row>
    <row r="1280" hidden="1">
      <c r="A1280" s="34">
        <v>34.0</v>
      </c>
      <c r="B1280" s="34">
        <v>1.0</v>
      </c>
      <c r="C1280" s="34">
        <v>43.0</v>
      </c>
      <c r="D1280" s="1" t="s">
        <v>133</v>
      </c>
      <c r="E1280" s="1" t="s">
        <v>3428</v>
      </c>
      <c r="F1280" s="1" t="s">
        <v>3479</v>
      </c>
      <c r="G1280" s="1">
        <v>32.0</v>
      </c>
      <c r="H1280" s="1">
        <v>48.0</v>
      </c>
      <c r="I1280" s="1" t="s">
        <v>133</v>
      </c>
      <c r="J1280" s="1" t="s">
        <v>3480</v>
      </c>
      <c r="K1280" s="1">
        <v>1.0</v>
      </c>
      <c r="L1280" s="1" t="s">
        <v>3481</v>
      </c>
    </row>
    <row r="1281" hidden="1">
      <c r="A1281" s="34">
        <v>34.0</v>
      </c>
      <c r="B1281" s="34">
        <v>1.0</v>
      </c>
      <c r="C1281" s="34">
        <v>57.0</v>
      </c>
      <c r="D1281" s="1" t="s">
        <v>133</v>
      </c>
      <c r="E1281" s="1" t="s">
        <v>3428</v>
      </c>
      <c r="F1281" s="1" t="s">
        <v>3482</v>
      </c>
      <c r="G1281" s="1">
        <v>32.0</v>
      </c>
      <c r="H1281" s="1">
        <v>56.0</v>
      </c>
      <c r="I1281" s="1" t="s">
        <v>133</v>
      </c>
      <c r="J1281" s="1" t="s">
        <v>133</v>
      </c>
      <c r="K1281" s="1">
        <v>1.0</v>
      </c>
      <c r="L1281" s="1" t="s">
        <v>133</v>
      </c>
    </row>
    <row r="1282" hidden="1">
      <c r="A1282" s="34">
        <v>34.0</v>
      </c>
      <c r="B1282" s="34">
        <v>1.0</v>
      </c>
      <c r="C1282" s="34">
        <v>58.0</v>
      </c>
      <c r="D1282" s="1" t="s">
        <v>133</v>
      </c>
      <c r="E1282" s="1" t="s">
        <v>3428</v>
      </c>
      <c r="F1282" s="1" t="s">
        <v>3483</v>
      </c>
      <c r="G1282" s="1">
        <v>32.0</v>
      </c>
      <c r="H1282" s="1">
        <v>17.0</v>
      </c>
      <c r="I1282" s="1" t="s">
        <v>133</v>
      </c>
      <c r="J1282" s="1" t="s">
        <v>892</v>
      </c>
      <c r="K1282" s="1">
        <v>1.0</v>
      </c>
      <c r="L1282" s="1" t="s">
        <v>892</v>
      </c>
    </row>
    <row r="1283" hidden="1">
      <c r="A1283" s="34">
        <v>34.0</v>
      </c>
      <c r="B1283" s="34">
        <v>9.0</v>
      </c>
      <c r="C1283" s="34">
        <v>6.0</v>
      </c>
      <c r="D1283" s="1" t="s">
        <v>133</v>
      </c>
      <c r="E1283" s="1" t="s">
        <v>3484</v>
      </c>
      <c r="F1283" s="1" t="s">
        <v>3485</v>
      </c>
      <c r="G1283" s="1">
        <v>32.0</v>
      </c>
      <c r="H1283" s="1">
        <v>39.0</v>
      </c>
      <c r="I1283" s="1" t="s">
        <v>133</v>
      </c>
      <c r="J1283" s="1" t="s">
        <v>3486</v>
      </c>
      <c r="K1283" s="1">
        <v>1.0</v>
      </c>
      <c r="L1283" s="1" t="s">
        <v>3486</v>
      </c>
    </row>
    <row r="1284" hidden="1">
      <c r="A1284" s="34">
        <v>34.0</v>
      </c>
      <c r="B1284" s="34">
        <v>9.0</v>
      </c>
      <c r="C1284" s="34">
        <v>7.0</v>
      </c>
      <c r="D1284" s="1" t="s">
        <v>133</v>
      </c>
      <c r="E1284" s="1" t="s">
        <v>3484</v>
      </c>
      <c r="F1284" s="1" t="s">
        <v>3487</v>
      </c>
      <c r="G1284" s="1">
        <v>32.0</v>
      </c>
      <c r="H1284" s="1">
        <v>42.0</v>
      </c>
      <c r="I1284" s="1" t="s">
        <v>133</v>
      </c>
      <c r="J1284" s="1" t="s">
        <v>3454</v>
      </c>
      <c r="K1284" s="1">
        <v>1.0</v>
      </c>
      <c r="L1284" s="1" t="s">
        <v>3454</v>
      </c>
    </row>
    <row r="1285" hidden="1">
      <c r="A1285" s="34">
        <v>34.0</v>
      </c>
      <c r="B1285" s="34">
        <v>9.0</v>
      </c>
      <c r="C1285" s="34">
        <v>16.0</v>
      </c>
      <c r="D1285" s="1" t="s">
        <v>133</v>
      </c>
      <c r="E1285" s="1" t="s">
        <v>3484</v>
      </c>
      <c r="F1285" s="1" t="s">
        <v>3488</v>
      </c>
      <c r="G1285" s="1">
        <v>32.0</v>
      </c>
      <c r="H1285" s="1">
        <v>9.0</v>
      </c>
      <c r="I1285" s="1" t="s">
        <v>133</v>
      </c>
      <c r="J1285" s="1" t="s">
        <v>3451</v>
      </c>
      <c r="K1285" s="1">
        <v>1.0</v>
      </c>
      <c r="L1285" s="1" t="s">
        <v>3451</v>
      </c>
    </row>
    <row r="1286" hidden="1">
      <c r="A1286" s="34">
        <v>34.0</v>
      </c>
      <c r="B1286" s="34">
        <v>9.0</v>
      </c>
      <c r="C1286" s="34">
        <v>21.0</v>
      </c>
      <c r="D1286" s="1" t="s">
        <v>133</v>
      </c>
      <c r="E1286" s="1" t="s">
        <v>3484</v>
      </c>
      <c r="F1286" s="1" t="s">
        <v>3489</v>
      </c>
      <c r="G1286" s="1">
        <v>32.0</v>
      </c>
      <c r="H1286" s="1">
        <v>5.0</v>
      </c>
      <c r="I1286" s="1" t="s">
        <v>133</v>
      </c>
      <c r="J1286" s="1" t="s">
        <v>3490</v>
      </c>
      <c r="K1286" s="1">
        <v>1.0</v>
      </c>
      <c r="L1286" s="1" t="s">
        <v>3491</v>
      </c>
    </row>
    <row r="1287" hidden="1">
      <c r="A1287" s="34">
        <v>34.0</v>
      </c>
      <c r="B1287" s="34">
        <v>9.0</v>
      </c>
      <c r="C1287" s="34">
        <v>23.0</v>
      </c>
      <c r="D1287" s="1" t="s">
        <v>133</v>
      </c>
      <c r="E1287" s="1" t="s">
        <v>3484</v>
      </c>
      <c r="F1287" s="1" t="s">
        <v>3492</v>
      </c>
      <c r="G1287" s="1">
        <v>32.0</v>
      </c>
      <c r="H1287" s="1">
        <v>13.0</v>
      </c>
      <c r="I1287" s="1" t="s">
        <v>133</v>
      </c>
      <c r="J1287" s="1" t="s">
        <v>3493</v>
      </c>
      <c r="K1287" s="1">
        <v>1.0</v>
      </c>
      <c r="L1287" s="1" t="s">
        <v>3493</v>
      </c>
    </row>
    <row r="1288" hidden="1">
      <c r="A1288" s="34">
        <v>34.0</v>
      </c>
      <c r="B1288" s="34">
        <v>9.0</v>
      </c>
      <c r="C1288" s="34">
        <v>26.0</v>
      </c>
      <c r="D1288" s="1" t="s">
        <v>133</v>
      </c>
      <c r="E1288" s="1" t="s">
        <v>3484</v>
      </c>
      <c r="F1288" s="1" t="s">
        <v>3494</v>
      </c>
      <c r="G1288" s="1">
        <v>32.0</v>
      </c>
      <c r="H1288" s="1">
        <v>22.0</v>
      </c>
      <c r="I1288" s="1" t="s">
        <v>133</v>
      </c>
      <c r="J1288" s="1" t="s">
        <v>825</v>
      </c>
      <c r="K1288" s="1">
        <v>1.0</v>
      </c>
      <c r="L1288" s="1" t="s">
        <v>825</v>
      </c>
    </row>
    <row r="1289" hidden="1">
      <c r="A1289" s="34">
        <v>34.0</v>
      </c>
      <c r="B1289" s="34">
        <v>9.0</v>
      </c>
      <c r="C1289" s="34">
        <v>44.0</v>
      </c>
      <c r="D1289" s="1" t="s">
        <v>133</v>
      </c>
      <c r="E1289" s="1" t="s">
        <v>3484</v>
      </c>
      <c r="F1289" s="1" t="s">
        <v>3495</v>
      </c>
      <c r="G1289" s="1">
        <v>32.0</v>
      </c>
      <c r="H1289" s="1">
        <v>49.0</v>
      </c>
      <c r="I1289" s="1" t="s">
        <v>133</v>
      </c>
      <c r="J1289" s="1" t="s">
        <v>3496</v>
      </c>
      <c r="K1289" s="1">
        <v>1.0</v>
      </c>
      <c r="L1289" s="1" t="s">
        <v>3496</v>
      </c>
    </row>
    <row r="1290" hidden="1">
      <c r="A1290" s="34">
        <v>34.0</v>
      </c>
      <c r="B1290" s="34">
        <v>9.0</v>
      </c>
      <c r="C1290" s="34">
        <v>49.0</v>
      </c>
      <c r="D1290" s="1" t="s">
        <v>133</v>
      </c>
      <c r="E1290" s="1" t="s">
        <v>3484</v>
      </c>
      <c r="F1290" s="1" t="s">
        <v>3497</v>
      </c>
      <c r="G1290" s="1">
        <v>32.0</v>
      </c>
      <c r="H1290" s="1">
        <v>40.0</v>
      </c>
      <c r="I1290" s="1" t="s">
        <v>133</v>
      </c>
      <c r="J1290" s="1" t="s">
        <v>3498</v>
      </c>
      <c r="K1290" s="1">
        <v>1.0</v>
      </c>
      <c r="L1290" s="1" t="s">
        <v>3498</v>
      </c>
    </row>
    <row r="1291" hidden="1">
      <c r="A1291" s="34">
        <v>34.0</v>
      </c>
      <c r="B1291" s="34">
        <v>9.0</v>
      </c>
      <c r="C1291" s="34">
        <v>52.0</v>
      </c>
      <c r="D1291" s="1" t="s">
        <v>133</v>
      </c>
      <c r="E1291" s="1" t="s">
        <v>3484</v>
      </c>
      <c r="F1291" s="1" t="s">
        <v>3499</v>
      </c>
      <c r="G1291" s="1">
        <v>32.0</v>
      </c>
      <c r="H1291" s="1">
        <v>6.0</v>
      </c>
      <c r="I1291" s="1" t="s">
        <v>133</v>
      </c>
      <c r="J1291" s="1" t="s">
        <v>3500</v>
      </c>
      <c r="K1291" s="1">
        <v>1.0</v>
      </c>
      <c r="L1291" s="1" t="s">
        <v>3491</v>
      </c>
    </row>
    <row r="1292" hidden="1">
      <c r="A1292" s="34">
        <v>34.0</v>
      </c>
      <c r="B1292" s="34">
        <v>9.0</v>
      </c>
      <c r="C1292" s="34">
        <v>55.0</v>
      </c>
      <c r="D1292" s="1" t="s">
        <v>133</v>
      </c>
      <c r="E1292" s="1" t="s">
        <v>3484</v>
      </c>
      <c r="F1292" s="1" t="s">
        <v>3501</v>
      </c>
      <c r="G1292" s="1">
        <v>32.0</v>
      </c>
      <c r="H1292" s="1">
        <v>10.0</v>
      </c>
      <c r="I1292" s="1" t="s">
        <v>133</v>
      </c>
      <c r="J1292" s="1" t="s">
        <v>3484</v>
      </c>
      <c r="K1292" s="1">
        <v>1.0</v>
      </c>
      <c r="L1292" s="1" t="s">
        <v>3484</v>
      </c>
    </row>
    <row r="1293" hidden="1">
      <c r="A1293" s="34">
        <v>39.0</v>
      </c>
      <c r="B1293" s="34">
        <v>11.0</v>
      </c>
      <c r="C1293" s="34">
        <v>15.0</v>
      </c>
      <c r="D1293" s="1" t="s">
        <v>3502</v>
      </c>
      <c r="E1293" s="1" t="s">
        <v>3503</v>
      </c>
      <c r="F1293" s="1" t="s">
        <v>3504</v>
      </c>
      <c r="G1293" s="1">
        <v>9.0</v>
      </c>
      <c r="H1293" s="1">
        <v>5.0</v>
      </c>
      <c r="I1293" s="1" t="s">
        <v>383</v>
      </c>
      <c r="J1293" s="1" t="s">
        <v>3505</v>
      </c>
      <c r="K1293" s="1">
        <v>1.0</v>
      </c>
      <c r="L1293" s="1" t="s">
        <v>3505</v>
      </c>
    </row>
    <row r="1294" hidden="1">
      <c r="A1294" s="34">
        <v>39.0</v>
      </c>
      <c r="B1294" s="34">
        <v>11.0</v>
      </c>
      <c r="C1294" s="34">
        <v>20.0</v>
      </c>
      <c r="D1294" s="1" t="s">
        <v>3506</v>
      </c>
      <c r="E1294" s="1" t="s">
        <v>3503</v>
      </c>
      <c r="F1294" s="1" t="s">
        <v>3507</v>
      </c>
      <c r="G1294" s="1">
        <v>9.0</v>
      </c>
      <c r="H1294" s="1">
        <v>5.0</v>
      </c>
      <c r="I1294" s="1" t="s">
        <v>383</v>
      </c>
      <c r="J1294" s="1" t="s">
        <v>3505</v>
      </c>
      <c r="K1294" s="1">
        <v>1.0</v>
      </c>
      <c r="L1294" s="1" t="s">
        <v>3505</v>
      </c>
    </row>
    <row r="1295" hidden="1">
      <c r="A1295" s="34">
        <v>39.0</v>
      </c>
      <c r="B1295" s="34">
        <v>11.0</v>
      </c>
      <c r="C1295" s="34">
        <v>40.0</v>
      </c>
      <c r="D1295" s="1" t="s">
        <v>3506</v>
      </c>
      <c r="E1295" s="1" t="s">
        <v>3503</v>
      </c>
      <c r="F1295" s="1" t="s">
        <v>3508</v>
      </c>
      <c r="G1295" s="1">
        <v>9.0</v>
      </c>
      <c r="H1295" s="1">
        <v>2.0</v>
      </c>
      <c r="I1295" s="1" t="s">
        <v>383</v>
      </c>
      <c r="J1295" s="1" t="s">
        <v>3509</v>
      </c>
      <c r="K1295" s="1">
        <v>1.0</v>
      </c>
      <c r="L1295" s="1" t="s">
        <v>3509</v>
      </c>
    </row>
    <row r="1296" hidden="1">
      <c r="A1296" s="34">
        <v>39.0</v>
      </c>
      <c r="B1296" s="34">
        <v>11.0</v>
      </c>
      <c r="C1296" s="34">
        <v>41.0</v>
      </c>
      <c r="D1296" s="1" t="s">
        <v>3506</v>
      </c>
      <c r="E1296" s="1" t="s">
        <v>3503</v>
      </c>
      <c r="F1296" s="1" t="s">
        <v>3510</v>
      </c>
      <c r="G1296" s="1">
        <v>9.0</v>
      </c>
      <c r="H1296" s="1">
        <v>5.0</v>
      </c>
      <c r="I1296" s="1" t="s">
        <v>383</v>
      </c>
      <c r="J1296" s="1" t="s">
        <v>3505</v>
      </c>
      <c r="K1296" s="1">
        <v>1.0</v>
      </c>
      <c r="L1296" s="1" t="s">
        <v>3505</v>
      </c>
    </row>
    <row r="1297" hidden="1">
      <c r="A1297" s="34">
        <v>39.0</v>
      </c>
      <c r="B1297" s="34">
        <v>11.0</v>
      </c>
      <c r="C1297" s="34">
        <v>44.0</v>
      </c>
      <c r="D1297" s="1" t="s">
        <v>3506</v>
      </c>
      <c r="E1297" s="1" t="s">
        <v>3503</v>
      </c>
      <c r="F1297" s="1" t="s">
        <v>3511</v>
      </c>
      <c r="G1297" s="1">
        <v>9.0</v>
      </c>
      <c r="H1297" s="1">
        <v>5.0</v>
      </c>
      <c r="I1297" s="1" t="s">
        <v>383</v>
      </c>
      <c r="J1297" s="1" t="s">
        <v>3505</v>
      </c>
      <c r="K1297" s="1">
        <v>1.0</v>
      </c>
      <c r="L1297" s="1" t="s">
        <v>3505</v>
      </c>
    </row>
    <row r="1298" hidden="1">
      <c r="A1298" s="34">
        <v>39.0</v>
      </c>
      <c r="B1298" s="34">
        <v>11.0</v>
      </c>
      <c r="C1298" s="34">
        <v>49.0</v>
      </c>
      <c r="D1298" s="1" t="s">
        <v>3506</v>
      </c>
      <c r="E1298" s="1" t="s">
        <v>3503</v>
      </c>
      <c r="F1298" s="1" t="s">
        <v>3512</v>
      </c>
      <c r="G1298" s="1">
        <v>9.0</v>
      </c>
      <c r="H1298" s="1">
        <v>5.0</v>
      </c>
      <c r="I1298" s="1" t="s">
        <v>383</v>
      </c>
      <c r="J1298" s="1" t="s">
        <v>3505</v>
      </c>
      <c r="K1298" s="1">
        <v>1.0</v>
      </c>
      <c r="L1298" s="1" t="s">
        <v>3505</v>
      </c>
    </row>
    <row r="1299" hidden="1">
      <c r="A1299" s="34">
        <v>39.0</v>
      </c>
      <c r="B1299" s="34">
        <v>16.0</v>
      </c>
      <c r="C1299" s="34">
        <v>5.0</v>
      </c>
      <c r="D1299" s="1" t="s">
        <v>3506</v>
      </c>
      <c r="E1299" s="1" t="s">
        <v>3513</v>
      </c>
      <c r="F1299" s="1" t="s">
        <v>3514</v>
      </c>
      <c r="G1299" s="1">
        <v>9.0</v>
      </c>
      <c r="H1299" s="1">
        <v>16.0</v>
      </c>
      <c r="I1299" s="1" t="s">
        <v>383</v>
      </c>
      <c r="J1299" s="1" t="s">
        <v>3515</v>
      </c>
      <c r="K1299" s="1">
        <v>1.0</v>
      </c>
      <c r="L1299" s="1" t="s">
        <v>3515</v>
      </c>
    </row>
    <row r="1300" hidden="1">
      <c r="A1300" s="34">
        <v>39.0</v>
      </c>
      <c r="B1300" s="34">
        <v>16.0</v>
      </c>
      <c r="C1300" s="34">
        <v>17.0</v>
      </c>
      <c r="D1300" s="1" t="s">
        <v>3506</v>
      </c>
      <c r="E1300" s="1" t="s">
        <v>3513</v>
      </c>
      <c r="F1300" s="1" t="s">
        <v>3516</v>
      </c>
      <c r="G1300" s="1">
        <v>9.0</v>
      </c>
      <c r="H1300" s="1">
        <v>16.0</v>
      </c>
      <c r="I1300" s="1" t="s">
        <v>383</v>
      </c>
      <c r="J1300" s="1" t="s">
        <v>3515</v>
      </c>
      <c r="K1300" s="1">
        <v>1.0</v>
      </c>
      <c r="L1300" s="1" t="s">
        <v>3515</v>
      </c>
    </row>
    <row r="1301" hidden="1">
      <c r="A1301" s="34">
        <v>39.0</v>
      </c>
      <c r="B1301" s="34">
        <v>54.0</v>
      </c>
      <c r="C1301" s="34">
        <v>2.0</v>
      </c>
      <c r="D1301" s="1" t="s">
        <v>3506</v>
      </c>
      <c r="E1301" s="1" t="s">
        <v>3517</v>
      </c>
      <c r="F1301" s="1" t="s">
        <v>3518</v>
      </c>
      <c r="G1301" s="1">
        <v>9.0</v>
      </c>
      <c r="H1301" s="1">
        <v>15.0</v>
      </c>
      <c r="I1301" s="1" t="s">
        <v>383</v>
      </c>
      <c r="J1301" s="1" t="s">
        <v>731</v>
      </c>
      <c r="K1301" s="1">
        <v>1.0</v>
      </c>
      <c r="L1301" s="1" t="s">
        <v>731</v>
      </c>
    </row>
    <row r="1302" hidden="1">
      <c r="A1302" s="34">
        <v>39.0</v>
      </c>
      <c r="B1302" s="34">
        <v>54.0</v>
      </c>
      <c r="C1302" s="34">
        <v>13.0</v>
      </c>
      <c r="D1302" s="1" t="s">
        <v>3506</v>
      </c>
      <c r="E1302" s="1" t="s">
        <v>3517</v>
      </c>
      <c r="F1302" s="1" t="s">
        <v>3519</v>
      </c>
      <c r="G1302" s="1">
        <v>9.0</v>
      </c>
      <c r="H1302" s="1">
        <v>2.0</v>
      </c>
      <c r="I1302" s="1" t="s">
        <v>383</v>
      </c>
      <c r="J1302" s="1" t="s">
        <v>3509</v>
      </c>
      <c r="K1302" s="1">
        <v>1.0</v>
      </c>
      <c r="L1302" s="1" t="s">
        <v>3509</v>
      </c>
    </row>
    <row r="1303" hidden="1">
      <c r="A1303" s="34">
        <v>39.0</v>
      </c>
      <c r="B1303" s="34">
        <v>54.0</v>
      </c>
      <c r="C1303" s="34">
        <v>33.0</v>
      </c>
      <c r="D1303" s="1" t="s">
        <v>3506</v>
      </c>
      <c r="E1303" s="1" t="s">
        <v>3517</v>
      </c>
      <c r="F1303" s="1" t="s">
        <v>3520</v>
      </c>
      <c r="G1303" s="1">
        <v>9.0</v>
      </c>
      <c r="H1303" s="1">
        <v>2.0</v>
      </c>
      <c r="I1303" s="1" t="s">
        <v>383</v>
      </c>
      <c r="J1303" s="1" t="s">
        <v>3509</v>
      </c>
      <c r="K1303" s="1">
        <v>1.0</v>
      </c>
      <c r="L1303" s="1" t="s">
        <v>3509</v>
      </c>
    </row>
    <row r="1304" hidden="1">
      <c r="A1304" s="34">
        <v>39.0</v>
      </c>
      <c r="B1304" s="34">
        <v>56.0</v>
      </c>
      <c r="C1304" s="34">
        <v>3.0</v>
      </c>
      <c r="D1304" s="1" t="s">
        <v>3506</v>
      </c>
      <c r="E1304" s="1" t="s">
        <v>3521</v>
      </c>
      <c r="F1304" s="1" t="s">
        <v>622</v>
      </c>
      <c r="G1304" s="1">
        <v>9.0</v>
      </c>
      <c r="H1304" s="1">
        <v>5.0</v>
      </c>
      <c r="I1304" s="1" t="s">
        <v>383</v>
      </c>
      <c r="J1304" s="1" t="s">
        <v>3505</v>
      </c>
      <c r="K1304" s="1">
        <v>1.0</v>
      </c>
      <c r="L1304" s="1" t="s">
        <v>3505</v>
      </c>
    </row>
    <row r="1305" hidden="1">
      <c r="A1305" s="34">
        <v>39.0</v>
      </c>
      <c r="B1305" s="34">
        <v>56.0</v>
      </c>
      <c r="C1305" s="34">
        <v>11.0</v>
      </c>
      <c r="D1305" s="1" t="s">
        <v>3506</v>
      </c>
      <c r="E1305" s="1" t="s">
        <v>3521</v>
      </c>
      <c r="F1305" s="1" t="s">
        <v>3522</v>
      </c>
      <c r="G1305" s="1">
        <v>9.0</v>
      </c>
      <c r="H1305" s="1">
        <v>5.0</v>
      </c>
      <c r="I1305" s="1" t="s">
        <v>383</v>
      </c>
      <c r="J1305" s="1" t="s">
        <v>3505</v>
      </c>
      <c r="K1305" s="1">
        <v>1.0</v>
      </c>
      <c r="L1305" s="1" t="s">
        <v>3505</v>
      </c>
    </row>
    <row r="1306" hidden="1">
      <c r="A1306" s="34">
        <v>39.0</v>
      </c>
      <c r="B1306" s="34">
        <v>56.0</v>
      </c>
      <c r="C1306" s="34">
        <v>16.0</v>
      </c>
      <c r="D1306" s="1" t="s">
        <v>3506</v>
      </c>
      <c r="E1306" s="1" t="s">
        <v>3521</v>
      </c>
      <c r="F1306" s="1" t="s">
        <v>3523</v>
      </c>
      <c r="G1306" s="1">
        <v>9.0</v>
      </c>
      <c r="H1306" s="1">
        <v>15.0</v>
      </c>
      <c r="I1306" s="1" t="s">
        <v>383</v>
      </c>
      <c r="J1306" s="1" t="s">
        <v>731</v>
      </c>
      <c r="K1306" s="1">
        <v>1.0</v>
      </c>
      <c r="L1306" s="1" t="s">
        <v>731</v>
      </c>
    </row>
    <row r="1307" hidden="1">
      <c r="A1307" s="34">
        <v>39.0</v>
      </c>
      <c r="B1307" s="34">
        <v>56.0</v>
      </c>
      <c r="C1307" s="34">
        <v>23.0</v>
      </c>
      <c r="D1307" s="1" t="s">
        <v>3506</v>
      </c>
      <c r="E1307" s="1" t="s">
        <v>3521</v>
      </c>
      <c r="F1307" s="1" t="s">
        <v>3524</v>
      </c>
      <c r="G1307" s="1">
        <v>9.0</v>
      </c>
      <c r="H1307" s="1">
        <v>5.0</v>
      </c>
      <c r="I1307" s="1" t="s">
        <v>383</v>
      </c>
      <c r="J1307" s="1" t="s">
        <v>3505</v>
      </c>
      <c r="K1307" s="1">
        <v>1.0</v>
      </c>
      <c r="L1307" s="1" t="s">
        <v>3505</v>
      </c>
    </row>
    <row r="1308" hidden="1">
      <c r="A1308" s="34">
        <v>39.0</v>
      </c>
      <c r="B1308" s="34">
        <v>56.0</v>
      </c>
      <c r="C1308" s="34">
        <v>29.0</v>
      </c>
      <c r="D1308" s="1" t="s">
        <v>3506</v>
      </c>
      <c r="E1308" s="1" t="s">
        <v>3521</v>
      </c>
      <c r="F1308" s="1" t="s">
        <v>3525</v>
      </c>
      <c r="G1308" s="1">
        <v>9.0</v>
      </c>
      <c r="H1308" s="1">
        <v>5.0</v>
      </c>
      <c r="I1308" s="1" t="s">
        <v>383</v>
      </c>
      <c r="J1308" s="1" t="s">
        <v>3505</v>
      </c>
      <c r="K1308" s="1">
        <v>1.0</v>
      </c>
      <c r="L1308" s="1" t="s">
        <v>3505</v>
      </c>
    </row>
    <row r="1309" hidden="1">
      <c r="A1309" s="34">
        <v>39.0</v>
      </c>
      <c r="B1309" s="34">
        <v>56.0</v>
      </c>
      <c r="C1309" s="34">
        <v>36.0</v>
      </c>
      <c r="D1309" s="1" t="s">
        <v>3506</v>
      </c>
      <c r="E1309" s="1" t="s">
        <v>3521</v>
      </c>
      <c r="F1309" s="1" t="s">
        <v>3526</v>
      </c>
      <c r="G1309" s="1">
        <v>9.0</v>
      </c>
      <c r="H1309" s="1">
        <v>5.0</v>
      </c>
      <c r="I1309" s="1" t="s">
        <v>383</v>
      </c>
      <c r="J1309" s="1" t="s">
        <v>3505</v>
      </c>
      <c r="K1309" s="1">
        <v>1.0</v>
      </c>
      <c r="L1309" s="1" t="s">
        <v>3505</v>
      </c>
    </row>
    <row r="1310" hidden="1">
      <c r="A1310" s="34">
        <v>39.0</v>
      </c>
      <c r="B1310" s="34">
        <v>56.0</v>
      </c>
      <c r="C1310" s="34">
        <v>94.0</v>
      </c>
      <c r="D1310" s="1" t="s">
        <v>3506</v>
      </c>
      <c r="E1310" s="1" t="s">
        <v>3521</v>
      </c>
      <c r="F1310" s="1" t="s">
        <v>3527</v>
      </c>
      <c r="G1310" s="1">
        <v>9.0</v>
      </c>
      <c r="H1310" s="1">
        <v>5.0</v>
      </c>
      <c r="I1310" s="1" t="s">
        <v>383</v>
      </c>
      <c r="J1310" s="1" t="s">
        <v>3505</v>
      </c>
      <c r="K1310" s="1">
        <v>1.0</v>
      </c>
      <c r="L1310" s="1" t="s">
        <v>3505</v>
      </c>
    </row>
    <row r="1311" hidden="1">
      <c r="A1311" s="34">
        <v>39.0</v>
      </c>
      <c r="B1311" s="34">
        <v>57.0</v>
      </c>
      <c r="C1311" s="34">
        <v>6.0</v>
      </c>
      <c r="D1311" s="1" t="s">
        <v>3506</v>
      </c>
      <c r="E1311" s="1" t="s">
        <v>3528</v>
      </c>
      <c r="F1311" s="1" t="s">
        <v>3529</v>
      </c>
      <c r="G1311" s="1">
        <v>9.0</v>
      </c>
      <c r="H1311" s="1">
        <v>17.0</v>
      </c>
      <c r="I1311" s="1" t="s">
        <v>383</v>
      </c>
      <c r="J1311" s="1" t="s">
        <v>757</v>
      </c>
      <c r="K1311" s="1">
        <v>1.0</v>
      </c>
      <c r="L1311" s="1" t="s">
        <v>757</v>
      </c>
    </row>
    <row r="1312" hidden="1">
      <c r="A1312" s="34">
        <v>39.0</v>
      </c>
      <c r="B1312" s="34">
        <v>57.0</v>
      </c>
      <c r="C1312" s="34">
        <v>14.0</v>
      </c>
      <c r="D1312" s="1" t="s">
        <v>3506</v>
      </c>
      <c r="E1312" s="1" t="s">
        <v>3528</v>
      </c>
      <c r="F1312" s="1" t="s">
        <v>3530</v>
      </c>
      <c r="G1312" s="1">
        <v>9.0</v>
      </c>
      <c r="H1312" s="1">
        <v>17.0</v>
      </c>
      <c r="I1312" s="1" t="s">
        <v>383</v>
      </c>
      <c r="J1312" s="1" t="s">
        <v>757</v>
      </c>
      <c r="K1312" s="1">
        <v>1.0</v>
      </c>
      <c r="L1312" s="1" t="s">
        <v>757</v>
      </c>
    </row>
    <row r="1313" hidden="1">
      <c r="A1313" s="34">
        <v>39.0</v>
      </c>
      <c r="B1313" s="34">
        <v>57.0</v>
      </c>
      <c r="C1313" s="34">
        <v>34.0</v>
      </c>
      <c r="D1313" s="1" t="s">
        <v>3506</v>
      </c>
      <c r="E1313" s="1" t="s">
        <v>3528</v>
      </c>
      <c r="F1313" s="1" t="s">
        <v>3531</v>
      </c>
      <c r="G1313" s="1">
        <v>9.0</v>
      </c>
      <c r="H1313" s="1">
        <v>6.0</v>
      </c>
      <c r="I1313" s="1" t="s">
        <v>383</v>
      </c>
      <c r="J1313" s="1" t="s">
        <v>3532</v>
      </c>
      <c r="K1313" s="1">
        <v>1.0</v>
      </c>
      <c r="L1313" s="1" t="s">
        <v>3532</v>
      </c>
    </row>
    <row r="1314" hidden="1">
      <c r="A1314" s="34">
        <v>39.0</v>
      </c>
      <c r="B1314" s="34">
        <v>57.0</v>
      </c>
      <c r="C1314" s="34">
        <v>35.0</v>
      </c>
      <c r="D1314" s="1" t="s">
        <v>3506</v>
      </c>
      <c r="E1314" s="1" t="s">
        <v>3528</v>
      </c>
      <c r="F1314" s="1" t="s">
        <v>3533</v>
      </c>
      <c r="G1314" s="1">
        <v>9.0</v>
      </c>
      <c r="H1314" s="1">
        <v>6.0</v>
      </c>
      <c r="I1314" s="1" t="s">
        <v>383</v>
      </c>
      <c r="J1314" s="1" t="s">
        <v>3532</v>
      </c>
      <c r="K1314" s="1">
        <v>1.0</v>
      </c>
      <c r="L1314" s="1" t="s">
        <v>3532</v>
      </c>
    </row>
    <row r="1315" hidden="1">
      <c r="A1315" s="34">
        <v>39.0</v>
      </c>
      <c r="B1315" s="34">
        <v>57.0</v>
      </c>
      <c r="C1315" s="34">
        <v>37.0</v>
      </c>
      <c r="D1315" s="1" t="s">
        <v>3506</v>
      </c>
      <c r="E1315" s="1" t="s">
        <v>3528</v>
      </c>
      <c r="F1315" s="1" t="s">
        <v>3534</v>
      </c>
      <c r="G1315" s="1">
        <v>9.0</v>
      </c>
      <c r="H1315" s="1">
        <v>15.0</v>
      </c>
      <c r="I1315" s="1" t="s">
        <v>383</v>
      </c>
      <c r="J1315" s="1" t="s">
        <v>731</v>
      </c>
      <c r="K1315" s="1">
        <v>1.0</v>
      </c>
      <c r="L1315" s="1" t="s">
        <v>731</v>
      </c>
    </row>
    <row r="1316" hidden="1">
      <c r="A1316" s="34">
        <v>39.0</v>
      </c>
      <c r="B1316" s="34">
        <v>57.0</v>
      </c>
      <c r="C1316" s="34">
        <v>120.0</v>
      </c>
      <c r="D1316" s="1" t="s">
        <v>3506</v>
      </c>
      <c r="E1316" s="1" t="s">
        <v>3528</v>
      </c>
      <c r="F1316" s="1" t="s">
        <v>3535</v>
      </c>
      <c r="G1316" s="1">
        <v>9.0</v>
      </c>
      <c r="H1316" s="1">
        <v>7.0</v>
      </c>
      <c r="I1316" s="1" t="s">
        <v>383</v>
      </c>
      <c r="J1316" s="1" t="s">
        <v>3536</v>
      </c>
      <c r="K1316" s="1">
        <v>1.0</v>
      </c>
      <c r="L1316" s="1" t="s">
        <v>3536</v>
      </c>
    </row>
    <row r="1317" hidden="1">
      <c r="A1317" s="34">
        <v>40.0</v>
      </c>
      <c r="B1317" s="34">
        <v>1.0</v>
      </c>
      <c r="C1317" s="34">
        <v>8.0</v>
      </c>
      <c r="D1317" s="1" t="s">
        <v>3502</v>
      </c>
      <c r="E1317" s="1" t="s">
        <v>3537</v>
      </c>
      <c r="F1317" s="1" t="s">
        <v>3538</v>
      </c>
      <c r="G1317" s="1">
        <v>9.0</v>
      </c>
      <c r="H1317" s="1">
        <v>10.0</v>
      </c>
      <c r="I1317" s="1" t="s">
        <v>383</v>
      </c>
      <c r="J1317" s="1" t="s">
        <v>3539</v>
      </c>
      <c r="K1317" s="1">
        <v>1.0</v>
      </c>
      <c r="L1317" s="1" t="s">
        <v>3539</v>
      </c>
    </row>
    <row r="1318" hidden="1">
      <c r="A1318" s="34">
        <v>40.0</v>
      </c>
      <c r="B1318" s="34">
        <v>1.0</v>
      </c>
      <c r="C1318" s="34">
        <v>18.0</v>
      </c>
      <c r="D1318" s="1" t="s">
        <v>3502</v>
      </c>
      <c r="E1318" s="1" t="s">
        <v>3537</v>
      </c>
      <c r="F1318" s="1" t="s">
        <v>3540</v>
      </c>
      <c r="G1318" s="1">
        <v>9.0</v>
      </c>
      <c r="H1318" s="1">
        <v>8.0</v>
      </c>
      <c r="I1318" s="1" t="s">
        <v>383</v>
      </c>
      <c r="J1318" s="1" t="s">
        <v>3541</v>
      </c>
      <c r="K1318" s="1">
        <v>1.0</v>
      </c>
      <c r="L1318" s="1" t="s">
        <v>3541</v>
      </c>
    </row>
    <row r="1319" hidden="1">
      <c r="A1319" s="34">
        <v>40.0</v>
      </c>
      <c r="B1319" s="34">
        <v>1.0</v>
      </c>
      <c r="C1319" s="34">
        <v>22.0</v>
      </c>
      <c r="D1319" s="1" t="s">
        <v>3502</v>
      </c>
      <c r="E1319" s="1" t="s">
        <v>3537</v>
      </c>
      <c r="F1319" s="1" t="s">
        <v>3542</v>
      </c>
      <c r="G1319" s="1">
        <v>9.0</v>
      </c>
      <c r="H1319" s="1">
        <v>8.0</v>
      </c>
      <c r="I1319" s="1" t="s">
        <v>383</v>
      </c>
      <c r="J1319" s="1" t="s">
        <v>3541</v>
      </c>
      <c r="K1319" s="1">
        <v>1.0</v>
      </c>
      <c r="L1319" s="1" t="s">
        <v>3543</v>
      </c>
    </row>
    <row r="1320" hidden="1">
      <c r="A1320" s="34">
        <v>40.0</v>
      </c>
      <c r="B1320" s="34">
        <v>1.0</v>
      </c>
      <c r="C1320" s="34">
        <v>140.0</v>
      </c>
      <c r="D1320" s="1" t="s">
        <v>3502</v>
      </c>
      <c r="E1320" s="1" t="s">
        <v>3537</v>
      </c>
      <c r="F1320" s="1" t="s">
        <v>3544</v>
      </c>
      <c r="G1320" s="1">
        <v>9.0</v>
      </c>
      <c r="H1320" s="1">
        <v>8.0</v>
      </c>
      <c r="I1320" s="1" t="s">
        <v>383</v>
      </c>
      <c r="J1320" s="1" t="s">
        <v>3541</v>
      </c>
      <c r="K1320" s="1">
        <v>1.0</v>
      </c>
      <c r="L1320" s="1" t="s">
        <v>3543</v>
      </c>
    </row>
    <row r="1321" hidden="1">
      <c r="A1321" s="34">
        <v>40.0</v>
      </c>
      <c r="B1321" s="34">
        <v>1.0</v>
      </c>
      <c r="C1321" s="34">
        <v>161.0</v>
      </c>
      <c r="D1321" s="1" t="s">
        <v>3502</v>
      </c>
      <c r="E1321" s="1" t="s">
        <v>3537</v>
      </c>
      <c r="F1321" s="1" t="s">
        <v>3545</v>
      </c>
      <c r="G1321" s="1">
        <v>9.0</v>
      </c>
      <c r="H1321" s="1">
        <v>10.0</v>
      </c>
      <c r="I1321" s="1" t="s">
        <v>383</v>
      </c>
      <c r="J1321" s="1" t="s">
        <v>3539</v>
      </c>
      <c r="K1321" s="1">
        <v>1.0</v>
      </c>
      <c r="L1321" s="1" t="s">
        <v>3539</v>
      </c>
    </row>
    <row r="1322" hidden="1">
      <c r="A1322" s="34">
        <v>40.0</v>
      </c>
      <c r="B1322" s="34">
        <v>6.0</v>
      </c>
      <c r="C1322" s="34">
        <v>19.0</v>
      </c>
      <c r="D1322" s="1" t="s">
        <v>3502</v>
      </c>
      <c r="E1322" s="1" t="s">
        <v>3546</v>
      </c>
      <c r="F1322" s="1" t="s">
        <v>3547</v>
      </c>
      <c r="G1322" s="1">
        <v>9.0</v>
      </c>
      <c r="H1322" s="1">
        <v>3.0</v>
      </c>
      <c r="I1322" s="1" t="s">
        <v>383</v>
      </c>
      <c r="J1322" s="1" t="s">
        <v>3548</v>
      </c>
      <c r="K1322" s="1">
        <v>1.0</v>
      </c>
      <c r="L1322" s="1" t="s">
        <v>3548</v>
      </c>
    </row>
    <row r="1323" hidden="1">
      <c r="A1323" s="34">
        <v>40.0</v>
      </c>
      <c r="B1323" s="34">
        <v>6.0</v>
      </c>
      <c r="C1323" s="34">
        <v>28.0</v>
      </c>
      <c r="D1323" s="1" t="s">
        <v>3502</v>
      </c>
      <c r="E1323" s="1" t="s">
        <v>3546</v>
      </c>
      <c r="F1323" s="1" t="s">
        <v>3549</v>
      </c>
      <c r="G1323" s="1">
        <v>9.0</v>
      </c>
      <c r="H1323" s="1">
        <v>14.0</v>
      </c>
      <c r="I1323" s="1" t="s">
        <v>383</v>
      </c>
      <c r="J1323" s="1" t="s">
        <v>2659</v>
      </c>
      <c r="K1323" s="1">
        <v>1.0</v>
      </c>
      <c r="L1323" s="1" t="s">
        <v>2659</v>
      </c>
    </row>
    <row r="1324" hidden="1">
      <c r="A1324" s="34">
        <v>40.0</v>
      </c>
      <c r="B1324" s="34">
        <v>6.0</v>
      </c>
      <c r="C1324" s="34">
        <v>38.0</v>
      </c>
      <c r="D1324" s="1" t="s">
        <v>3502</v>
      </c>
      <c r="E1324" s="1" t="s">
        <v>3546</v>
      </c>
      <c r="F1324" s="1" t="s">
        <v>3550</v>
      </c>
      <c r="G1324" s="1">
        <v>9.0</v>
      </c>
      <c r="H1324" s="1">
        <v>15.0</v>
      </c>
      <c r="I1324" s="1" t="s">
        <v>383</v>
      </c>
      <c r="J1324" s="1" t="s">
        <v>731</v>
      </c>
      <c r="K1324" s="1">
        <v>1.0</v>
      </c>
      <c r="L1324" s="1" t="s">
        <v>731</v>
      </c>
    </row>
    <row r="1325" hidden="1">
      <c r="A1325" s="34">
        <v>40.0</v>
      </c>
      <c r="B1325" s="34">
        <v>6.0</v>
      </c>
      <c r="C1325" s="34">
        <v>39.0</v>
      </c>
      <c r="D1325" s="1" t="s">
        <v>3502</v>
      </c>
      <c r="E1325" s="1" t="s">
        <v>3546</v>
      </c>
      <c r="F1325" s="1" t="s">
        <v>3551</v>
      </c>
      <c r="G1325" s="1">
        <v>9.0</v>
      </c>
      <c r="H1325" s="1">
        <v>15.0</v>
      </c>
      <c r="I1325" s="1" t="s">
        <v>383</v>
      </c>
      <c r="J1325" s="1" t="s">
        <v>731</v>
      </c>
      <c r="K1325" s="1">
        <v>1.0</v>
      </c>
      <c r="L1325" s="1" t="s">
        <v>731</v>
      </c>
    </row>
    <row r="1326" hidden="1">
      <c r="A1326" s="34">
        <v>40.0</v>
      </c>
      <c r="B1326" s="34">
        <v>6.0</v>
      </c>
      <c r="C1326" s="34">
        <v>42.0</v>
      </c>
      <c r="D1326" s="1" t="s">
        <v>3502</v>
      </c>
      <c r="E1326" s="1" t="s">
        <v>3546</v>
      </c>
      <c r="F1326" s="1" t="s">
        <v>3552</v>
      </c>
      <c r="G1326" s="1">
        <v>9.0</v>
      </c>
      <c r="H1326" s="1">
        <v>4.0</v>
      </c>
      <c r="I1326" s="1" t="s">
        <v>383</v>
      </c>
      <c r="J1326" s="1" t="s">
        <v>3553</v>
      </c>
      <c r="K1326" s="1">
        <v>1.0</v>
      </c>
      <c r="L1326" s="1" t="s">
        <v>3554</v>
      </c>
    </row>
    <row r="1327" hidden="1">
      <c r="A1327" s="34">
        <v>40.0</v>
      </c>
      <c r="B1327" s="34">
        <v>11.0</v>
      </c>
      <c r="C1327" s="34">
        <v>10.0</v>
      </c>
      <c r="D1327" s="1" t="s">
        <v>3502</v>
      </c>
      <c r="E1327" s="1" t="s">
        <v>3555</v>
      </c>
      <c r="F1327" s="1" t="s">
        <v>3556</v>
      </c>
      <c r="G1327" s="1">
        <v>9.0</v>
      </c>
      <c r="H1327" s="1">
        <v>14.0</v>
      </c>
      <c r="I1327" s="1" t="s">
        <v>383</v>
      </c>
      <c r="J1327" s="1" t="s">
        <v>2659</v>
      </c>
      <c r="K1327" s="1">
        <v>1.0</v>
      </c>
      <c r="L1327" s="1" t="s">
        <v>2659</v>
      </c>
    </row>
    <row r="1328" hidden="1">
      <c r="A1328" s="34">
        <v>40.0</v>
      </c>
      <c r="B1328" s="34">
        <v>11.0</v>
      </c>
      <c r="C1328" s="34">
        <v>21.0</v>
      </c>
      <c r="D1328" s="1" t="s">
        <v>3502</v>
      </c>
      <c r="E1328" s="1" t="s">
        <v>3555</v>
      </c>
      <c r="F1328" s="1" t="s">
        <v>3557</v>
      </c>
      <c r="G1328" s="1">
        <v>9.0</v>
      </c>
      <c r="H1328" s="1">
        <v>17.0</v>
      </c>
      <c r="I1328" s="1" t="s">
        <v>383</v>
      </c>
      <c r="J1328" s="1" t="s">
        <v>757</v>
      </c>
      <c r="K1328" s="1">
        <v>1.0</v>
      </c>
      <c r="L1328" s="1" t="s">
        <v>757</v>
      </c>
    </row>
    <row r="1329" hidden="1">
      <c r="A1329" s="34">
        <v>40.0</v>
      </c>
      <c r="B1329" s="34">
        <v>11.0</v>
      </c>
      <c r="C1329" s="34">
        <v>45.0</v>
      </c>
      <c r="D1329" s="1" t="s">
        <v>3502</v>
      </c>
      <c r="E1329" s="1" t="s">
        <v>3555</v>
      </c>
      <c r="F1329" s="1" t="s">
        <v>3558</v>
      </c>
      <c r="G1329" s="1">
        <v>9.0</v>
      </c>
      <c r="H1329" s="1">
        <v>6.0</v>
      </c>
      <c r="I1329" s="1" t="s">
        <v>383</v>
      </c>
      <c r="J1329" s="1" t="s">
        <v>3532</v>
      </c>
      <c r="K1329" s="1">
        <v>1.0</v>
      </c>
      <c r="L1329" s="1" t="s">
        <v>3532</v>
      </c>
    </row>
    <row r="1330" hidden="1">
      <c r="A1330" s="34">
        <v>40.0</v>
      </c>
      <c r="B1330" s="34">
        <v>54.0</v>
      </c>
      <c r="C1330" s="34">
        <v>7.0</v>
      </c>
      <c r="D1330" s="1" t="s">
        <v>3502</v>
      </c>
      <c r="E1330" s="1" t="s">
        <v>3559</v>
      </c>
      <c r="F1330" s="1" t="s">
        <v>59</v>
      </c>
      <c r="G1330" s="1">
        <v>9.0</v>
      </c>
      <c r="H1330" s="1">
        <v>12.0</v>
      </c>
      <c r="I1330" s="1" t="s">
        <v>383</v>
      </c>
      <c r="J1330" s="1" t="s">
        <v>3560</v>
      </c>
      <c r="K1330" s="1">
        <v>1.0</v>
      </c>
      <c r="L1330" s="1" t="s">
        <v>3560</v>
      </c>
    </row>
    <row r="1331" hidden="1">
      <c r="A1331" s="34">
        <v>40.0</v>
      </c>
      <c r="B1331" s="34">
        <v>54.0</v>
      </c>
      <c r="C1331" s="34">
        <v>15.0</v>
      </c>
      <c r="D1331" s="1" t="s">
        <v>3502</v>
      </c>
      <c r="E1331" s="1" t="s">
        <v>3559</v>
      </c>
      <c r="F1331" s="1" t="s">
        <v>3561</v>
      </c>
      <c r="G1331" s="1">
        <v>9.0</v>
      </c>
      <c r="H1331" s="1">
        <v>3.0</v>
      </c>
      <c r="I1331" s="1" t="s">
        <v>383</v>
      </c>
      <c r="J1331" s="1" t="s">
        <v>3548</v>
      </c>
      <c r="K1331" s="1">
        <v>1.0</v>
      </c>
      <c r="L1331" s="1" t="s">
        <v>3548</v>
      </c>
    </row>
    <row r="1332" hidden="1">
      <c r="A1332" s="34">
        <v>40.0</v>
      </c>
      <c r="B1332" s="34">
        <v>54.0</v>
      </c>
      <c r="C1332" s="34">
        <v>31.0</v>
      </c>
      <c r="D1332" s="1" t="s">
        <v>3502</v>
      </c>
      <c r="E1332" s="1" t="s">
        <v>3559</v>
      </c>
      <c r="F1332" s="1" t="s">
        <v>3562</v>
      </c>
      <c r="G1332" s="1">
        <v>9.0</v>
      </c>
      <c r="H1332" s="1">
        <v>7.0</v>
      </c>
      <c r="I1332" s="1" t="s">
        <v>383</v>
      </c>
      <c r="J1332" s="1" t="s">
        <v>3536</v>
      </c>
      <c r="K1332" s="1">
        <v>1.0</v>
      </c>
      <c r="L1332" s="1" t="s">
        <v>3536</v>
      </c>
    </row>
    <row r="1333" hidden="1">
      <c r="A1333" s="34">
        <v>40.0</v>
      </c>
      <c r="B1333" s="34">
        <v>54.0</v>
      </c>
      <c r="C1333" s="34">
        <v>43.0</v>
      </c>
      <c r="D1333" s="1" t="s">
        <v>3502</v>
      </c>
      <c r="E1333" s="1" t="s">
        <v>3559</v>
      </c>
      <c r="F1333" s="1" t="s">
        <v>3563</v>
      </c>
      <c r="G1333" s="1">
        <v>9.0</v>
      </c>
      <c r="H1333" s="1">
        <v>7.0</v>
      </c>
      <c r="I1333" s="1" t="s">
        <v>383</v>
      </c>
      <c r="J1333" s="1" t="s">
        <v>3536</v>
      </c>
      <c r="K1333" s="1">
        <v>1.0</v>
      </c>
      <c r="L1333" s="1" t="s">
        <v>3536</v>
      </c>
    </row>
    <row r="1334" hidden="1">
      <c r="A1334" s="34">
        <v>40.0</v>
      </c>
      <c r="B1334" s="34">
        <v>54.0</v>
      </c>
      <c r="C1334" s="34">
        <v>46.0</v>
      </c>
      <c r="D1334" s="1" t="s">
        <v>3502</v>
      </c>
      <c r="E1334" s="1" t="s">
        <v>3559</v>
      </c>
      <c r="F1334" s="1" t="s">
        <v>3564</v>
      </c>
      <c r="G1334" s="1">
        <v>9.0</v>
      </c>
      <c r="H1334" s="1">
        <v>3.0</v>
      </c>
      <c r="I1334" s="1" t="s">
        <v>383</v>
      </c>
      <c r="J1334" s="1" t="s">
        <v>3548</v>
      </c>
      <c r="K1334" s="1">
        <v>1.0</v>
      </c>
      <c r="L1334" s="1" t="s">
        <v>3548</v>
      </c>
    </row>
    <row r="1335" hidden="1">
      <c r="A1335" s="34">
        <v>40.0</v>
      </c>
      <c r="B1335" s="34">
        <v>54.0</v>
      </c>
      <c r="C1335" s="34">
        <v>160.0</v>
      </c>
      <c r="D1335" s="1" t="s">
        <v>3502</v>
      </c>
      <c r="E1335" s="1" t="s">
        <v>3559</v>
      </c>
      <c r="F1335" s="1" t="s">
        <v>3565</v>
      </c>
      <c r="G1335" s="1">
        <v>9.0</v>
      </c>
      <c r="H1335" s="1">
        <v>7.0</v>
      </c>
      <c r="I1335" s="1" t="s">
        <v>383</v>
      </c>
      <c r="J1335" s="1" t="s">
        <v>3536</v>
      </c>
      <c r="K1335" s="1">
        <v>1.0</v>
      </c>
      <c r="L1335" s="1" t="s">
        <v>3536</v>
      </c>
    </row>
    <row r="1336" hidden="1">
      <c r="A1336" s="34">
        <v>40.0</v>
      </c>
      <c r="B1336" s="34">
        <v>54.0</v>
      </c>
      <c r="C1336" s="34">
        <v>162.0</v>
      </c>
      <c r="D1336" s="1" t="s">
        <v>3502</v>
      </c>
      <c r="E1336" s="1" t="s">
        <v>3559</v>
      </c>
      <c r="F1336" s="1" t="s">
        <v>3566</v>
      </c>
      <c r="G1336" s="1">
        <v>9.0</v>
      </c>
      <c r="H1336" s="1">
        <v>11.0</v>
      </c>
      <c r="I1336" s="1" t="s">
        <v>383</v>
      </c>
      <c r="J1336" s="1" t="s">
        <v>3567</v>
      </c>
      <c r="K1336" s="1">
        <v>1.0</v>
      </c>
      <c r="L1336" s="1" t="s">
        <v>3567</v>
      </c>
    </row>
    <row r="1337" hidden="1">
      <c r="A1337" s="34">
        <v>40.0</v>
      </c>
      <c r="B1337" s="34">
        <v>54.0</v>
      </c>
      <c r="C1337" s="34">
        <v>163.0</v>
      </c>
      <c r="D1337" s="1" t="s">
        <v>3502</v>
      </c>
      <c r="E1337" s="1" t="s">
        <v>3559</v>
      </c>
      <c r="F1337" s="1" t="s">
        <v>3568</v>
      </c>
      <c r="G1337" s="1">
        <v>9.0</v>
      </c>
      <c r="H1337" s="1">
        <v>3.0</v>
      </c>
      <c r="I1337" s="1" t="s">
        <v>383</v>
      </c>
      <c r="J1337" s="1" t="s">
        <v>3548</v>
      </c>
      <c r="K1337" s="1">
        <v>1.0</v>
      </c>
      <c r="L1337" s="1" t="s">
        <v>3548</v>
      </c>
    </row>
    <row r="1338" hidden="1">
      <c r="A1338" s="34">
        <v>40.0</v>
      </c>
      <c r="B1338" s="34">
        <v>54.0</v>
      </c>
      <c r="C1338" s="34">
        <v>164.0</v>
      </c>
      <c r="D1338" s="1" t="s">
        <v>3502</v>
      </c>
      <c r="E1338" s="1" t="s">
        <v>3559</v>
      </c>
      <c r="F1338" s="1" t="s">
        <v>3569</v>
      </c>
      <c r="G1338" s="1">
        <v>9.0</v>
      </c>
      <c r="H1338" s="1">
        <v>7.0</v>
      </c>
      <c r="I1338" s="1" t="s">
        <v>383</v>
      </c>
      <c r="J1338" s="1" t="s">
        <v>3536</v>
      </c>
      <c r="K1338" s="1">
        <v>1.0</v>
      </c>
      <c r="L1338" s="1" t="s">
        <v>3536</v>
      </c>
    </row>
    <row r="1339" hidden="1">
      <c r="A1339" s="34">
        <v>40.0</v>
      </c>
      <c r="B1339" s="34">
        <v>58.0</v>
      </c>
      <c r="C1339" s="34">
        <v>1.0</v>
      </c>
      <c r="D1339" s="1" t="s">
        <v>3502</v>
      </c>
      <c r="E1339" s="1" t="s">
        <v>3570</v>
      </c>
      <c r="F1339" s="1" t="s">
        <v>3571</v>
      </c>
      <c r="G1339" s="1">
        <v>9.0</v>
      </c>
      <c r="H1339" s="1">
        <v>15.0</v>
      </c>
      <c r="I1339" s="1" t="s">
        <v>383</v>
      </c>
      <c r="J1339" s="1" t="s">
        <v>731</v>
      </c>
      <c r="K1339" s="1">
        <v>1.0</v>
      </c>
      <c r="L1339" s="1" t="s">
        <v>731</v>
      </c>
    </row>
    <row r="1340" hidden="1">
      <c r="A1340" s="34">
        <v>40.0</v>
      </c>
      <c r="B1340" s="34">
        <v>58.0</v>
      </c>
      <c r="C1340" s="34">
        <v>4.0</v>
      </c>
      <c r="D1340" s="1" t="s">
        <v>3502</v>
      </c>
      <c r="E1340" s="1" t="s">
        <v>3570</v>
      </c>
      <c r="F1340" s="1" t="s">
        <v>3572</v>
      </c>
      <c r="G1340" s="1">
        <v>9.0</v>
      </c>
      <c r="H1340" s="1">
        <v>15.0</v>
      </c>
      <c r="I1340" s="1" t="s">
        <v>383</v>
      </c>
      <c r="J1340" s="1" t="s">
        <v>731</v>
      </c>
      <c r="K1340" s="1">
        <v>1.0</v>
      </c>
      <c r="L1340" s="1" t="s">
        <v>731</v>
      </c>
    </row>
    <row r="1341" hidden="1">
      <c r="A1341" s="34">
        <v>40.0</v>
      </c>
      <c r="B1341" s="34">
        <v>58.0</v>
      </c>
      <c r="C1341" s="34">
        <v>9.0</v>
      </c>
      <c r="D1341" s="1" t="s">
        <v>3502</v>
      </c>
      <c r="E1341" s="1" t="s">
        <v>3570</v>
      </c>
      <c r="F1341" s="1" t="s">
        <v>3573</v>
      </c>
      <c r="G1341" s="1">
        <v>9.0</v>
      </c>
      <c r="H1341" s="1">
        <v>14.0</v>
      </c>
      <c r="I1341" s="1" t="s">
        <v>383</v>
      </c>
      <c r="J1341" s="1" t="s">
        <v>2659</v>
      </c>
      <c r="K1341" s="1">
        <v>1.0</v>
      </c>
      <c r="L1341" s="1" t="s">
        <v>2659</v>
      </c>
    </row>
    <row r="1342" hidden="1">
      <c r="A1342" s="34">
        <v>40.0</v>
      </c>
      <c r="B1342" s="34">
        <v>58.0</v>
      </c>
      <c r="C1342" s="34">
        <v>12.0</v>
      </c>
      <c r="D1342" s="1" t="s">
        <v>3502</v>
      </c>
      <c r="E1342" s="1" t="s">
        <v>3570</v>
      </c>
      <c r="F1342" s="1" t="s">
        <v>3574</v>
      </c>
      <c r="G1342" s="1">
        <v>9.0</v>
      </c>
      <c r="H1342" s="1">
        <v>10.0</v>
      </c>
      <c r="I1342" s="1" t="s">
        <v>383</v>
      </c>
      <c r="J1342" s="1" t="s">
        <v>3539</v>
      </c>
      <c r="K1342" s="1">
        <v>1.0</v>
      </c>
      <c r="L1342" s="1" t="s">
        <v>3539</v>
      </c>
    </row>
    <row r="1343" hidden="1">
      <c r="A1343" s="34">
        <v>40.0</v>
      </c>
      <c r="B1343" s="34">
        <v>58.0</v>
      </c>
      <c r="C1343" s="34">
        <v>26.0</v>
      </c>
      <c r="D1343" s="1" t="s">
        <v>3502</v>
      </c>
      <c r="E1343" s="1" t="s">
        <v>3570</v>
      </c>
      <c r="F1343" s="1" t="s">
        <v>3575</v>
      </c>
      <c r="G1343" s="1">
        <v>9.0</v>
      </c>
      <c r="H1343" s="1">
        <v>15.0</v>
      </c>
      <c r="I1343" s="1" t="s">
        <v>383</v>
      </c>
      <c r="J1343" s="1" t="s">
        <v>731</v>
      </c>
      <c r="K1343" s="1">
        <v>1.0</v>
      </c>
      <c r="L1343" s="1" t="s">
        <v>731</v>
      </c>
    </row>
    <row r="1344" hidden="1">
      <c r="A1344" s="34" t="s">
        <v>3576</v>
      </c>
      <c r="B1344" s="69"/>
      <c r="C1344" s="69"/>
    </row>
  </sheetData>
  <autoFilter ref="$A$1:$YG$1344">
    <filterColumn colId="0">
      <filters>
        <filter val="32"/>
      </filters>
    </filterColumn>
    <filterColumn colId="1">
      <filters blank="1">
        <filter val="22"/>
        <filter val="23"/>
        <filter val="25"/>
        <filter val="27"/>
        <filter val="70"/>
        <filter val="50"/>
        <filter val="51"/>
        <filter val="31"/>
        <filter val="53"/>
        <filter val="10"/>
        <filter val="54"/>
        <filter val="32"/>
        <filter val="11"/>
        <filter val="33"/>
        <filter val="12"/>
        <filter val="34"/>
        <filter val="56"/>
        <filter val="13"/>
        <filter val="57"/>
        <filter val="14"/>
        <filter val="58"/>
        <filter val="15"/>
        <filter val="16"/>
        <filter val="17"/>
        <filter val="39"/>
        <filter val="18"/>
        <filter val="19"/>
        <filter val="1"/>
        <filter val="2"/>
        <filter val="4"/>
        <filter val="5"/>
        <filter val="6"/>
        <filter val="7"/>
        <filter val="8"/>
        <filter val="80"/>
        <filter val="9"/>
        <filter val="60"/>
        <filter val="40"/>
      </filters>
    </filterColumn>
  </autoFil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5.88"/>
    <col customWidth="1" min="9" max="9" width="14.38"/>
    <col customWidth="1" min="11" max="11" width="15.88"/>
  </cols>
  <sheetData>
    <row r="1">
      <c r="A1" s="1" t="s">
        <v>957</v>
      </c>
      <c r="B1" s="44" t="s">
        <v>135</v>
      </c>
      <c r="C1" s="44" t="s">
        <v>960</v>
      </c>
      <c r="D1" s="45" t="s">
        <v>961</v>
      </c>
      <c r="E1" s="44" t="s">
        <v>962</v>
      </c>
      <c r="F1" s="44" t="s">
        <v>963</v>
      </c>
      <c r="G1" s="1" t="s">
        <v>964</v>
      </c>
      <c r="H1" s="1" t="s">
        <v>135</v>
      </c>
      <c r="I1" s="1" t="s">
        <v>960</v>
      </c>
      <c r="J1" s="2" t="s">
        <v>961</v>
      </c>
      <c r="K1" s="1" t="s">
        <v>962</v>
      </c>
      <c r="L1" s="1" t="s">
        <v>963</v>
      </c>
      <c r="M1" s="1" t="s">
        <v>957</v>
      </c>
    </row>
    <row r="2">
      <c r="A2" s="1">
        <v>2006.0</v>
      </c>
      <c r="B2" s="46">
        <v>3.25678906035E11</v>
      </c>
      <c r="C2" s="47">
        <v>4.2355506035E10</v>
      </c>
      <c r="D2" s="46"/>
      <c r="E2" s="47">
        <v>2.091946E11</v>
      </c>
      <c r="F2" s="47">
        <v>7.41288E10</v>
      </c>
      <c r="G2" s="48">
        <v>61.23867495</v>
      </c>
      <c r="H2" s="49">
        <f t="shared" ref="H2:H22" si="1">B2*($G$21/G2)</f>
        <v>747429939155</v>
      </c>
      <c r="I2" s="49">
        <f t="shared" ref="I2:I22" si="2">C2*($G$21/G2)</f>
        <v>97205476658</v>
      </c>
      <c r="J2" s="50"/>
      <c r="K2" s="49">
        <f t="shared" ref="K2:K22" si="3">E2*($G$21/G2)</f>
        <v>480099583523</v>
      </c>
      <c r="L2" s="49">
        <f t="shared" ref="L2:L22" si="4">F2*($G$21/G2)</f>
        <v>170124878974</v>
      </c>
      <c r="M2" s="6">
        <v>2006.0</v>
      </c>
    </row>
    <row r="3">
      <c r="A3" s="1">
        <v>2007.0</v>
      </c>
      <c r="B3" s="46">
        <v>3.74304955867E11</v>
      </c>
      <c r="C3" s="47">
        <v>5.5583155867E10</v>
      </c>
      <c r="D3" s="46"/>
      <c r="E3" s="47">
        <v>2.378019E11</v>
      </c>
      <c r="F3" s="47">
        <v>8.09199E10</v>
      </c>
      <c r="G3" s="48">
        <v>63.6679211</v>
      </c>
      <c r="H3" s="49">
        <f t="shared" si="1"/>
        <v>826250152082</v>
      </c>
      <c r="I3" s="49">
        <f t="shared" si="2"/>
        <v>122695653019</v>
      </c>
      <c r="J3" s="50"/>
      <c r="K3" s="49">
        <f t="shared" si="3"/>
        <v>524929881266</v>
      </c>
      <c r="L3" s="49">
        <f t="shared" si="4"/>
        <v>178624617798</v>
      </c>
      <c r="M3" s="6">
        <v>2007.0</v>
      </c>
    </row>
    <row r="4">
      <c r="A4" s="1">
        <v>2008.0</v>
      </c>
      <c r="B4" s="46">
        <v>4.207336E11</v>
      </c>
      <c r="C4" s="47">
        <v>6.94261E10</v>
      </c>
      <c r="D4" s="46"/>
      <c r="E4" s="47">
        <v>2.720887E11</v>
      </c>
      <c r="F4" s="47">
        <v>7.92188E10</v>
      </c>
      <c r="G4" s="48">
        <v>66.93089041666668</v>
      </c>
      <c r="H4" s="49">
        <f t="shared" si="1"/>
        <v>883460706489</v>
      </c>
      <c r="I4" s="49">
        <f t="shared" si="2"/>
        <v>145781633211</v>
      </c>
      <c r="J4" s="50"/>
      <c r="K4" s="49">
        <f t="shared" si="3"/>
        <v>571334628681</v>
      </c>
      <c r="L4" s="49">
        <f t="shared" si="4"/>
        <v>166344444597</v>
      </c>
      <c r="M4" s="6">
        <v>2008.0</v>
      </c>
    </row>
    <row r="5">
      <c r="A5" s="1">
        <v>2009.0</v>
      </c>
      <c r="B5" s="46">
        <v>4.72394468164E11</v>
      </c>
      <c r="C5" s="47">
        <v>8.5036468164E10</v>
      </c>
      <c r="D5" s="46"/>
      <c r="E5" s="47">
        <v>2.99E11</v>
      </c>
      <c r="F5" s="47">
        <v>8.8358E10</v>
      </c>
      <c r="G5" s="48">
        <v>70.4764587</v>
      </c>
      <c r="H5" s="49">
        <f t="shared" si="1"/>
        <v>942035727983</v>
      </c>
      <c r="I5" s="49">
        <f t="shared" si="2"/>
        <v>169577326981</v>
      </c>
      <c r="J5" s="50"/>
      <c r="K5" s="49">
        <f t="shared" si="3"/>
        <v>596257368893</v>
      </c>
      <c r="L5" s="49">
        <f t="shared" si="4"/>
        <v>176201032109</v>
      </c>
      <c r="M5" s="6">
        <v>2009.0</v>
      </c>
    </row>
    <row r="6">
      <c r="A6" s="1">
        <v>2010.0</v>
      </c>
      <c r="B6" s="46">
        <v>5.1733815986E11</v>
      </c>
      <c r="C6" s="47">
        <v>8.9892930927E10</v>
      </c>
      <c r="D6" s="46"/>
      <c r="E6" s="47">
        <v>3.203796E11</v>
      </c>
      <c r="F6" s="47">
        <v>1.07065628933E11</v>
      </c>
      <c r="G6" s="48">
        <v>73.405973275</v>
      </c>
      <c r="H6" s="49">
        <f t="shared" si="1"/>
        <v>990489229176</v>
      </c>
      <c r="I6" s="49">
        <f t="shared" si="2"/>
        <v>172107891454</v>
      </c>
      <c r="J6" s="50"/>
      <c r="K6" s="49">
        <f t="shared" si="3"/>
        <v>613394811497</v>
      </c>
      <c r="L6" s="49">
        <f t="shared" si="4"/>
        <v>204986526225</v>
      </c>
      <c r="M6" s="6">
        <v>2010.0</v>
      </c>
    </row>
    <row r="7">
      <c r="A7" s="1">
        <v>2011.0</v>
      </c>
      <c r="B7" s="46">
        <v>5.56102296605E11</v>
      </c>
      <c r="C7" s="47">
        <v>1.05313896605E11</v>
      </c>
      <c r="D7" s="46"/>
      <c r="E7" s="47">
        <v>3.3824E11</v>
      </c>
      <c r="F7" s="47">
        <v>1.125484E11</v>
      </c>
      <c r="G7" s="48">
        <v>75.907193425</v>
      </c>
      <c r="H7" s="49">
        <f t="shared" si="1"/>
        <v>1029623387807</v>
      </c>
      <c r="I7" s="49">
        <f t="shared" si="2"/>
        <v>194988676845</v>
      </c>
      <c r="J7" s="50"/>
      <c r="K7" s="49">
        <f t="shared" si="3"/>
        <v>626251351268</v>
      </c>
      <c r="L7" s="49">
        <f t="shared" si="4"/>
        <v>208383359694</v>
      </c>
      <c r="M7" s="6">
        <v>2011.0</v>
      </c>
    </row>
    <row r="8">
      <c r="A8" s="1">
        <v>2012.0</v>
      </c>
      <c r="B8" s="46">
        <v>6.49424481809E11</v>
      </c>
      <c r="C8" s="47">
        <v>1.13479679217E11</v>
      </c>
      <c r="D8" s="46"/>
      <c r="E8" s="47">
        <v>3.94492697982E11</v>
      </c>
      <c r="F8" s="47">
        <v>1.4145210461E11</v>
      </c>
      <c r="G8" s="48">
        <v>79.02812418333333</v>
      </c>
      <c r="H8" s="49">
        <f t="shared" si="1"/>
        <v>1154924587962</v>
      </c>
      <c r="I8" s="49">
        <f t="shared" si="2"/>
        <v>201810180295</v>
      </c>
      <c r="J8" s="50"/>
      <c r="K8" s="49">
        <f t="shared" si="3"/>
        <v>701558579069</v>
      </c>
      <c r="L8" s="49">
        <f t="shared" si="4"/>
        <v>251555828598</v>
      </c>
      <c r="M8" s="6">
        <v>2012.0</v>
      </c>
    </row>
    <row r="9">
      <c r="A9" s="1">
        <v>2013.0</v>
      </c>
      <c r="B9" s="46">
        <v>7.04779156455E11</v>
      </c>
      <c r="C9" s="47">
        <v>1.21856567399E11</v>
      </c>
      <c r="D9" s="46"/>
      <c r="E9" s="47">
        <v>4.21565167209E11</v>
      </c>
      <c r="F9" s="47">
        <v>1.61357421847E11</v>
      </c>
      <c r="G9" s="48">
        <v>82.03624265833332</v>
      </c>
      <c r="H9" s="49">
        <f t="shared" si="1"/>
        <v>1207407682995</v>
      </c>
      <c r="I9" s="49">
        <f t="shared" si="2"/>
        <v>208761218821</v>
      </c>
      <c r="J9" s="50"/>
      <c r="K9" s="49">
        <f t="shared" si="3"/>
        <v>722213500654</v>
      </c>
      <c r="L9" s="49">
        <f t="shared" si="4"/>
        <v>276432963520</v>
      </c>
      <c r="M9" s="6">
        <v>2013.0</v>
      </c>
    </row>
    <row r="10">
      <c r="A10" s="1">
        <v>2014.0</v>
      </c>
      <c r="B10" s="46">
        <v>8.12684377603E11</v>
      </c>
      <c r="C10" s="47">
        <v>1.30264761743E11</v>
      </c>
      <c r="D10" s="46"/>
      <c r="E10" s="47">
        <v>4.76960996089E11</v>
      </c>
      <c r="F10" s="47">
        <v>2.05458619771E11</v>
      </c>
      <c r="G10" s="48">
        <v>85.33296521666666</v>
      </c>
      <c r="H10" s="49">
        <f t="shared" si="1"/>
        <v>1338479483919</v>
      </c>
      <c r="I10" s="49">
        <f t="shared" si="2"/>
        <v>214544189449</v>
      </c>
      <c r="J10" s="50"/>
      <c r="K10" s="49">
        <f t="shared" si="3"/>
        <v>785547902099</v>
      </c>
      <c r="L10" s="49">
        <f t="shared" si="4"/>
        <v>338387392371</v>
      </c>
      <c r="M10" s="6">
        <v>2014.0</v>
      </c>
    </row>
    <row r="11">
      <c r="A11" s="1">
        <v>2015.0</v>
      </c>
      <c r="B11" s="46">
        <v>8.41301529964E11</v>
      </c>
      <c r="C11" s="47">
        <v>1.34847592069E11</v>
      </c>
      <c r="D11" s="46"/>
      <c r="E11" s="47">
        <v>4.97695318114E11</v>
      </c>
      <c r="F11" s="47">
        <v>2.08758619781E11</v>
      </c>
      <c r="G11" s="48">
        <v>87.65456909166666</v>
      </c>
      <c r="H11" s="49">
        <f t="shared" si="1"/>
        <v>1348912453354</v>
      </c>
      <c r="I11" s="49">
        <f t="shared" si="2"/>
        <v>216209753303</v>
      </c>
      <c r="J11" s="50"/>
      <c r="K11" s="49">
        <f t="shared" si="3"/>
        <v>797986677391</v>
      </c>
      <c r="L11" s="49">
        <f t="shared" si="4"/>
        <v>334716022660</v>
      </c>
      <c r="M11" s="6">
        <v>2015.0</v>
      </c>
    </row>
    <row r="12">
      <c r="A12" s="1">
        <v>2016.0</v>
      </c>
      <c r="B12" s="46">
        <v>9.06454018723E11</v>
      </c>
      <c r="C12" s="47">
        <v>1.32216881794E11</v>
      </c>
      <c r="D12" s="46"/>
      <c r="E12" s="47">
        <v>5.4432103479E11</v>
      </c>
      <c r="F12" s="47">
        <v>2.29916102139E11</v>
      </c>
      <c r="G12" s="48">
        <v>90.12792485833332</v>
      </c>
      <c r="H12" s="49">
        <f t="shared" si="1"/>
        <v>1413491012639</v>
      </c>
      <c r="I12" s="49">
        <f t="shared" si="2"/>
        <v>206174136001</v>
      </c>
      <c r="J12" s="50"/>
      <c r="K12" s="49">
        <f t="shared" si="3"/>
        <v>848794174634</v>
      </c>
      <c r="L12" s="49">
        <f t="shared" si="4"/>
        <v>358522702003</v>
      </c>
      <c r="M12" s="6">
        <v>2016.0</v>
      </c>
    </row>
    <row r="13">
      <c r="A13" s="1">
        <v>2017.0</v>
      </c>
      <c r="B13" s="46">
        <v>1.008089391384E12</v>
      </c>
      <c r="C13" s="47">
        <v>1.21817532748E11</v>
      </c>
      <c r="D13" s="46"/>
      <c r="E13" s="47">
        <v>6.22682563457E11</v>
      </c>
      <c r="F13" s="47">
        <v>2.63589295179E11</v>
      </c>
      <c r="G13" s="48">
        <v>95.5729636</v>
      </c>
      <c r="H13" s="49">
        <f t="shared" si="1"/>
        <v>1482417850426</v>
      </c>
      <c r="I13" s="49">
        <f t="shared" si="2"/>
        <v>179135388770</v>
      </c>
      <c r="J13" s="50"/>
      <c r="K13" s="49">
        <f t="shared" si="3"/>
        <v>915668545972</v>
      </c>
      <c r="L13" s="49">
        <f t="shared" si="4"/>
        <v>387613915685</v>
      </c>
      <c r="M13" s="6">
        <v>2017.0</v>
      </c>
    </row>
    <row r="14">
      <c r="A14" s="1">
        <v>2018.0</v>
      </c>
      <c r="B14" s="46">
        <v>1.084474181087E12</v>
      </c>
      <c r="C14" s="47">
        <v>1.2255733732E11</v>
      </c>
      <c r="D14" s="46"/>
      <c r="E14" s="47">
        <v>6.79284281924E11</v>
      </c>
      <c r="F14" s="47">
        <v>2.82632561843E11</v>
      </c>
      <c r="G14" s="48">
        <v>100.25541853333334</v>
      </c>
      <c r="H14" s="49">
        <f t="shared" si="1"/>
        <v>1520260484009</v>
      </c>
      <c r="I14" s="49">
        <f t="shared" si="2"/>
        <v>171805913135</v>
      </c>
      <c r="J14" s="50"/>
      <c r="K14" s="49">
        <f t="shared" si="3"/>
        <v>952248628162</v>
      </c>
      <c r="L14" s="49">
        <f t="shared" si="4"/>
        <v>396205942712</v>
      </c>
      <c r="M14" s="6">
        <v>2018.0</v>
      </c>
    </row>
    <row r="15">
      <c r="A15" s="1">
        <v>2019.0</v>
      </c>
      <c r="B15" s="46">
        <v>1.194327955895E12</v>
      </c>
      <c r="C15" s="47">
        <v>1.24266865116E11</v>
      </c>
      <c r="D15" s="46"/>
      <c r="E15" s="47">
        <v>7.46738895682E11</v>
      </c>
      <c r="F15" s="47">
        <v>3.23322195097E11</v>
      </c>
      <c r="G15" s="48">
        <v>103.90066666666667</v>
      </c>
      <c r="H15" s="49">
        <f t="shared" si="1"/>
        <v>1615518398651</v>
      </c>
      <c r="I15" s="49">
        <f t="shared" si="2"/>
        <v>168090687274</v>
      </c>
      <c r="J15" s="50"/>
      <c r="K15" s="49">
        <f t="shared" si="3"/>
        <v>1010083050479</v>
      </c>
      <c r="L15" s="49">
        <f t="shared" si="4"/>
        <v>437344660897</v>
      </c>
      <c r="M15" s="6">
        <v>2019.0</v>
      </c>
    </row>
    <row r="16">
      <c r="A16" s="1">
        <v>2020.0</v>
      </c>
      <c r="B16" s="46">
        <v>1.303331702397E12</v>
      </c>
      <c r="C16" s="47">
        <v>1.28826414373E11</v>
      </c>
      <c r="D16" s="46"/>
      <c r="E16" s="47">
        <v>8.2506288228E11</v>
      </c>
      <c r="F16" s="47">
        <v>3.49442405744E11</v>
      </c>
      <c r="G16" s="48">
        <v>107.42999999999999</v>
      </c>
      <c r="H16" s="49">
        <f t="shared" si="1"/>
        <v>1705045716655</v>
      </c>
      <c r="I16" s="49">
        <f t="shared" si="2"/>
        <v>168533402214</v>
      </c>
      <c r="J16" s="50"/>
      <c r="K16" s="49">
        <f t="shared" si="3"/>
        <v>1079364470929</v>
      </c>
      <c r="L16" s="49">
        <f t="shared" si="4"/>
        <v>457147843512</v>
      </c>
      <c r="M16" s="6">
        <v>2020.0</v>
      </c>
    </row>
    <row r="17">
      <c r="A17" s="1">
        <v>2021.0</v>
      </c>
      <c r="B17" s="46">
        <v>1.420626967531E12</v>
      </c>
      <c r="C17" s="47">
        <v>1.45414570947E11</v>
      </c>
      <c r="D17" s="46"/>
      <c r="E17" s="47">
        <v>9.01687110152E11</v>
      </c>
      <c r="F17" s="47">
        <v>3.73525286432E11</v>
      </c>
      <c r="G17" s="48">
        <v>113.54191666666667</v>
      </c>
      <c r="H17" s="49">
        <f t="shared" si="1"/>
        <v>1758451837906</v>
      </c>
      <c r="I17" s="49">
        <f t="shared" si="2"/>
        <v>179994133143</v>
      </c>
      <c r="J17" s="50"/>
      <c r="K17" s="49">
        <f t="shared" si="3"/>
        <v>1116108163721</v>
      </c>
      <c r="L17" s="49">
        <f t="shared" si="4"/>
        <v>462349541043</v>
      </c>
      <c r="M17" s="6">
        <v>2021.0</v>
      </c>
    </row>
    <row r="18">
      <c r="A18" s="1">
        <v>2022.0</v>
      </c>
      <c r="B18" s="46">
        <v>1.601737723504E12</v>
      </c>
      <c r="C18" s="47">
        <v>1.93948336401E11</v>
      </c>
      <c r="D18" s="46"/>
      <c r="E18" s="47">
        <v>1.010840765109E12</v>
      </c>
      <c r="F18" s="47">
        <v>3.96948621994E11</v>
      </c>
      <c r="G18" s="48">
        <v>122.50750000000001</v>
      </c>
      <c r="H18" s="49">
        <f t="shared" si="1"/>
        <v>1837533947660</v>
      </c>
      <c r="I18" s="49">
        <f t="shared" si="2"/>
        <v>222500005462</v>
      </c>
      <c r="J18" s="50"/>
      <c r="K18" s="49">
        <f t="shared" si="3"/>
        <v>1159649419696</v>
      </c>
      <c r="L18" s="49">
        <f t="shared" si="4"/>
        <v>455384522502</v>
      </c>
      <c r="M18" s="6">
        <v>2022.0</v>
      </c>
    </row>
    <row r="19">
      <c r="A19" s="1">
        <v>2023.0</v>
      </c>
      <c r="B19" s="46">
        <v>1.814359649207E12</v>
      </c>
      <c r="C19" s="47">
        <v>2.09616460086E11</v>
      </c>
      <c r="D19" s="46"/>
      <c r="E19" s="47">
        <v>1.165698799075E12</v>
      </c>
      <c r="F19" s="47">
        <v>4.39044390046E11</v>
      </c>
      <c r="G19" s="48">
        <v>129.27966666666666</v>
      </c>
      <c r="H19" s="49">
        <f t="shared" si="1"/>
        <v>1972421826161</v>
      </c>
      <c r="I19" s="49">
        <f t="shared" si="2"/>
        <v>227877687413</v>
      </c>
      <c r="J19" s="50"/>
      <c r="K19" s="49">
        <f t="shared" si="3"/>
        <v>1267251371595</v>
      </c>
      <c r="L19" s="49">
        <f t="shared" si="4"/>
        <v>477292767153</v>
      </c>
      <c r="M19" s="6">
        <v>2023.0</v>
      </c>
    </row>
    <row r="20">
      <c r="A20" s="1">
        <v>2024.0</v>
      </c>
      <c r="B20" s="46">
        <v>2.047393652977E12</v>
      </c>
      <c r="C20" s="47">
        <v>9.6989997562E10</v>
      </c>
      <c r="D20" s="47">
        <v>1.28623931279E11</v>
      </c>
      <c r="E20" s="47">
        <v>1.345950717395E12</v>
      </c>
      <c r="F20" s="47">
        <v>4.75829006741E11</v>
      </c>
      <c r="G20" s="48">
        <v>135.38458333333332</v>
      </c>
      <c r="H20" s="49">
        <f t="shared" si="1"/>
        <v>2125390741873</v>
      </c>
      <c r="I20" s="49">
        <f t="shared" si="2"/>
        <v>100684908627</v>
      </c>
      <c r="J20" s="49">
        <f t="shared" ref="J20:J22" si="5">D20*($G$21/G20)</f>
        <v>133523962198</v>
      </c>
      <c r="K20" s="49">
        <f t="shared" si="3"/>
        <v>1397225780010</v>
      </c>
      <c r="L20" s="49">
        <f t="shared" si="4"/>
        <v>493956091039</v>
      </c>
      <c r="M20" s="6">
        <v>2024.0</v>
      </c>
    </row>
    <row r="21">
      <c r="A21" s="1">
        <v>2025.0</v>
      </c>
      <c r="B21" s="46">
        <v>2.22728157688E12</v>
      </c>
      <c r="C21" s="47">
        <v>6.6693191547E10</v>
      </c>
      <c r="D21" s="47">
        <v>1.65562605439E11</v>
      </c>
      <c r="E21" s="47">
        <v>1.469410379894E12</v>
      </c>
      <c r="F21" s="47">
        <v>5.256154E11</v>
      </c>
      <c r="G21" s="48">
        <v>140.54216666666665</v>
      </c>
      <c r="H21" s="49">
        <f t="shared" si="1"/>
        <v>2227281576880</v>
      </c>
      <c r="I21" s="49">
        <f t="shared" si="2"/>
        <v>66693191547</v>
      </c>
      <c r="J21" s="49">
        <f t="shared" si="5"/>
        <v>165562605439</v>
      </c>
      <c r="K21" s="49">
        <f t="shared" si="3"/>
        <v>1469410379894</v>
      </c>
      <c r="L21" s="49">
        <f t="shared" si="4"/>
        <v>525615400000</v>
      </c>
      <c r="M21" s="6">
        <v>2025.0</v>
      </c>
    </row>
    <row r="22">
      <c r="A22" s="1">
        <v>2026.0</v>
      </c>
      <c r="B22" s="46">
        <v>2.368647616429E12</v>
      </c>
      <c r="C22" s="47">
        <v>6.6825756831E10</v>
      </c>
      <c r="D22" s="47">
        <v>1.72492400589E11</v>
      </c>
      <c r="E22" s="47">
        <v>1.590308696623E12</v>
      </c>
      <c r="F22" s="47">
        <v>5.39020762386E11</v>
      </c>
      <c r="G22" s="48">
        <v>144.50241666666668</v>
      </c>
      <c r="H22" s="49">
        <f t="shared" si="1"/>
        <v>2303732184983</v>
      </c>
      <c r="I22" s="49">
        <f t="shared" si="2"/>
        <v>64994322384</v>
      </c>
      <c r="J22" s="49">
        <f t="shared" si="5"/>
        <v>167765053842</v>
      </c>
      <c r="K22" s="49">
        <f t="shared" si="3"/>
        <v>1546724511935</v>
      </c>
      <c r="L22" s="49">
        <f t="shared" si="4"/>
        <v>524248296821</v>
      </c>
      <c r="M22" s="6">
        <v>2026.0</v>
      </c>
    </row>
    <row r="23">
      <c r="A23" s="1">
        <v>2027.0</v>
      </c>
      <c r="B23" s="46">
        <v>2.640894056183E12</v>
      </c>
      <c r="C23" s="47">
        <v>7.230546894E10</v>
      </c>
      <c r="D23" s="47">
        <v>1.93987199999E11</v>
      </c>
      <c r="E23" s="47">
        <v>1.803009097244E12</v>
      </c>
      <c r="F23" s="47">
        <v>5.7159229E11</v>
      </c>
      <c r="H23" s="39">
        <v>2.640894056183E12</v>
      </c>
      <c r="I23" s="37">
        <v>7.230546894E10</v>
      </c>
      <c r="J23" s="37">
        <v>1.93987199999E11</v>
      </c>
      <c r="K23" s="37">
        <v>1.803009097244E12</v>
      </c>
      <c r="L23" s="37">
        <v>5.7159229E11</v>
      </c>
      <c r="M23" s="6">
        <v>2027.0</v>
      </c>
    </row>
    <row r="24">
      <c r="H24" s="38"/>
    </row>
    <row r="25">
      <c r="B25" s="1" t="s">
        <v>747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5"/>
    <col customWidth="1" min="2" max="2" width="15.88"/>
  </cols>
  <sheetData>
    <row r="1">
      <c r="A1" s="1" t="s">
        <v>744</v>
      </c>
      <c r="D1" s="1" t="s">
        <v>747</v>
      </c>
    </row>
    <row r="2">
      <c r="A2" s="1" t="s">
        <v>135</v>
      </c>
      <c r="B2" s="37">
        <v>1.803009097244E12</v>
      </c>
    </row>
    <row r="3">
      <c r="A3" s="1" t="s">
        <v>750</v>
      </c>
      <c r="B3" s="37">
        <v>1.13622801587E12</v>
      </c>
      <c r="C3" s="38">
        <f>B3/B2</f>
        <v>0.6301842945</v>
      </c>
    </row>
    <row r="4">
      <c r="A4" s="1" t="s">
        <v>754</v>
      </c>
      <c r="B4" s="37">
        <v>9.5933888351E10</v>
      </c>
      <c r="C4" s="38">
        <f>B4/B2</f>
        <v>0.0532076563</v>
      </c>
    </row>
    <row r="5">
      <c r="A5" s="1" t="s">
        <v>755</v>
      </c>
      <c r="B5" s="37">
        <v>1.1737590035E11</v>
      </c>
      <c r="C5" s="38">
        <f>B5/B2</f>
        <v>0.0651000045</v>
      </c>
    </row>
    <row r="6">
      <c r="A6" s="1" t="s">
        <v>762</v>
      </c>
      <c r="B6" s="37">
        <v>4.53471292673E11</v>
      </c>
      <c r="C6" s="38">
        <f>B6/B2</f>
        <v>0.2515080447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</cols>
  <sheetData>
    <row r="1">
      <c r="O1" s="1" t="s">
        <v>901</v>
      </c>
    </row>
    <row r="2">
      <c r="A2" s="1" t="s">
        <v>902</v>
      </c>
      <c r="B2" s="1" t="s">
        <v>750</v>
      </c>
      <c r="C2" s="1" t="s">
        <v>903</v>
      </c>
      <c r="D2" s="1" t="s">
        <v>904</v>
      </c>
      <c r="E2" s="1" t="s">
        <v>905</v>
      </c>
      <c r="F2" s="1" t="s">
        <v>135</v>
      </c>
      <c r="G2" s="1" t="s">
        <v>747</v>
      </c>
      <c r="H2" s="1" t="s">
        <v>906</v>
      </c>
      <c r="I2" s="1" t="s">
        <v>907</v>
      </c>
      <c r="J2" s="1" t="s">
        <v>908</v>
      </c>
      <c r="K2" s="1" t="s">
        <v>909</v>
      </c>
      <c r="L2" s="1" t="s">
        <v>902</v>
      </c>
      <c r="O2" s="1">
        <v>2007.0</v>
      </c>
      <c r="P2" s="1">
        <v>20008.0</v>
      </c>
      <c r="Q2" s="1">
        <v>2009.0</v>
      </c>
      <c r="R2" s="1">
        <v>2010.0</v>
      </c>
      <c r="S2" s="1">
        <v>2011.0</v>
      </c>
      <c r="T2" s="1">
        <v>2012.0</v>
      </c>
      <c r="U2" s="1">
        <v>2013.0</v>
      </c>
      <c r="V2" s="1">
        <v>2014.0</v>
      </c>
      <c r="W2" s="1">
        <v>2015.0</v>
      </c>
      <c r="X2" s="1">
        <v>2016.0</v>
      </c>
      <c r="Y2" s="1">
        <v>2017.0</v>
      </c>
      <c r="Z2" s="1">
        <v>2018.0</v>
      </c>
      <c r="AA2" s="1">
        <v>2019.0</v>
      </c>
      <c r="AB2" s="1">
        <v>2020.0</v>
      </c>
      <c r="AC2" s="1">
        <v>2021.0</v>
      </c>
      <c r="AD2" s="1">
        <v>2022.0</v>
      </c>
      <c r="AE2" s="1">
        <v>2023.0</v>
      </c>
      <c r="AF2" s="1">
        <v>2024.0</v>
      </c>
      <c r="AG2" s="1">
        <v>2025.0</v>
      </c>
      <c r="AH2" s="1">
        <v>2026.0</v>
      </c>
      <c r="AI2" s="1">
        <v>2027.0</v>
      </c>
      <c r="AJ2" s="1"/>
      <c r="AK2" s="1"/>
    </row>
    <row r="3">
      <c r="A3" s="1">
        <v>2007.0</v>
      </c>
      <c r="B3" s="37">
        <v>9.91091E10</v>
      </c>
      <c r="C3" s="37">
        <v>9.3076E10</v>
      </c>
      <c r="D3" s="37">
        <v>2.2897E10</v>
      </c>
      <c r="E3" s="39">
        <f t="shared" ref="E3:E22" si="1">F3-D3-C3-B3</f>
        <v>22719800000</v>
      </c>
      <c r="F3" s="37">
        <v>2.378019E11</v>
      </c>
      <c r="H3" s="38">
        <f t="shared" ref="H3:H23" si="2">B3/F3</f>
        <v>0.4167716911</v>
      </c>
      <c r="I3" s="38">
        <f t="shared" ref="I3:I23" si="3">C3/F3</f>
        <v>0.3914014144</v>
      </c>
      <c r="J3" s="38">
        <f t="shared" ref="J3:J23" si="4">D3/F3</f>
        <v>0.09628602631</v>
      </c>
      <c r="K3" s="38">
        <f t="shared" ref="K3:K23" si="5">E3/F3</f>
        <v>0.09554086826</v>
      </c>
      <c r="L3" s="1">
        <v>2007.0</v>
      </c>
      <c r="O3" s="40" t="s">
        <v>919</v>
      </c>
      <c r="P3" s="40" t="s">
        <v>919</v>
      </c>
      <c r="Q3" s="41" t="s">
        <v>919</v>
      </c>
      <c r="R3" s="40" t="s">
        <v>920</v>
      </c>
      <c r="S3" s="40" t="s">
        <v>920</v>
      </c>
      <c r="T3" s="40" t="s">
        <v>921</v>
      </c>
      <c r="U3" s="40" t="s">
        <v>921</v>
      </c>
      <c r="V3" s="40" t="s">
        <v>921</v>
      </c>
      <c r="W3" s="40" t="s">
        <v>921</v>
      </c>
      <c r="X3" s="40" t="s">
        <v>921</v>
      </c>
      <c r="Y3" s="40" t="s">
        <v>921</v>
      </c>
      <c r="Z3" s="40" t="s">
        <v>923</v>
      </c>
      <c r="AA3" s="40" t="s">
        <v>923</v>
      </c>
      <c r="AB3" s="40" t="s">
        <v>923</v>
      </c>
      <c r="AC3" s="40" t="s">
        <v>923</v>
      </c>
      <c r="AD3" s="40" t="s">
        <v>923</v>
      </c>
      <c r="AE3" s="40" t="s">
        <v>923</v>
      </c>
      <c r="AF3" s="40" t="s">
        <v>923</v>
      </c>
      <c r="AG3" s="40" t="s">
        <v>923</v>
      </c>
      <c r="AH3" s="40" t="s">
        <v>923</v>
      </c>
      <c r="AI3" s="40" t="s">
        <v>923</v>
      </c>
      <c r="AJ3" s="40"/>
      <c r="AK3" s="40"/>
    </row>
    <row r="4">
      <c r="A4" s="1">
        <v>2008.0</v>
      </c>
      <c r="B4" s="37">
        <v>1.20006E11</v>
      </c>
      <c r="C4" s="37">
        <v>1.8384653631E10</v>
      </c>
      <c r="D4" s="37">
        <v>2.1397587962E10</v>
      </c>
      <c r="E4" s="39">
        <f t="shared" si="1"/>
        <v>112300458407</v>
      </c>
      <c r="F4" s="37">
        <v>2.720887E11</v>
      </c>
      <c r="H4" s="38">
        <f t="shared" si="2"/>
        <v>0.4410547002</v>
      </c>
      <c r="I4" s="38">
        <f t="shared" si="3"/>
        <v>0.06756860403</v>
      </c>
      <c r="J4" s="38">
        <f t="shared" si="4"/>
        <v>0.07864195743</v>
      </c>
      <c r="K4" s="38">
        <f t="shared" si="5"/>
        <v>0.4127347384</v>
      </c>
      <c r="L4" s="1">
        <v>2008.0</v>
      </c>
      <c r="O4" s="40" t="s">
        <v>928</v>
      </c>
      <c r="P4" s="42" t="s">
        <v>929</v>
      </c>
      <c r="Q4" s="40" t="s">
        <v>931</v>
      </c>
      <c r="R4" s="40" t="s">
        <v>932</v>
      </c>
      <c r="S4" s="40" t="s">
        <v>932</v>
      </c>
      <c r="T4" s="40" t="s">
        <v>933</v>
      </c>
      <c r="U4" s="40" t="s">
        <v>933</v>
      </c>
      <c r="V4" s="40" t="s">
        <v>933</v>
      </c>
      <c r="W4" s="40" t="s">
        <v>933</v>
      </c>
      <c r="X4" s="40" t="s">
        <v>933</v>
      </c>
      <c r="Y4" s="40" t="s">
        <v>933</v>
      </c>
      <c r="Z4" s="40" t="s">
        <v>933</v>
      </c>
      <c r="AA4" s="40" t="s">
        <v>934</v>
      </c>
      <c r="AB4" s="40" t="s">
        <v>935</v>
      </c>
      <c r="AC4" s="40" t="s">
        <v>935</v>
      </c>
      <c r="AD4" s="40" t="s">
        <v>935</v>
      </c>
      <c r="AE4" s="40" t="s">
        <v>935</v>
      </c>
      <c r="AF4" s="40" t="s">
        <v>935</v>
      </c>
      <c r="AG4" s="40" t="s">
        <v>935</v>
      </c>
      <c r="AH4" s="40" t="s">
        <v>935</v>
      </c>
      <c r="AI4" s="40" t="s">
        <v>935</v>
      </c>
      <c r="AJ4" s="40"/>
      <c r="AK4" s="40"/>
    </row>
    <row r="5">
      <c r="A5" s="1">
        <v>2009.0</v>
      </c>
      <c r="B5" s="37">
        <v>1.28239E11</v>
      </c>
      <c r="C5" s="37">
        <v>2.0036006492E10</v>
      </c>
      <c r="D5" s="37">
        <v>1.7133963887E10</v>
      </c>
      <c r="E5" s="39">
        <f t="shared" si="1"/>
        <v>133591029621</v>
      </c>
      <c r="F5" s="37">
        <v>2.99E11</v>
      </c>
      <c r="H5" s="38">
        <f t="shared" si="2"/>
        <v>0.4288929766</v>
      </c>
      <c r="I5" s="38">
        <f t="shared" si="3"/>
        <v>0.06701005516</v>
      </c>
      <c r="J5" s="38">
        <f t="shared" si="4"/>
        <v>0.05730422705</v>
      </c>
      <c r="K5" s="38">
        <f t="shared" si="5"/>
        <v>0.4467927412</v>
      </c>
      <c r="L5" s="1">
        <v>2009.0</v>
      </c>
      <c r="O5" s="40" t="s">
        <v>938</v>
      </c>
      <c r="P5" s="42" t="s">
        <v>939</v>
      </c>
      <c r="Q5" s="40" t="s">
        <v>938</v>
      </c>
      <c r="R5" s="41" t="s">
        <v>938</v>
      </c>
      <c r="S5" s="41" t="s">
        <v>938</v>
      </c>
      <c r="T5" s="41" t="s">
        <v>940</v>
      </c>
      <c r="U5" s="41" t="s">
        <v>940</v>
      </c>
      <c r="V5" s="41" t="s">
        <v>940</v>
      </c>
      <c r="W5" s="41" t="s">
        <v>940</v>
      </c>
      <c r="X5" s="41" t="s">
        <v>940</v>
      </c>
      <c r="Y5" s="41" t="s">
        <v>940</v>
      </c>
      <c r="Z5" s="41" t="s">
        <v>940</v>
      </c>
      <c r="AA5" s="41" t="s">
        <v>940</v>
      </c>
      <c r="AB5" s="41" t="s">
        <v>940</v>
      </c>
      <c r="AC5" s="41" t="s">
        <v>940</v>
      </c>
      <c r="AD5" s="41" t="s">
        <v>940</v>
      </c>
      <c r="AE5" s="41" t="s">
        <v>940</v>
      </c>
      <c r="AF5" s="41" t="s">
        <v>940</v>
      </c>
      <c r="AG5" s="41" t="s">
        <v>940</v>
      </c>
      <c r="AH5" s="41" t="s">
        <v>940</v>
      </c>
      <c r="AI5" s="41" t="s">
        <v>940</v>
      </c>
      <c r="AJ5" s="41"/>
      <c r="AK5" s="41"/>
    </row>
    <row r="6">
      <c r="A6" s="1">
        <v>2010.0</v>
      </c>
      <c r="B6" s="37">
        <v>1.501696E11</v>
      </c>
      <c r="C6" s="37">
        <v>1.9039959465E10</v>
      </c>
      <c r="D6" s="37">
        <v>2.8793233928E10</v>
      </c>
      <c r="E6" s="39">
        <f t="shared" si="1"/>
        <v>122376806607</v>
      </c>
      <c r="F6" s="37">
        <v>3.203796E11</v>
      </c>
      <c r="H6" s="38">
        <f t="shared" si="2"/>
        <v>0.4687239762</v>
      </c>
      <c r="I6" s="38">
        <f t="shared" si="3"/>
        <v>0.05942937523</v>
      </c>
      <c r="J6" s="38">
        <f t="shared" si="4"/>
        <v>0.08987224507</v>
      </c>
      <c r="K6" s="38">
        <f t="shared" si="5"/>
        <v>0.3819744035</v>
      </c>
      <c r="L6" s="1">
        <v>2010.0</v>
      </c>
      <c r="O6" s="43"/>
      <c r="P6" s="40" t="s">
        <v>932</v>
      </c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</row>
    <row r="7">
      <c r="A7" s="1">
        <v>2011.0</v>
      </c>
      <c r="B7" s="37">
        <v>1.56595482213E11</v>
      </c>
      <c r="C7" s="37">
        <v>2.2331440431E10</v>
      </c>
      <c r="D7" s="37">
        <v>2.8495598597E10</v>
      </c>
      <c r="E7" s="39">
        <f t="shared" si="1"/>
        <v>130817478759</v>
      </c>
      <c r="F7" s="37">
        <v>3.3824E11</v>
      </c>
      <c r="H7" s="38">
        <f t="shared" si="2"/>
        <v>0.4629715061</v>
      </c>
      <c r="I7" s="38">
        <f t="shared" si="3"/>
        <v>0.06602247053</v>
      </c>
      <c r="J7" s="38">
        <f t="shared" si="4"/>
        <v>0.08424668459</v>
      </c>
      <c r="K7" s="38">
        <f t="shared" si="5"/>
        <v>0.3867593388</v>
      </c>
      <c r="L7" s="1">
        <v>2011.0</v>
      </c>
      <c r="O7" s="43"/>
      <c r="P7" s="40" t="s">
        <v>938</v>
      </c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</row>
    <row r="8">
      <c r="A8" s="1">
        <v>2012.0</v>
      </c>
      <c r="B8" s="37">
        <v>1.95409236291E11</v>
      </c>
      <c r="C8" s="37">
        <v>2.2747648105E10</v>
      </c>
      <c r="D8" s="37">
        <v>3.8531840898E10</v>
      </c>
      <c r="E8" s="39">
        <f t="shared" si="1"/>
        <v>137803972688</v>
      </c>
      <c r="F8" s="37">
        <v>3.94492697982E11</v>
      </c>
      <c r="H8" s="38">
        <f t="shared" si="2"/>
        <v>0.4953431009</v>
      </c>
      <c r="I8" s="38">
        <f t="shared" si="3"/>
        <v>0.0576630397</v>
      </c>
      <c r="J8" s="38">
        <f t="shared" si="4"/>
        <v>0.09767440841</v>
      </c>
      <c r="K8" s="38">
        <f t="shared" si="5"/>
        <v>0.349319451</v>
      </c>
      <c r="L8" s="1">
        <v>2012.0</v>
      </c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</row>
    <row r="9">
      <c r="A9" s="1">
        <v>2013.0</v>
      </c>
      <c r="B9" s="37">
        <v>2.07486407731E11</v>
      </c>
      <c r="C9" s="37">
        <v>2.3543075809E10</v>
      </c>
      <c r="D9" s="37">
        <v>4.3358645257E10</v>
      </c>
      <c r="E9" s="39">
        <f t="shared" si="1"/>
        <v>147177038412</v>
      </c>
      <c r="F9" s="37">
        <v>4.21565167209E11</v>
      </c>
      <c r="H9" s="38">
        <f t="shared" si="2"/>
        <v>0.4921811</v>
      </c>
      <c r="I9" s="38">
        <f t="shared" si="3"/>
        <v>0.05584682426</v>
      </c>
      <c r="J9" s="38">
        <f t="shared" si="4"/>
        <v>0.1028515841</v>
      </c>
      <c r="K9" s="38">
        <f t="shared" si="5"/>
        <v>0.3491204916</v>
      </c>
      <c r="L9" s="1">
        <v>2013.0</v>
      </c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</row>
    <row r="10">
      <c r="A10" s="1">
        <v>2014.0</v>
      </c>
      <c r="B10" s="37">
        <v>2.47184587E11</v>
      </c>
      <c r="C10" s="37">
        <v>2.6179969205E10</v>
      </c>
      <c r="D10" s="37">
        <v>4.6238401106E10</v>
      </c>
      <c r="E10" s="39">
        <f t="shared" si="1"/>
        <v>157358038778</v>
      </c>
      <c r="F10" s="37">
        <v>4.76960996089E11</v>
      </c>
      <c r="H10" s="38">
        <f t="shared" si="2"/>
        <v>0.5182490582</v>
      </c>
      <c r="I10" s="38">
        <f t="shared" si="3"/>
        <v>0.0548891197</v>
      </c>
      <c r="J10" s="38">
        <f t="shared" si="4"/>
        <v>0.09694377839</v>
      </c>
      <c r="K10" s="38">
        <f t="shared" si="5"/>
        <v>0.3299180438</v>
      </c>
      <c r="L10" s="1">
        <v>2014.0</v>
      </c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</row>
    <row r="11">
      <c r="A11" s="1">
        <v>2015.0</v>
      </c>
      <c r="B11" s="37">
        <v>2.52716047134E11</v>
      </c>
      <c r="C11" s="37">
        <v>2.843602692E10</v>
      </c>
      <c r="D11" s="37">
        <v>4.7038586346E10</v>
      </c>
      <c r="E11" s="39">
        <f t="shared" si="1"/>
        <v>169504657714</v>
      </c>
      <c r="F11" s="37">
        <v>4.97695318114E11</v>
      </c>
      <c r="H11" s="38">
        <f t="shared" si="2"/>
        <v>0.5077726029</v>
      </c>
      <c r="I11" s="38">
        <f t="shared" si="3"/>
        <v>0.05713541174</v>
      </c>
      <c r="J11" s="38">
        <f t="shared" si="4"/>
        <v>0.09451281665</v>
      </c>
      <c r="K11" s="38">
        <f t="shared" si="5"/>
        <v>0.3405791687</v>
      </c>
      <c r="L11" s="1">
        <v>2015.0</v>
      </c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</row>
    <row r="12">
      <c r="A12" s="1">
        <v>2016.0</v>
      </c>
      <c r="B12" s="37">
        <v>2.87397660593E11</v>
      </c>
      <c r="C12" s="37">
        <v>2.8643144326E10</v>
      </c>
      <c r="D12" s="37">
        <v>5.099061518E10</v>
      </c>
      <c r="E12" s="39">
        <f t="shared" si="1"/>
        <v>177289614691</v>
      </c>
      <c r="F12" s="37">
        <v>5.4432103479E11</v>
      </c>
      <c r="H12" s="38">
        <f t="shared" si="2"/>
        <v>0.5279929347</v>
      </c>
      <c r="I12" s="38">
        <f t="shared" si="3"/>
        <v>0.05262178475</v>
      </c>
      <c r="J12" s="38">
        <f t="shared" si="4"/>
        <v>0.09367746591</v>
      </c>
      <c r="K12" s="38">
        <f t="shared" si="5"/>
        <v>0.3257078146</v>
      </c>
      <c r="L12" s="1">
        <v>2016.0</v>
      </c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</row>
    <row r="13">
      <c r="A13" s="1">
        <v>2017.0</v>
      </c>
      <c r="B13" s="37">
        <v>3.49333945165E11</v>
      </c>
      <c r="C13" s="37">
        <v>3.2962672566E10</v>
      </c>
      <c r="D13" s="37">
        <v>5.0683678564E10</v>
      </c>
      <c r="E13" s="39">
        <f t="shared" si="1"/>
        <v>189702267162</v>
      </c>
      <c r="F13" s="37">
        <v>6.22682563457E11</v>
      </c>
      <c r="H13" s="38">
        <f t="shared" si="2"/>
        <v>0.5610144971</v>
      </c>
      <c r="I13" s="38">
        <f t="shared" si="3"/>
        <v>0.05293655949</v>
      </c>
      <c r="J13" s="38">
        <f t="shared" si="4"/>
        <v>0.08139569267</v>
      </c>
      <c r="K13" s="38">
        <f t="shared" si="5"/>
        <v>0.3046532508</v>
      </c>
      <c r="L13" s="1">
        <v>2017.0</v>
      </c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</row>
    <row r="14">
      <c r="A14" s="1">
        <v>2018.0</v>
      </c>
      <c r="B14" s="37">
        <v>3.8582000467E11</v>
      </c>
      <c r="C14" s="37">
        <v>3.4267140881E10</v>
      </c>
      <c r="D14" s="37">
        <v>5.2394566632E10</v>
      </c>
      <c r="E14" s="39">
        <f t="shared" si="1"/>
        <v>206802569741</v>
      </c>
      <c r="F14" s="37">
        <v>6.79284281924E11</v>
      </c>
      <c r="H14" s="38">
        <f t="shared" si="2"/>
        <v>0.567980174</v>
      </c>
      <c r="I14" s="38">
        <f t="shared" si="3"/>
        <v>0.05044594994</v>
      </c>
      <c r="J14" s="38">
        <f t="shared" si="4"/>
        <v>0.07713201678</v>
      </c>
      <c r="K14" s="38">
        <f t="shared" si="5"/>
        <v>0.3044418592</v>
      </c>
      <c r="L14" s="1">
        <v>2018.0</v>
      </c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</row>
    <row r="15">
      <c r="A15" s="1">
        <v>2019.0</v>
      </c>
      <c r="B15" s="37">
        <v>4.32941162874E11</v>
      </c>
      <c r="C15" s="37">
        <v>3.4286920961E10</v>
      </c>
      <c r="D15" s="37">
        <v>4.0190244462E10</v>
      </c>
      <c r="E15" s="39">
        <f t="shared" si="1"/>
        <v>239320567385</v>
      </c>
      <c r="F15" s="37">
        <v>7.46738895682E11</v>
      </c>
      <c r="H15" s="38">
        <f t="shared" si="2"/>
        <v>0.5797758298</v>
      </c>
      <c r="I15" s="38">
        <f t="shared" si="3"/>
        <v>0.04591554178</v>
      </c>
      <c r="J15" s="38">
        <f t="shared" si="4"/>
        <v>0.05382101387</v>
      </c>
      <c r="K15" s="38">
        <f t="shared" si="5"/>
        <v>0.3204876146</v>
      </c>
      <c r="L15" s="1">
        <v>2019.0</v>
      </c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</row>
    <row r="16">
      <c r="A16" s="1">
        <v>2020.0</v>
      </c>
      <c r="B16" s="37">
        <v>4.88616742588E11</v>
      </c>
      <c r="C16" s="37">
        <v>3.8699113633E10</v>
      </c>
      <c r="D16" s="37">
        <v>4.3985457597E10</v>
      </c>
      <c r="E16" s="39">
        <f t="shared" si="1"/>
        <v>253761568462</v>
      </c>
      <c r="F16" s="37">
        <v>8.2506288228E11</v>
      </c>
      <c r="H16" s="38">
        <f t="shared" si="2"/>
        <v>0.5922175789</v>
      </c>
      <c r="I16" s="38">
        <f t="shared" si="3"/>
        <v>0.04690444142</v>
      </c>
      <c r="J16" s="38">
        <f t="shared" si="4"/>
        <v>0.05331164271</v>
      </c>
      <c r="K16" s="38">
        <f t="shared" si="5"/>
        <v>0.307566337</v>
      </c>
      <c r="L16" s="1">
        <v>2020.0</v>
      </c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</row>
    <row r="17">
      <c r="A17" s="1">
        <v>2021.0</v>
      </c>
      <c r="B17" s="37">
        <v>5.58684069512E11</v>
      </c>
      <c r="C17" s="37">
        <v>4.1346515605E10</v>
      </c>
      <c r="D17" s="37">
        <v>4.4670810477E10</v>
      </c>
      <c r="E17" s="39">
        <f t="shared" si="1"/>
        <v>256985714558</v>
      </c>
      <c r="F17" s="37">
        <v>9.01687110152E11</v>
      </c>
      <c r="H17" s="38">
        <f t="shared" si="2"/>
        <v>0.6195985983</v>
      </c>
      <c r="I17" s="38">
        <f t="shared" si="3"/>
        <v>0.04585461535</v>
      </c>
      <c r="J17" s="38">
        <f t="shared" si="4"/>
        <v>0.04954136526</v>
      </c>
      <c r="K17" s="38">
        <f t="shared" si="5"/>
        <v>0.2850054211</v>
      </c>
      <c r="L17" s="1">
        <v>2021.0</v>
      </c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</row>
    <row r="18">
      <c r="A18" s="1">
        <v>2022.0</v>
      </c>
      <c r="B18" s="37">
        <v>6.36461807768E11</v>
      </c>
      <c r="C18" s="37">
        <v>4.4723519339E10</v>
      </c>
      <c r="D18" s="37">
        <v>5.0617452584E10</v>
      </c>
      <c r="E18" s="39">
        <f t="shared" si="1"/>
        <v>279037985418</v>
      </c>
      <c r="F18" s="37">
        <v>1.010840765109E12</v>
      </c>
      <c r="H18" s="38">
        <f t="shared" si="2"/>
        <v>0.629636071</v>
      </c>
      <c r="I18" s="38">
        <f t="shared" si="3"/>
        <v>0.04424388181</v>
      </c>
      <c r="J18" s="38">
        <f t="shared" si="4"/>
        <v>0.05007460555</v>
      </c>
      <c r="K18" s="38">
        <f t="shared" si="5"/>
        <v>0.2760454416</v>
      </c>
      <c r="L18" s="1">
        <v>2022.0</v>
      </c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</row>
    <row r="19">
      <c r="A19" s="1">
        <v>2023.0</v>
      </c>
      <c r="B19" s="37">
        <v>7.50252137754E11</v>
      </c>
      <c r="C19" s="37">
        <v>5.4455309839E10</v>
      </c>
      <c r="D19" s="37">
        <v>5.3174881759E10</v>
      </c>
      <c r="E19" s="39">
        <f t="shared" si="1"/>
        <v>307816469723</v>
      </c>
      <c r="F19" s="37">
        <v>1.165698799075E12</v>
      </c>
      <c r="H19" s="38">
        <f t="shared" si="2"/>
        <v>0.643607198</v>
      </c>
      <c r="I19" s="38">
        <f t="shared" si="3"/>
        <v>0.04671473444</v>
      </c>
      <c r="J19" s="38">
        <f t="shared" si="4"/>
        <v>0.04561631341</v>
      </c>
      <c r="K19" s="38">
        <f t="shared" si="5"/>
        <v>0.2640617542</v>
      </c>
      <c r="L19" s="1">
        <v>2023.0</v>
      </c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</row>
    <row r="20">
      <c r="A20" s="1">
        <v>2024.0</v>
      </c>
      <c r="B20" s="37">
        <v>8.70981734669E11</v>
      </c>
      <c r="C20" s="37">
        <v>5.4367092295E10</v>
      </c>
      <c r="D20" s="37">
        <v>7.1111131109E10</v>
      </c>
      <c r="E20" s="39">
        <f t="shared" si="1"/>
        <v>349490759322</v>
      </c>
      <c r="F20" s="37">
        <v>1.345950717395E12</v>
      </c>
      <c r="H20" s="38">
        <f t="shared" si="2"/>
        <v>0.6471126494</v>
      </c>
      <c r="I20" s="38">
        <f t="shared" si="3"/>
        <v>0.04039307799</v>
      </c>
      <c r="J20" s="38">
        <f t="shared" si="4"/>
        <v>0.05283338401</v>
      </c>
      <c r="K20" s="38">
        <f t="shared" si="5"/>
        <v>0.2596608886</v>
      </c>
      <c r="L20" s="1">
        <v>2024.0</v>
      </c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</row>
    <row r="21">
      <c r="A21" s="1">
        <v>2025.0</v>
      </c>
      <c r="B21" s="37">
        <v>9.66726262414E11</v>
      </c>
      <c r="C21" s="37">
        <v>4.1355949428E10</v>
      </c>
      <c r="D21" s="37">
        <v>8.2300917912E10</v>
      </c>
      <c r="E21" s="39">
        <f t="shared" si="1"/>
        <v>379027250140</v>
      </c>
      <c r="F21" s="37">
        <v>1.469410379894E12</v>
      </c>
      <c r="H21" s="38">
        <f t="shared" si="2"/>
        <v>0.6579007986</v>
      </c>
      <c r="I21" s="38">
        <f t="shared" si="3"/>
        <v>0.02814458778</v>
      </c>
      <c r="J21" s="38">
        <f t="shared" si="4"/>
        <v>0.05600948451</v>
      </c>
      <c r="K21" s="38">
        <f t="shared" si="5"/>
        <v>0.2579451291</v>
      </c>
      <c r="L21" s="1">
        <v>2025.0</v>
      </c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</row>
    <row r="22">
      <c r="A22" s="1">
        <v>2026.0</v>
      </c>
      <c r="B22" s="37">
        <v>1.010525177522E12</v>
      </c>
      <c r="C22" s="37">
        <v>6.4468231932E10</v>
      </c>
      <c r="D22" s="37">
        <v>1.00582212074E11</v>
      </c>
      <c r="E22" s="39">
        <f t="shared" si="1"/>
        <v>414733075095</v>
      </c>
      <c r="F22" s="37">
        <v>1.590308696623E12</v>
      </c>
      <c r="H22" s="38">
        <f t="shared" si="2"/>
        <v>0.6354270587</v>
      </c>
      <c r="I22" s="38">
        <f t="shared" si="3"/>
        <v>0.04053818738</v>
      </c>
      <c r="J22" s="38">
        <f t="shared" si="4"/>
        <v>0.06324697355</v>
      </c>
      <c r="K22" s="38">
        <f t="shared" si="5"/>
        <v>0.2607877804</v>
      </c>
      <c r="L22" s="1">
        <v>2026.0</v>
      </c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</row>
    <row r="23">
      <c r="A23" s="1">
        <v>2027.0</v>
      </c>
      <c r="B23" s="37">
        <v>1.13622801587E12</v>
      </c>
      <c r="C23" s="37">
        <v>5.2031348916E10</v>
      </c>
      <c r="D23" s="37">
        <v>1.00393857053E11</v>
      </c>
      <c r="E23" s="37">
        <v>4.53471292673E11</v>
      </c>
      <c r="F23" s="39">
        <f>SUM(B23:E23)</f>
        <v>1742124514512</v>
      </c>
      <c r="H23" s="38">
        <f t="shared" si="2"/>
        <v>0.6522082701</v>
      </c>
      <c r="I23" s="38">
        <f t="shared" si="3"/>
        <v>0.0298666074</v>
      </c>
      <c r="J23" s="38">
        <f t="shared" si="4"/>
        <v>0.05762725696</v>
      </c>
      <c r="K23" s="38">
        <f t="shared" si="5"/>
        <v>0.2602978656</v>
      </c>
      <c r="L23" s="1">
        <v>2027.0</v>
      </c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</row>
    <row r="24">
      <c r="C24" s="37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</row>
    <row r="25"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</row>
    <row r="26"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</row>
    <row r="27">
      <c r="E27" s="1" t="s">
        <v>989</v>
      </c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</row>
    <row r="28">
      <c r="D28" s="1" t="s">
        <v>991</v>
      </c>
      <c r="E28" s="38">
        <f>((F23-F22)/F22)</f>
        <v>0.09546311242</v>
      </c>
      <c r="F28" s="38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</row>
    <row r="29">
      <c r="D29" s="1" t="s">
        <v>750</v>
      </c>
      <c r="E29" s="38">
        <f>((B23-B22)/B22)</f>
        <v>0.1243935739</v>
      </c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</row>
    <row r="30"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</row>
    <row r="31"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</row>
    <row r="32"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</row>
    <row r="33"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</row>
    <row r="34"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</row>
    <row r="35"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</row>
    <row r="36"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</row>
    <row r="37"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</row>
    <row r="38"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</row>
    <row r="39"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</row>
    <row r="40"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</row>
    <row r="41"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</row>
    <row r="42"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</row>
    <row r="43"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</row>
    <row r="44"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</row>
    <row r="45"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</row>
    <row r="46"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</row>
    <row r="47"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</row>
    <row r="48"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</row>
    <row r="49"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</row>
    <row r="50"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</row>
    <row r="51"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</row>
    <row r="52"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</row>
    <row r="53"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</row>
    <row r="54"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</row>
    <row r="55"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</row>
    <row r="56"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</row>
    <row r="57"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</row>
    <row r="58"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</row>
    <row r="59"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</row>
    <row r="60"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</row>
    <row r="61"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</row>
    <row r="62"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</row>
    <row r="63"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</row>
    <row r="64"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</row>
    <row r="65"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</row>
    <row r="66"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</row>
    <row r="67"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</row>
    <row r="68"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</row>
    <row r="69"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</row>
    <row r="70"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</row>
    <row r="71"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</row>
    <row r="72"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</row>
    <row r="73"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</row>
    <row r="74"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</row>
    <row r="75"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</row>
    <row r="76"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</row>
    <row r="77"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</row>
    <row r="78"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</row>
    <row r="79"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</row>
    <row r="80"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</row>
    <row r="81"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</row>
    <row r="82"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</row>
    <row r="83"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</row>
    <row r="84"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</row>
    <row r="85"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</row>
    <row r="86"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</row>
    <row r="87"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</row>
    <row r="88"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</row>
    <row r="89"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</row>
    <row r="90"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</row>
    <row r="91"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</row>
    <row r="92"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</row>
    <row r="93"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</row>
    <row r="94"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</row>
    <row r="95"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</row>
    <row r="96"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</row>
    <row r="97"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</row>
    <row r="98"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</row>
    <row r="99"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</row>
    <row r="100"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</row>
    <row r="101"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  <c r="AG101" s="43"/>
      <c r="AH101" s="43"/>
      <c r="AI101" s="43"/>
      <c r="AJ101" s="43"/>
      <c r="AK101" s="43"/>
    </row>
    <row r="102"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3"/>
      <c r="AF102" s="43"/>
      <c r="AG102" s="43"/>
      <c r="AH102" s="43"/>
      <c r="AI102" s="43"/>
      <c r="AJ102" s="43"/>
      <c r="AK102" s="43"/>
    </row>
    <row r="103"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</row>
    <row r="104"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</row>
    <row r="105"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</row>
    <row r="106"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</row>
    <row r="107"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</row>
    <row r="108"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</row>
    <row r="109"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43"/>
      <c r="AK109" s="43"/>
    </row>
    <row r="110"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43"/>
      <c r="AK110" s="43"/>
    </row>
    <row r="111"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</row>
    <row r="112"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</row>
    <row r="113"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</row>
    <row r="114"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</row>
    <row r="115"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</row>
    <row r="116"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</row>
    <row r="117"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</row>
    <row r="118"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</row>
    <row r="119"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43"/>
      <c r="AK119" s="43"/>
    </row>
    <row r="120"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</row>
    <row r="121"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</row>
    <row r="122"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</row>
    <row r="123"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</row>
    <row r="124"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</row>
    <row r="125"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</row>
    <row r="126"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</row>
    <row r="127"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</row>
    <row r="128"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</row>
    <row r="129"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</row>
    <row r="130"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</row>
    <row r="131"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</row>
    <row r="132"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</row>
    <row r="133"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</row>
    <row r="134"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</row>
    <row r="135"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</row>
    <row r="136"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</row>
    <row r="137"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</row>
    <row r="138"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</row>
    <row r="139"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</row>
    <row r="140"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</row>
    <row r="141"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</row>
    <row r="142"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</row>
    <row r="143"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</row>
    <row r="144"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</row>
    <row r="145"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</row>
    <row r="146"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</row>
    <row r="147"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</row>
    <row r="148"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</row>
    <row r="149"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</row>
    <row r="150"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</row>
    <row r="151"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</row>
    <row r="152"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</row>
    <row r="153"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</row>
    <row r="154"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</row>
    <row r="155"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</row>
    <row r="156"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</row>
    <row r="157"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</row>
    <row r="158"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</row>
    <row r="159"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</row>
    <row r="160"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</row>
    <row r="161"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</row>
    <row r="162"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</row>
    <row r="163"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</row>
    <row r="164"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</row>
    <row r="165"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</row>
    <row r="166"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</row>
    <row r="167"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</row>
    <row r="168"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  <c r="AE168" s="43"/>
      <c r="AF168" s="43"/>
      <c r="AG168" s="43"/>
      <c r="AH168" s="43"/>
      <c r="AI168" s="43"/>
      <c r="AJ168" s="43"/>
      <c r="AK168" s="43"/>
    </row>
    <row r="169"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  <c r="AB169" s="43"/>
      <c r="AC169" s="43"/>
      <c r="AD169" s="43"/>
      <c r="AE169" s="43"/>
      <c r="AF169" s="43"/>
      <c r="AG169" s="43"/>
      <c r="AH169" s="43"/>
      <c r="AI169" s="43"/>
      <c r="AJ169" s="43"/>
      <c r="AK169" s="43"/>
    </row>
    <row r="170"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3"/>
      <c r="AF170" s="43"/>
      <c r="AG170" s="43"/>
      <c r="AH170" s="43"/>
      <c r="AI170" s="43"/>
      <c r="AJ170" s="43"/>
      <c r="AK170" s="43"/>
    </row>
    <row r="171"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I171" s="43"/>
      <c r="AJ171" s="43"/>
      <c r="AK171" s="43"/>
    </row>
    <row r="172"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</row>
    <row r="173"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</row>
    <row r="174"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</row>
    <row r="175"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</row>
    <row r="176"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</row>
    <row r="177"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</row>
    <row r="178"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</row>
    <row r="179"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</row>
    <row r="180"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</row>
    <row r="181"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</row>
    <row r="182"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</row>
    <row r="183"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</row>
    <row r="184"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</row>
    <row r="185"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</row>
    <row r="186"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</row>
    <row r="187"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</row>
    <row r="188"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</row>
    <row r="189"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</row>
    <row r="190"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</row>
    <row r="191"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</row>
    <row r="192"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</row>
    <row r="193"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</row>
    <row r="194"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</row>
    <row r="195"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</row>
    <row r="196"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</row>
    <row r="197"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</row>
    <row r="198"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</row>
    <row r="199"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</row>
    <row r="200"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</row>
    <row r="201"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</row>
    <row r="202"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</row>
    <row r="203"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</row>
    <row r="204"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</row>
    <row r="205"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</row>
    <row r="206"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</row>
    <row r="207"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</row>
    <row r="208"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</row>
    <row r="209"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</row>
    <row r="210"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</row>
    <row r="211"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</row>
    <row r="212"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</row>
    <row r="213"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</row>
    <row r="214"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</row>
    <row r="215"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</row>
    <row r="216"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</row>
    <row r="217"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</row>
    <row r="218"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</row>
    <row r="219"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</row>
    <row r="220"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</row>
    <row r="221"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</row>
    <row r="222"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</row>
    <row r="223"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</row>
    <row r="224"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</row>
    <row r="225"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</row>
    <row r="226"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</row>
    <row r="227"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</row>
    <row r="228"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</row>
    <row r="229"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</row>
    <row r="230"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</row>
    <row r="231"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</row>
    <row r="232"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</row>
    <row r="233"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</row>
    <row r="234"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</row>
    <row r="235"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</row>
    <row r="236"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</row>
    <row r="237"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</row>
    <row r="238"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</row>
    <row r="239"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</row>
    <row r="240"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</row>
    <row r="241"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</row>
    <row r="242"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</row>
    <row r="243"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</row>
    <row r="244"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</row>
    <row r="245"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</row>
    <row r="246"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</row>
    <row r="247"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</row>
    <row r="248"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</row>
    <row r="249"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</row>
    <row r="250"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</row>
    <row r="251"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</row>
    <row r="252"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</row>
    <row r="253"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</row>
    <row r="254"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</row>
    <row r="255"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</row>
    <row r="256"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</row>
    <row r="257"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</row>
    <row r="258"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</row>
    <row r="259"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</row>
    <row r="260"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</row>
    <row r="261"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</row>
    <row r="262"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</row>
    <row r="263"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</row>
    <row r="264"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</row>
    <row r="265"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</row>
    <row r="266"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</row>
    <row r="267"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</row>
    <row r="268"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</row>
    <row r="269"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</row>
    <row r="270"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</row>
    <row r="271"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</row>
    <row r="272"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</row>
    <row r="273"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</row>
    <row r="274"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</row>
    <row r="275"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</row>
    <row r="276"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</row>
    <row r="277"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</row>
    <row r="278"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</row>
    <row r="279"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</row>
    <row r="280"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</row>
    <row r="281"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</row>
    <row r="282"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</row>
    <row r="283"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</row>
    <row r="284"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</row>
    <row r="285"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</row>
    <row r="286"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</row>
    <row r="287"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</row>
    <row r="288"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</row>
    <row r="289"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</row>
    <row r="290"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</row>
    <row r="291"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</row>
    <row r="292"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</row>
    <row r="293"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</row>
    <row r="294"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</row>
    <row r="295"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</row>
    <row r="296"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</row>
    <row r="297"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</row>
    <row r="298"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</row>
    <row r="299"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</row>
    <row r="300"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</row>
    <row r="301"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</row>
    <row r="302"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</row>
    <row r="303"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</row>
    <row r="304"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</row>
    <row r="305"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</row>
    <row r="306"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</row>
    <row r="307"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</row>
    <row r="308"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</row>
    <row r="309"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</row>
    <row r="310"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</row>
    <row r="311"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</row>
    <row r="312"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</row>
    <row r="313"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</row>
    <row r="314"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</row>
    <row r="315"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</row>
    <row r="316"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</row>
    <row r="317"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</row>
    <row r="318"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</row>
    <row r="319"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</row>
    <row r="320"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</row>
    <row r="321"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</row>
    <row r="322"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</row>
    <row r="323"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</row>
    <row r="324"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</row>
    <row r="325"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</row>
    <row r="326"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</row>
    <row r="327"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</row>
    <row r="328"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</row>
    <row r="329"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</row>
    <row r="330"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</row>
    <row r="331"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</row>
    <row r="332"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</row>
    <row r="333"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</row>
    <row r="334"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</row>
    <row r="335"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</row>
    <row r="336"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</row>
    <row r="337"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</row>
    <row r="338"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</row>
    <row r="339"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</row>
    <row r="340"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</row>
    <row r="341"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</row>
    <row r="342"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</row>
    <row r="343"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</row>
    <row r="344"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</row>
    <row r="345"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</row>
    <row r="346"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</row>
    <row r="347"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</row>
    <row r="348"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</row>
    <row r="349"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</row>
    <row r="350"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</row>
    <row r="351"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</row>
    <row r="352"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</row>
    <row r="353"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</row>
    <row r="354"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</row>
    <row r="355"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</row>
    <row r="356"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</row>
    <row r="357"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</row>
    <row r="358"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</row>
    <row r="359"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</row>
    <row r="360"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</row>
    <row r="361"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</row>
    <row r="362"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</row>
    <row r="363"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</row>
    <row r="364"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</row>
    <row r="365"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</row>
    <row r="366"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</row>
    <row r="367"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</row>
    <row r="368"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</row>
    <row r="369"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</row>
    <row r="370"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</row>
    <row r="371"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</row>
    <row r="372"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</row>
    <row r="373"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</row>
    <row r="374"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</row>
    <row r="375"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</row>
    <row r="376"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</row>
    <row r="377"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</row>
    <row r="378"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</row>
    <row r="379"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</row>
    <row r="380"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</row>
    <row r="381"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</row>
    <row r="382"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</row>
    <row r="383"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</row>
    <row r="384"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</row>
    <row r="385"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</row>
    <row r="386"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</row>
    <row r="387"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</row>
    <row r="388"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</row>
    <row r="389"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</row>
    <row r="390"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</row>
    <row r="391"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</row>
    <row r="392"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</row>
    <row r="393"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</row>
    <row r="394"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</row>
    <row r="395"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</row>
    <row r="396"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</row>
    <row r="397"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</row>
    <row r="398"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</row>
    <row r="399"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</row>
    <row r="400"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</row>
    <row r="401"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</row>
    <row r="402"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</row>
    <row r="403"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</row>
    <row r="404"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</row>
    <row r="405"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3"/>
      <c r="AI405" s="43"/>
      <c r="AJ405" s="43"/>
      <c r="AK405" s="43"/>
    </row>
    <row r="406"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3"/>
      <c r="AI406" s="43"/>
      <c r="AJ406" s="43"/>
      <c r="AK406" s="43"/>
    </row>
    <row r="407"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</row>
    <row r="408"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3"/>
      <c r="AI408" s="43"/>
      <c r="AJ408" s="43"/>
      <c r="AK408" s="43"/>
    </row>
    <row r="409"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3"/>
      <c r="AI409" s="43"/>
      <c r="AJ409" s="43"/>
      <c r="AK409" s="43"/>
    </row>
    <row r="410"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3"/>
      <c r="AI410" s="43"/>
      <c r="AJ410" s="43"/>
      <c r="AK410" s="43"/>
    </row>
    <row r="411"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</row>
    <row r="412"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</row>
    <row r="413"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3"/>
      <c r="AK413" s="43"/>
    </row>
    <row r="414"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3"/>
      <c r="AI414" s="43"/>
      <c r="AJ414" s="43"/>
      <c r="AK414" s="43"/>
    </row>
    <row r="415"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3"/>
      <c r="AI415" s="43"/>
      <c r="AJ415" s="43"/>
      <c r="AK415" s="43"/>
    </row>
    <row r="416"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3"/>
      <c r="AI416" s="43"/>
      <c r="AJ416" s="43"/>
      <c r="AK416" s="43"/>
    </row>
    <row r="417"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3"/>
      <c r="AI417" s="43"/>
      <c r="AJ417" s="43"/>
      <c r="AK417" s="43"/>
    </row>
    <row r="418"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3"/>
      <c r="AI418" s="43"/>
      <c r="AJ418" s="43"/>
      <c r="AK418" s="43"/>
    </row>
    <row r="419"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3"/>
      <c r="AI419" s="43"/>
      <c r="AJ419" s="43"/>
      <c r="AK419" s="43"/>
    </row>
    <row r="420"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3"/>
      <c r="AI420" s="43"/>
      <c r="AJ420" s="43"/>
      <c r="AK420" s="43"/>
    </row>
    <row r="421"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3"/>
      <c r="AI421" s="43"/>
      <c r="AJ421" s="43"/>
      <c r="AK421" s="43"/>
    </row>
    <row r="422"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3"/>
      <c r="AI422" s="43"/>
      <c r="AJ422" s="43"/>
      <c r="AK422" s="43"/>
    </row>
    <row r="423"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3"/>
      <c r="AI423" s="43"/>
      <c r="AJ423" s="43"/>
      <c r="AK423" s="43"/>
    </row>
    <row r="424"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</row>
    <row r="425"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</row>
    <row r="426"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3"/>
      <c r="AI426" s="43"/>
      <c r="AJ426" s="43"/>
      <c r="AK426" s="43"/>
    </row>
    <row r="427"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3"/>
      <c r="AI427" s="43"/>
      <c r="AJ427" s="43"/>
      <c r="AK427" s="43"/>
    </row>
    <row r="428"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3"/>
      <c r="AI428" s="43"/>
      <c r="AJ428" s="43"/>
      <c r="AK428" s="43"/>
    </row>
    <row r="429"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3"/>
      <c r="AI429" s="43"/>
      <c r="AJ429" s="43"/>
      <c r="AK429" s="43"/>
    </row>
    <row r="430"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3"/>
      <c r="AI430" s="43"/>
      <c r="AJ430" s="43"/>
      <c r="AK430" s="43"/>
    </row>
    <row r="431"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3"/>
      <c r="AI431" s="43"/>
      <c r="AJ431" s="43"/>
      <c r="AK431" s="43"/>
    </row>
    <row r="432"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3"/>
      <c r="AI432" s="43"/>
      <c r="AJ432" s="43"/>
      <c r="AK432" s="43"/>
    </row>
    <row r="433"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3"/>
      <c r="AI433" s="43"/>
      <c r="AJ433" s="43"/>
      <c r="AK433" s="43"/>
    </row>
    <row r="434"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3"/>
      <c r="AI434" s="43"/>
      <c r="AJ434" s="43"/>
      <c r="AK434" s="43"/>
    </row>
    <row r="435"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3"/>
      <c r="AI435" s="43"/>
      <c r="AJ435" s="43"/>
      <c r="AK435" s="43"/>
    </row>
    <row r="436"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3"/>
      <c r="AI436" s="43"/>
      <c r="AJ436" s="43"/>
      <c r="AK436" s="43"/>
    </row>
    <row r="437"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3"/>
      <c r="AI437" s="43"/>
      <c r="AJ437" s="43"/>
      <c r="AK437" s="43"/>
    </row>
    <row r="438"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3"/>
      <c r="AI438" s="43"/>
      <c r="AJ438" s="43"/>
      <c r="AK438" s="43"/>
    </row>
    <row r="439"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3"/>
      <c r="AI439" s="43"/>
      <c r="AJ439" s="43"/>
      <c r="AK439" s="43"/>
    </row>
    <row r="440"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3"/>
      <c r="AI440" s="43"/>
      <c r="AJ440" s="43"/>
      <c r="AK440" s="43"/>
    </row>
    <row r="441"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3"/>
      <c r="AI441" s="43"/>
      <c r="AJ441" s="43"/>
      <c r="AK441" s="43"/>
    </row>
    <row r="442"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3"/>
      <c r="AI442" s="43"/>
      <c r="AJ442" s="43"/>
      <c r="AK442" s="43"/>
    </row>
    <row r="443"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3"/>
      <c r="AI443" s="43"/>
      <c r="AJ443" s="43"/>
      <c r="AK443" s="43"/>
    </row>
    <row r="444"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3"/>
      <c r="AI444" s="43"/>
      <c r="AJ444" s="43"/>
      <c r="AK444" s="43"/>
    </row>
    <row r="445"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3"/>
      <c r="AI445" s="43"/>
      <c r="AJ445" s="43"/>
      <c r="AK445" s="43"/>
    </row>
    <row r="446"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</row>
    <row r="447"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</row>
    <row r="448"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3"/>
      <c r="AI448" s="43"/>
      <c r="AJ448" s="43"/>
      <c r="AK448" s="43"/>
    </row>
    <row r="449"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3"/>
      <c r="AI449" s="43"/>
      <c r="AJ449" s="43"/>
      <c r="AK449" s="43"/>
    </row>
    <row r="450"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3"/>
      <c r="AI450" s="43"/>
      <c r="AJ450" s="43"/>
      <c r="AK450" s="43"/>
    </row>
    <row r="451"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3"/>
      <c r="AI451" s="43"/>
      <c r="AJ451" s="43"/>
      <c r="AK451" s="43"/>
    </row>
    <row r="452"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3"/>
      <c r="AI452" s="43"/>
      <c r="AJ452" s="43"/>
      <c r="AK452" s="43"/>
    </row>
    <row r="453"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3"/>
      <c r="AI453" s="43"/>
      <c r="AJ453" s="43"/>
      <c r="AK453" s="43"/>
    </row>
    <row r="454"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3"/>
      <c r="AI454" s="43"/>
      <c r="AJ454" s="43"/>
      <c r="AK454" s="43"/>
    </row>
    <row r="455"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3"/>
      <c r="AI455" s="43"/>
      <c r="AJ455" s="43"/>
      <c r="AK455" s="43"/>
    </row>
    <row r="456"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3"/>
      <c r="AI456" s="43"/>
      <c r="AJ456" s="43"/>
      <c r="AK456" s="43"/>
    </row>
    <row r="457"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3"/>
      <c r="AI457" s="43"/>
      <c r="AJ457" s="43"/>
      <c r="AK457" s="43"/>
    </row>
    <row r="458"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3"/>
      <c r="AI458" s="43"/>
      <c r="AJ458" s="43"/>
      <c r="AK458" s="43"/>
    </row>
    <row r="459"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3"/>
      <c r="AI459" s="43"/>
      <c r="AJ459" s="43"/>
      <c r="AK459" s="43"/>
    </row>
    <row r="460"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3"/>
      <c r="AI460" s="43"/>
      <c r="AJ460" s="43"/>
      <c r="AK460" s="43"/>
    </row>
    <row r="461"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3"/>
      <c r="AI461" s="43"/>
      <c r="AJ461" s="43"/>
      <c r="AK461" s="43"/>
    </row>
    <row r="462"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3"/>
      <c r="AI462" s="43"/>
      <c r="AJ462" s="43"/>
      <c r="AK462" s="43"/>
    </row>
    <row r="463"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3"/>
      <c r="AI463" s="43"/>
      <c r="AJ463" s="43"/>
      <c r="AK463" s="43"/>
    </row>
    <row r="464"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3"/>
      <c r="AI464" s="43"/>
      <c r="AJ464" s="43"/>
      <c r="AK464" s="43"/>
    </row>
    <row r="465"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3"/>
      <c r="AI465" s="43"/>
      <c r="AJ465" s="43"/>
      <c r="AK465" s="43"/>
    </row>
    <row r="466"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3"/>
      <c r="AI466" s="43"/>
      <c r="AJ466" s="43"/>
      <c r="AK466" s="43"/>
    </row>
    <row r="467"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3"/>
      <c r="AI467" s="43"/>
      <c r="AJ467" s="43"/>
      <c r="AK467" s="43"/>
    </row>
    <row r="468"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</row>
    <row r="469"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</row>
    <row r="470"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3"/>
      <c r="AI470" s="43"/>
      <c r="AJ470" s="43"/>
      <c r="AK470" s="43"/>
    </row>
    <row r="471"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3"/>
      <c r="AI471" s="43"/>
      <c r="AJ471" s="43"/>
      <c r="AK471" s="43"/>
    </row>
    <row r="472"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3"/>
      <c r="AI472" s="43"/>
      <c r="AJ472" s="43"/>
      <c r="AK472" s="43"/>
    </row>
    <row r="473"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3"/>
      <c r="AI473" s="43"/>
      <c r="AJ473" s="43"/>
      <c r="AK473" s="43"/>
    </row>
    <row r="474"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3"/>
      <c r="AI474" s="43"/>
      <c r="AJ474" s="43"/>
      <c r="AK474" s="43"/>
    </row>
    <row r="475"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3"/>
      <c r="AI475" s="43"/>
      <c r="AJ475" s="43"/>
      <c r="AK475" s="43"/>
    </row>
    <row r="476"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  <c r="AH476" s="43"/>
      <c r="AI476" s="43"/>
      <c r="AJ476" s="43"/>
      <c r="AK476" s="43"/>
    </row>
    <row r="477"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  <c r="AH477" s="43"/>
      <c r="AI477" s="43"/>
      <c r="AJ477" s="43"/>
      <c r="AK477" s="43"/>
    </row>
    <row r="478"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  <c r="AH478" s="43"/>
      <c r="AI478" s="43"/>
      <c r="AJ478" s="43"/>
      <c r="AK478" s="43"/>
    </row>
    <row r="479"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3"/>
      <c r="AI479" s="43"/>
      <c r="AJ479" s="43"/>
      <c r="AK479" s="43"/>
    </row>
    <row r="480"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  <c r="AH480" s="43"/>
      <c r="AI480" s="43"/>
      <c r="AJ480" s="43"/>
      <c r="AK480" s="43"/>
    </row>
    <row r="481"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  <c r="AH481" s="43"/>
      <c r="AI481" s="43"/>
      <c r="AJ481" s="43"/>
      <c r="AK481" s="43"/>
    </row>
    <row r="482"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  <c r="AH482" s="43"/>
      <c r="AI482" s="43"/>
      <c r="AJ482" s="43"/>
      <c r="AK482" s="43"/>
    </row>
    <row r="483"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3"/>
      <c r="AI483" s="43"/>
      <c r="AJ483" s="43"/>
      <c r="AK483" s="43"/>
    </row>
    <row r="484"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3"/>
      <c r="AI484" s="43"/>
      <c r="AJ484" s="43"/>
      <c r="AK484" s="43"/>
    </row>
    <row r="485"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3"/>
      <c r="AI485" s="43"/>
      <c r="AJ485" s="43"/>
      <c r="AK485" s="43"/>
    </row>
    <row r="486"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3"/>
      <c r="AI486" s="43"/>
      <c r="AJ486" s="43"/>
      <c r="AK486" s="43"/>
    </row>
    <row r="487"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3"/>
      <c r="AI487" s="43"/>
      <c r="AJ487" s="43"/>
      <c r="AK487" s="43"/>
    </row>
    <row r="488"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3"/>
      <c r="AI488" s="43"/>
      <c r="AJ488" s="43"/>
      <c r="AK488" s="43"/>
    </row>
    <row r="489"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3"/>
      <c r="AF489" s="43"/>
      <c r="AG489" s="43"/>
      <c r="AH489" s="43"/>
      <c r="AI489" s="43"/>
      <c r="AJ489" s="43"/>
      <c r="AK489" s="43"/>
    </row>
    <row r="490"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3"/>
      <c r="AF490" s="43"/>
      <c r="AG490" s="43"/>
      <c r="AH490" s="43"/>
      <c r="AI490" s="43"/>
      <c r="AJ490" s="43"/>
      <c r="AK490" s="43"/>
    </row>
    <row r="491"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3"/>
      <c r="AF491" s="43"/>
      <c r="AG491" s="43"/>
      <c r="AH491" s="43"/>
      <c r="AI491" s="43"/>
      <c r="AJ491" s="43"/>
      <c r="AK491" s="43"/>
    </row>
    <row r="492"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3"/>
      <c r="AF492" s="43"/>
      <c r="AG492" s="43"/>
      <c r="AH492" s="43"/>
      <c r="AI492" s="43"/>
      <c r="AJ492" s="43"/>
      <c r="AK492" s="43"/>
    </row>
    <row r="493"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3"/>
      <c r="AF493" s="43"/>
      <c r="AG493" s="43"/>
      <c r="AH493" s="43"/>
      <c r="AI493" s="43"/>
      <c r="AJ493" s="43"/>
      <c r="AK493" s="43"/>
    </row>
    <row r="494"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3"/>
      <c r="AF494" s="43"/>
      <c r="AG494" s="43"/>
      <c r="AH494" s="43"/>
      <c r="AI494" s="43"/>
      <c r="AJ494" s="43"/>
      <c r="AK494" s="43"/>
    </row>
    <row r="495"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3"/>
      <c r="AF495" s="43"/>
      <c r="AG495" s="43"/>
      <c r="AH495" s="43"/>
      <c r="AI495" s="43"/>
      <c r="AJ495" s="43"/>
      <c r="AK495" s="43"/>
    </row>
    <row r="496"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3"/>
      <c r="AF496" s="43"/>
      <c r="AG496" s="43"/>
      <c r="AH496" s="43"/>
      <c r="AI496" s="43"/>
      <c r="AJ496" s="43"/>
      <c r="AK496" s="43"/>
    </row>
    <row r="497"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3"/>
      <c r="AF497" s="43"/>
      <c r="AG497" s="43"/>
      <c r="AH497" s="43"/>
      <c r="AI497" s="43"/>
      <c r="AJ497" s="43"/>
      <c r="AK497" s="43"/>
    </row>
    <row r="498"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3"/>
      <c r="AF498" s="43"/>
      <c r="AG498" s="43"/>
      <c r="AH498" s="43"/>
      <c r="AI498" s="43"/>
      <c r="AJ498" s="43"/>
      <c r="AK498" s="43"/>
    </row>
    <row r="499"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3"/>
      <c r="AF499" s="43"/>
      <c r="AG499" s="43"/>
      <c r="AH499" s="43"/>
      <c r="AI499" s="43"/>
      <c r="AJ499" s="43"/>
      <c r="AK499" s="43"/>
    </row>
    <row r="500"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3"/>
      <c r="AF500" s="43"/>
      <c r="AG500" s="43"/>
      <c r="AH500" s="43"/>
      <c r="AI500" s="43"/>
      <c r="AJ500" s="43"/>
      <c r="AK500" s="43"/>
    </row>
    <row r="501"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3"/>
      <c r="AF501" s="43"/>
      <c r="AG501" s="43"/>
      <c r="AH501" s="43"/>
      <c r="AI501" s="43"/>
      <c r="AJ501" s="43"/>
      <c r="AK501" s="43"/>
    </row>
    <row r="502"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3"/>
      <c r="AF502" s="43"/>
      <c r="AG502" s="43"/>
      <c r="AH502" s="43"/>
      <c r="AI502" s="43"/>
      <c r="AJ502" s="43"/>
      <c r="AK502" s="43"/>
    </row>
    <row r="503"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3"/>
      <c r="AF503" s="43"/>
      <c r="AG503" s="43"/>
      <c r="AH503" s="43"/>
      <c r="AI503" s="43"/>
      <c r="AJ503" s="43"/>
      <c r="AK503" s="43"/>
    </row>
    <row r="504"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3"/>
      <c r="AF504" s="43"/>
      <c r="AG504" s="43"/>
      <c r="AH504" s="43"/>
      <c r="AI504" s="43"/>
      <c r="AJ504" s="43"/>
      <c r="AK504" s="43"/>
    </row>
    <row r="505"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3"/>
      <c r="AF505" s="43"/>
      <c r="AG505" s="43"/>
      <c r="AH505" s="43"/>
      <c r="AI505" s="43"/>
      <c r="AJ505" s="43"/>
      <c r="AK505" s="43"/>
    </row>
    <row r="506"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3"/>
      <c r="AF506" s="43"/>
      <c r="AG506" s="43"/>
      <c r="AH506" s="43"/>
      <c r="AI506" s="43"/>
      <c r="AJ506" s="43"/>
      <c r="AK506" s="43"/>
    </row>
    <row r="507"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3"/>
      <c r="AF507" s="43"/>
      <c r="AG507" s="43"/>
      <c r="AH507" s="43"/>
      <c r="AI507" s="43"/>
      <c r="AJ507" s="43"/>
      <c r="AK507" s="43"/>
    </row>
    <row r="508"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3"/>
      <c r="AF508" s="43"/>
      <c r="AG508" s="43"/>
      <c r="AH508" s="43"/>
      <c r="AI508" s="43"/>
      <c r="AJ508" s="43"/>
      <c r="AK508" s="43"/>
    </row>
    <row r="509"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3"/>
      <c r="AF509" s="43"/>
      <c r="AG509" s="43"/>
      <c r="AH509" s="43"/>
      <c r="AI509" s="43"/>
      <c r="AJ509" s="43"/>
      <c r="AK509" s="43"/>
    </row>
    <row r="510"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3"/>
      <c r="AF510" s="43"/>
      <c r="AG510" s="43"/>
      <c r="AH510" s="43"/>
      <c r="AI510" s="43"/>
      <c r="AJ510" s="43"/>
      <c r="AK510" s="43"/>
    </row>
    <row r="511"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3"/>
      <c r="AF511" s="43"/>
      <c r="AG511" s="43"/>
      <c r="AH511" s="43"/>
      <c r="AI511" s="43"/>
      <c r="AJ511" s="43"/>
      <c r="AK511" s="43"/>
    </row>
    <row r="512"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3"/>
      <c r="AF512" s="43"/>
      <c r="AG512" s="43"/>
      <c r="AH512" s="43"/>
      <c r="AI512" s="43"/>
      <c r="AJ512" s="43"/>
      <c r="AK512" s="43"/>
    </row>
    <row r="513"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3"/>
      <c r="AF513" s="43"/>
      <c r="AG513" s="43"/>
      <c r="AH513" s="43"/>
      <c r="AI513" s="43"/>
      <c r="AJ513" s="43"/>
      <c r="AK513" s="43"/>
    </row>
    <row r="514"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3"/>
      <c r="AF514" s="43"/>
      <c r="AG514" s="43"/>
      <c r="AH514" s="43"/>
      <c r="AI514" s="43"/>
      <c r="AJ514" s="43"/>
      <c r="AK514" s="43"/>
    </row>
    <row r="515"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3"/>
      <c r="AF515" s="43"/>
      <c r="AG515" s="43"/>
      <c r="AH515" s="43"/>
      <c r="AI515" s="43"/>
      <c r="AJ515" s="43"/>
      <c r="AK515" s="43"/>
    </row>
    <row r="516"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3"/>
      <c r="AF516" s="43"/>
      <c r="AG516" s="43"/>
      <c r="AH516" s="43"/>
      <c r="AI516" s="43"/>
      <c r="AJ516" s="43"/>
      <c r="AK516" s="43"/>
    </row>
    <row r="517"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3"/>
      <c r="AF517" s="43"/>
      <c r="AG517" s="43"/>
      <c r="AH517" s="43"/>
      <c r="AI517" s="43"/>
      <c r="AJ517" s="43"/>
      <c r="AK517" s="43"/>
    </row>
    <row r="518"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3"/>
      <c r="AF518" s="43"/>
      <c r="AG518" s="43"/>
      <c r="AH518" s="43"/>
      <c r="AI518" s="43"/>
      <c r="AJ518" s="43"/>
      <c r="AK518" s="43"/>
    </row>
    <row r="519"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3"/>
      <c r="AF519" s="43"/>
      <c r="AG519" s="43"/>
      <c r="AH519" s="43"/>
      <c r="AI519" s="43"/>
      <c r="AJ519" s="43"/>
      <c r="AK519" s="43"/>
    </row>
    <row r="520"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3"/>
      <c r="AF520" s="43"/>
      <c r="AG520" s="43"/>
      <c r="AH520" s="43"/>
      <c r="AI520" s="43"/>
      <c r="AJ520" s="43"/>
      <c r="AK520" s="43"/>
    </row>
    <row r="521"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3"/>
      <c r="AF521" s="43"/>
      <c r="AG521" s="43"/>
      <c r="AH521" s="43"/>
      <c r="AI521" s="43"/>
      <c r="AJ521" s="43"/>
      <c r="AK521" s="43"/>
    </row>
    <row r="522"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3"/>
      <c r="AF522" s="43"/>
      <c r="AG522" s="43"/>
      <c r="AH522" s="43"/>
      <c r="AI522" s="43"/>
      <c r="AJ522" s="43"/>
      <c r="AK522" s="43"/>
    </row>
    <row r="523"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3"/>
      <c r="AF523" s="43"/>
      <c r="AG523" s="43"/>
      <c r="AH523" s="43"/>
      <c r="AI523" s="43"/>
      <c r="AJ523" s="43"/>
      <c r="AK523" s="43"/>
    </row>
    <row r="524"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3"/>
      <c r="AF524" s="43"/>
      <c r="AG524" s="43"/>
      <c r="AH524" s="43"/>
      <c r="AI524" s="43"/>
      <c r="AJ524" s="43"/>
      <c r="AK524" s="43"/>
    </row>
    <row r="525"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3"/>
      <c r="AF525" s="43"/>
      <c r="AG525" s="43"/>
      <c r="AH525" s="43"/>
      <c r="AI525" s="43"/>
      <c r="AJ525" s="43"/>
      <c r="AK525" s="43"/>
    </row>
    <row r="526"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3"/>
      <c r="AF526" s="43"/>
      <c r="AG526" s="43"/>
      <c r="AH526" s="43"/>
      <c r="AI526" s="43"/>
      <c r="AJ526" s="43"/>
      <c r="AK526" s="43"/>
    </row>
    <row r="527"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3"/>
      <c r="AF527" s="43"/>
      <c r="AG527" s="43"/>
      <c r="AH527" s="43"/>
      <c r="AI527" s="43"/>
      <c r="AJ527" s="43"/>
      <c r="AK527" s="43"/>
    </row>
    <row r="528"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3"/>
      <c r="AF528" s="43"/>
      <c r="AG528" s="43"/>
      <c r="AH528" s="43"/>
      <c r="AI528" s="43"/>
      <c r="AJ528" s="43"/>
      <c r="AK528" s="43"/>
    </row>
    <row r="529"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3"/>
      <c r="AF529" s="43"/>
      <c r="AG529" s="43"/>
      <c r="AH529" s="43"/>
      <c r="AI529" s="43"/>
      <c r="AJ529" s="43"/>
      <c r="AK529" s="43"/>
    </row>
    <row r="530"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3"/>
      <c r="AF530" s="43"/>
      <c r="AG530" s="43"/>
      <c r="AH530" s="43"/>
      <c r="AI530" s="43"/>
      <c r="AJ530" s="43"/>
      <c r="AK530" s="43"/>
    </row>
    <row r="531"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3"/>
      <c r="AF531" s="43"/>
      <c r="AG531" s="43"/>
      <c r="AH531" s="43"/>
      <c r="AI531" s="43"/>
      <c r="AJ531" s="43"/>
      <c r="AK531" s="43"/>
    </row>
    <row r="532"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3"/>
      <c r="AF532" s="43"/>
      <c r="AG532" s="43"/>
      <c r="AH532" s="43"/>
      <c r="AI532" s="43"/>
      <c r="AJ532" s="43"/>
      <c r="AK532" s="43"/>
    </row>
    <row r="533"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3"/>
      <c r="AF533" s="43"/>
      <c r="AG533" s="43"/>
      <c r="AH533" s="43"/>
      <c r="AI533" s="43"/>
      <c r="AJ533" s="43"/>
      <c r="AK533" s="43"/>
    </row>
    <row r="534"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3"/>
      <c r="AF534" s="43"/>
      <c r="AG534" s="43"/>
      <c r="AH534" s="43"/>
      <c r="AI534" s="43"/>
      <c r="AJ534" s="43"/>
      <c r="AK534" s="43"/>
    </row>
    <row r="535"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3"/>
      <c r="AF535" s="43"/>
      <c r="AG535" s="43"/>
      <c r="AH535" s="43"/>
      <c r="AI535" s="43"/>
      <c r="AJ535" s="43"/>
      <c r="AK535" s="43"/>
    </row>
    <row r="536"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3"/>
      <c r="AF536" s="43"/>
      <c r="AG536" s="43"/>
      <c r="AH536" s="43"/>
      <c r="AI536" s="43"/>
      <c r="AJ536" s="43"/>
      <c r="AK536" s="43"/>
    </row>
    <row r="537"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3"/>
      <c r="AF537" s="43"/>
      <c r="AG537" s="43"/>
      <c r="AH537" s="43"/>
      <c r="AI537" s="43"/>
      <c r="AJ537" s="43"/>
      <c r="AK537" s="43"/>
    </row>
    <row r="538"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3"/>
      <c r="AF538" s="43"/>
      <c r="AG538" s="43"/>
      <c r="AH538" s="43"/>
      <c r="AI538" s="43"/>
      <c r="AJ538" s="43"/>
      <c r="AK538" s="43"/>
    </row>
    <row r="539"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3"/>
      <c r="AF539" s="43"/>
      <c r="AG539" s="43"/>
      <c r="AH539" s="43"/>
      <c r="AI539" s="43"/>
      <c r="AJ539" s="43"/>
      <c r="AK539" s="43"/>
    </row>
    <row r="540"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3"/>
      <c r="AF540" s="43"/>
      <c r="AG540" s="43"/>
      <c r="AH540" s="43"/>
      <c r="AI540" s="43"/>
      <c r="AJ540" s="43"/>
      <c r="AK540" s="43"/>
    </row>
    <row r="541"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3"/>
      <c r="AF541" s="43"/>
      <c r="AG541" s="43"/>
      <c r="AH541" s="43"/>
      <c r="AI541" s="43"/>
      <c r="AJ541" s="43"/>
      <c r="AK541" s="43"/>
    </row>
    <row r="542"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3"/>
      <c r="AF542" s="43"/>
      <c r="AG542" s="43"/>
      <c r="AH542" s="43"/>
      <c r="AI542" s="43"/>
      <c r="AJ542" s="43"/>
      <c r="AK542" s="43"/>
    </row>
    <row r="543"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3"/>
      <c r="AF543" s="43"/>
      <c r="AG543" s="43"/>
      <c r="AH543" s="43"/>
      <c r="AI543" s="43"/>
      <c r="AJ543" s="43"/>
      <c r="AK543" s="43"/>
    </row>
    <row r="544"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3"/>
      <c r="AF544" s="43"/>
      <c r="AG544" s="43"/>
      <c r="AH544" s="43"/>
      <c r="AI544" s="43"/>
      <c r="AJ544" s="43"/>
      <c r="AK544" s="43"/>
    </row>
    <row r="545"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3"/>
      <c r="AF545" s="43"/>
      <c r="AG545" s="43"/>
      <c r="AH545" s="43"/>
      <c r="AI545" s="43"/>
      <c r="AJ545" s="43"/>
      <c r="AK545" s="43"/>
    </row>
    <row r="546"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3"/>
      <c r="AF546" s="43"/>
      <c r="AG546" s="43"/>
      <c r="AH546" s="43"/>
      <c r="AI546" s="43"/>
      <c r="AJ546" s="43"/>
      <c r="AK546" s="43"/>
    </row>
    <row r="547"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3"/>
      <c r="AF547" s="43"/>
      <c r="AG547" s="43"/>
      <c r="AH547" s="43"/>
      <c r="AI547" s="43"/>
      <c r="AJ547" s="43"/>
      <c r="AK547" s="43"/>
    </row>
    <row r="548"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3"/>
      <c r="AF548" s="43"/>
      <c r="AG548" s="43"/>
      <c r="AH548" s="43"/>
      <c r="AI548" s="43"/>
      <c r="AJ548" s="43"/>
      <c r="AK548" s="43"/>
    </row>
    <row r="549"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3"/>
      <c r="AF549" s="43"/>
      <c r="AG549" s="43"/>
      <c r="AH549" s="43"/>
      <c r="AI549" s="43"/>
      <c r="AJ549" s="43"/>
      <c r="AK549" s="43"/>
    </row>
    <row r="550"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3"/>
      <c r="AF550" s="43"/>
      <c r="AG550" s="43"/>
      <c r="AH550" s="43"/>
      <c r="AI550" s="43"/>
      <c r="AJ550" s="43"/>
      <c r="AK550" s="43"/>
    </row>
    <row r="551"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3"/>
      <c r="AF551" s="43"/>
      <c r="AG551" s="43"/>
      <c r="AH551" s="43"/>
      <c r="AI551" s="43"/>
      <c r="AJ551" s="43"/>
      <c r="AK551" s="43"/>
    </row>
    <row r="552"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3"/>
      <c r="AF552" s="43"/>
      <c r="AG552" s="43"/>
      <c r="AH552" s="43"/>
      <c r="AI552" s="43"/>
      <c r="AJ552" s="43"/>
      <c r="AK552" s="43"/>
    </row>
    <row r="553"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3"/>
      <c r="AF553" s="43"/>
      <c r="AG553" s="43"/>
      <c r="AH553" s="43"/>
      <c r="AI553" s="43"/>
      <c r="AJ553" s="43"/>
      <c r="AK553" s="43"/>
    </row>
    <row r="554"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3"/>
      <c r="AF554" s="43"/>
      <c r="AG554" s="43"/>
      <c r="AH554" s="43"/>
      <c r="AI554" s="43"/>
      <c r="AJ554" s="43"/>
      <c r="AK554" s="43"/>
    </row>
    <row r="555"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3"/>
      <c r="AF555" s="43"/>
      <c r="AG555" s="43"/>
      <c r="AH555" s="43"/>
      <c r="AI555" s="43"/>
      <c r="AJ555" s="43"/>
      <c r="AK555" s="43"/>
    </row>
    <row r="556"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3"/>
      <c r="AF556" s="43"/>
      <c r="AG556" s="43"/>
      <c r="AH556" s="43"/>
      <c r="AI556" s="43"/>
      <c r="AJ556" s="43"/>
      <c r="AK556" s="43"/>
    </row>
    <row r="557"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3"/>
      <c r="AF557" s="43"/>
      <c r="AG557" s="43"/>
      <c r="AH557" s="43"/>
      <c r="AI557" s="43"/>
      <c r="AJ557" s="43"/>
      <c r="AK557" s="43"/>
    </row>
    <row r="558"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3"/>
      <c r="AF558" s="43"/>
      <c r="AG558" s="43"/>
      <c r="AH558" s="43"/>
      <c r="AI558" s="43"/>
      <c r="AJ558" s="43"/>
      <c r="AK558" s="43"/>
    </row>
    <row r="559"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3"/>
      <c r="AF559" s="43"/>
      <c r="AG559" s="43"/>
      <c r="AH559" s="43"/>
      <c r="AI559" s="43"/>
      <c r="AJ559" s="43"/>
      <c r="AK559" s="43"/>
    </row>
    <row r="560"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3"/>
      <c r="AF560" s="43"/>
      <c r="AG560" s="43"/>
      <c r="AH560" s="43"/>
      <c r="AI560" s="43"/>
      <c r="AJ560" s="43"/>
      <c r="AK560" s="43"/>
    </row>
    <row r="561"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3"/>
      <c r="AF561" s="43"/>
      <c r="AG561" s="43"/>
      <c r="AH561" s="43"/>
      <c r="AI561" s="43"/>
      <c r="AJ561" s="43"/>
      <c r="AK561" s="43"/>
    </row>
    <row r="562"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3"/>
      <c r="AF562" s="43"/>
      <c r="AG562" s="43"/>
      <c r="AH562" s="43"/>
      <c r="AI562" s="43"/>
      <c r="AJ562" s="43"/>
      <c r="AK562" s="43"/>
    </row>
    <row r="563"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3"/>
      <c r="AF563" s="43"/>
      <c r="AG563" s="43"/>
      <c r="AH563" s="43"/>
      <c r="AI563" s="43"/>
      <c r="AJ563" s="43"/>
      <c r="AK563" s="43"/>
    </row>
    <row r="564"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3"/>
      <c r="AF564" s="43"/>
      <c r="AG564" s="43"/>
      <c r="AH564" s="43"/>
      <c r="AI564" s="43"/>
      <c r="AJ564" s="43"/>
      <c r="AK564" s="43"/>
    </row>
    <row r="565"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3"/>
      <c r="AF565" s="43"/>
      <c r="AG565" s="43"/>
      <c r="AH565" s="43"/>
      <c r="AI565" s="43"/>
      <c r="AJ565" s="43"/>
      <c r="AK565" s="43"/>
    </row>
    <row r="566"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3"/>
      <c r="AF566" s="43"/>
      <c r="AG566" s="43"/>
      <c r="AH566" s="43"/>
      <c r="AI566" s="43"/>
      <c r="AJ566" s="43"/>
      <c r="AK566" s="43"/>
    </row>
    <row r="567"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3"/>
      <c r="AF567" s="43"/>
      <c r="AG567" s="43"/>
      <c r="AH567" s="43"/>
      <c r="AI567" s="43"/>
      <c r="AJ567" s="43"/>
      <c r="AK567" s="43"/>
    </row>
    <row r="568"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3"/>
      <c r="AF568" s="43"/>
      <c r="AG568" s="43"/>
      <c r="AH568" s="43"/>
      <c r="AI568" s="43"/>
      <c r="AJ568" s="43"/>
      <c r="AK568" s="43"/>
    </row>
    <row r="569"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3"/>
      <c r="AF569" s="43"/>
      <c r="AG569" s="43"/>
      <c r="AH569" s="43"/>
      <c r="AI569" s="43"/>
      <c r="AJ569" s="43"/>
      <c r="AK569" s="43"/>
    </row>
    <row r="570"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/>
      <c r="AE570" s="43"/>
      <c r="AF570" s="43"/>
      <c r="AG570" s="43"/>
      <c r="AH570" s="43"/>
      <c r="AI570" s="43"/>
      <c r="AJ570" s="43"/>
      <c r="AK570" s="43"/>
    </row>
    <row r="571"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/>
      <c r="AE571" s="43"/>
      <c r="AF571" s="43"/>
      <c r="AG571" s="43"/>
      <c r="AH571" s="43"/>
      <c r="AI571" s="43"/>
      <c r="AJ571" s="43"/>
      <c r="AK571" s="43"/>
    </row>
    <row r="572"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3"/>
      <c r="AF572" s="43"/>
      <c r="AG572" s="43"/>
      <c r="AH572" s="43"/>
      <c r="AI572" s="43"/>
      <c r="AJ572" s="43"/>
      <c r="AK572" s="43"/>
    </row>
    <row r="573"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3"/>
      <c r="AF573" s="43"/>
      <c r="AG573" s="43"/>
      <c r="AH573" s="43"/>
      <c r="AI573" s="43"/>
      <c r="AJ573" s="43"/>
      <c r="AK573" s="43"/>
    </row>
    <row r="574"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3"/>
      <c r="AF574" s="43"/>
      <c r="AG574" s="43"/>
      <c r="AH574" s="43"/>
      <c r="AI574" s="43"/>
      <c r="AJ574" s="43"/>
      <c r="AK574" s="43"/>
    </row>
    <row r="575"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3"/>
      <c r="AF575" s="43"/>
      <c r="AG575" s="43"/>
      <c r="AH575" s="43"/>
      <c r="AI575" s="43"/>
      <c r="AJ575" s="43"/>
      <c r="AK575" s="43"/>
    </row>
    <row r="576"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/>
      <c r="AE576" s="43"/>
      <c r="AF576" s="43"/>
      <c r="AG576" s="43"/>
      <c r="AH576" s="43"/>
      <c r="AI576" s="43"/>
      <c r="AJ576" s="43"/>
      <c r="AK576" s="43"/>
    </row>
    <row r="577"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/>
      <c r="AE577" s="43"/>
      <c r="AF577" s="43"/>
      <c r="AG577" s="43"/>
      <c r="AH577" s="43"/>
      <c r="AI577" s="43"/>
      <c r="AJ577" s="43"/>
      <c r="AK577" s="43"/>
    </row>
    <row r="578"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/>
      <c r="AE578" s="43"/>
      <c r="AF578" s="43"/>
      <c r="AG578" s="43"/>
      <c r="AH578" s="43"/>
      <c r="AI578" s="43"/>
      <c r="AJ578" s="43"/>
      <c r="AK578" s="43"/>
    </row>
    <row r="579"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/>
      <c r="AE579" s="43"/>
      <c r="AF579" s="43"/>
      <c r="AG579" s="43"/>
      <c r="AH579" s="43"/>
      <c r="AI579" s="43"/>
      <c r="AJ579" s="43"/>
      <c r="AK579" s="43"/>
    </row>
    <row r="580"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/>
      <c r="AE580" s="43"/>
      <c r="AF580" s="43"/>
      <c r="AG580" s="43"/>
      <c r="AH580" s="43"/>
      <c r="AI580" s="43"/>
      <c r="AJ580" s="43"/>
      <c r="AK580" s="43"/>
    </row>
    <row r="581"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/>
      <c r="AE581" s="43"/>
      <c r="AF581" s="43"/>
      <c r="AG581" s="43"/>
      <c r="AH581" s="43"/>
      <c r="AI581" s="43"/>
      <c r="AJ581" s="43"/>
      <c r="AK581" s="43"/>
    </row>
    <row r="582"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/>
      <c r="AE582" s="43"/>
      <c r="AF582" s="43"/>
      <c r="AG582" s="43"/>
      <c r="AH582" s="43"/>
      <c r="AI582" s="43"/>
      <c r="AJ582" s="43"/>
      <c r="AK582" s="43"/>
    </row>
    <row r="583"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/>
      <c r="AE583" s="43"/>
      <c r="AF583" s="43"/>
      <c r="AG583" s="43"/>
      <c r="AH583" s="43"/>
      <c r="AI583" s="43"/>
      <c r="AJ583" s="43"/>
      <c r="AK583" s="43"/>
    </row>
    <row r="584"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3"/>
      <c r="AF584" s="43"/>
      <c r="AG584" s="43"/>
      <c r="AH584" s="43"/>
      <c r="AI584" s="43"/>
      <c r="AJ584" s="43"/>
      <c r="AK584" s="43"/>
    </row>
    <row r="585"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3"/>
      <c r="AF585" s="43"/>
      <c r="AG585" s="43"/>
      <c r="AH585" s="43"/>
      <c r="AI585" s="43"/>
      <c r="AJ585" s="43"/>
      <c r="AK585" s="43"/>
    </row>
    <row r="586"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/>
      <c r="AE586" s="43"/>
      <c r="AF586" s="43"/>
      <c r="AG586" s="43"/>
      <c r="AH586" s="43"/>
      <c r="AI586" s="43"/>
      <c r="AJ586" s="43"/>
      <c r="AK586" s="43"/>
    </row>
    <row r="587"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/>
      <c r="AE587" s="43"/>
      <c r="AF587" s="43"/>
      <c r="AG587" s="43"/>
      <c r="AH587" s="43"/>
      <c r="AI587" s="43"/>
      <c r="AJ587" s="43"/>
      <c r="AK587" s="43"/>
    </row>
    <row r="588"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/>
      <c r="AE588" s="43"/>
      <c r="AF588" s="43"/>
      <c r="AG588" s="43"/>
      <c r="AH588" s="43"/>
      <c r="AI588" s="43"/>
      <c r="AJ588" s="43"/>
      <c r="AK588" s="43"/>
    </row>
    <row r="589"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/>
      <c r="AE589" s="43"/>
      <c r="AF589" s="43"/>
      <c r="AG589" s="43"/>
      <c r="AH589" s="43"/>
      <c r="AI589" s="43"/>
      <c r="AJ589" s="43"/>
      <c r="AK589" s="43"/>
    </row>
    <row r="590"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/>
      <c r="AE590" s="43"/>
      <c r="AF590" s="43"/>
      <c r="AG590" s="43"/>
      <c r="AH590" s="43"/>
      <c r="AI590" s="43"/>
      <c r="AJ590" s="43"/>
      <c r="AK590" s="43"/>
    </row>
    <row r="591"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/>
      <c r="AE591" s="43"/>
      <c r="AF591" s="43"/>
      <c r="AG591" s="43"/>
      <c r="AH591" s="43"/>
      <c r="AI591" s="43"/>
      <c r="AJ591" s="43"/>
      <c r="AK591" s="43"/>
    </row>
    <row r="592"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3"/>
      <c r="AF592" s="43"/>
      <c r="AG592" s="43"/>
      <c r="AH592" s="43"/>
      <c r="AI592" s="43"/>
      <c r="AJ592" s="43"/>
      <c r="AK592" s="43"/>
    </row>
    <row r="593"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3"/>
      <c r="AF593" s="43"/>
      <c r="AG593" s="43"/>
      <c r="AH593" s="43"/>
      <c r="AI593" s="43"/>
      <c r="AJ593" s="43"/>
      <c r="AK593" s="43"/>
    </row>
    <row r="594"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3"/>
      <c r="AF594" s="43"/>
      <c r="AG594" s="43"/>
      <c r="AH594" s="43"/>
      <c r="AI594" s="43"/>
      <c r="AJ594" s="43"/>
      <c r="AK594" s="43"/>
    </row>
    <row r="595"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3"/>
      <c r="AF595" s="43"/>
      <c r="AG595" s="43"/>
      <c r="AH595" s="43"/>
      <c r="AI595" s="43"/>
      <c r="AJ595" s="43"/>
      <c r="AK595" s="43"/>
    </row>
    <row r="596"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/>
      <c r="AE596" s="43"/>
      <c r="AF596" s="43"/>
      <c r="AG596" s="43"/>
      <c r="AH596" s="43"/>
      <c r="AI596" s="43"/>
      <c r="AJ596" s="43"/>
      <c r="AK596" s="43"/>
    </row>
    <row r="597"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/>
      <c r="AE597" s="43"/>
      <c r="AF597" s="43"/>
      <c r="AG597" s="43"/>
      <c r="AH597" s="43"/>
      <c r="AI597" s="43"/>
      <c r="AJ597" s="43"/>
      <c r="AK597" s="43"/>
    </row>
    <row r="598"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3"/>
      <c r="AF598" s="43"/>
      <c r="AG598" s="43"/>
      <c r="AH598" s="43"/>
      <c r="AI598" s="43"/>
      <c r="AJ598" s="43"/>
      <c r="AK598" s="43"/>
    </row>
    <row r="599"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3"/>
      <c r="AF599" s="43"/>
      <c r="AG599" s="43"/>
      <c r="AH599" s="43"/>
      <c r="AI599" s="43"/>
      <c r="AJ599" s="43"/>
      <c r="AK599" s="43"/>
    </row>
    <row r="600"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/>
      <c r="AE600" s="43"/>
      <c r="AF600" s="43"/>
      <c r="AG600" s="43"/>
      <c r="AH600" s="43"/>
      <c r="AI600" s="43"/>
      <c r="AJ600" s="43"/>
      <c r="AK600" s="43"/>
    </row>
    <row r="601"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/>
      <c r="AE601" s="43"/>
      <c r="AF601" s="43"/>
      <c r="AG601" s="43"/>
      <c r="AH601" s="43"/>
      <c r="AI601" s="43"/>
      <c r="AJ601" s="43"/>
      <c r="AK601" s="43"/>
    </row>
    <row r="602"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/>
      <c r="AE602" s="43"/>
      <c r="AF602" s="43"/>
      <c r="AG602" s="43"/>
      <c r="AH602" s="43"/>
      <c r="AI602" s="43"/>
      <c r="AJ602" s="43"/>
      <c r="AK602" s="43"/>
    </row>
    <row r="603"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/>
      <c r="AE603" s="43"/>
      <c r="AF603" s="43"/>
      <c r="AG603" s="43"/>
      <c r="AH603" s="43"/>
      <c r="AI603" s="43"/>
      <c r="AJ603" s="43"/>
      <c r="AK603" s="43"/>
    </row>
    <row r="604"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/>
      <c r="AE604" s="43"/>
      <c r="AF604" s="43"/>
      <c r="AG604" s="43"/>
      <c r="AH604" s="43"/>
      <c r="AI604" s="43"/>
      <c r="AJ604" s="43"/>
      <c r="AK604" s="43"/>
    </row>
    <row r="605"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/>
      <c r="AE605" s="43"/>
      <c r="AF605" s="43"/>
      <c r="AG605" s="43"/>
      <c r="AH605" s="43"/>
      <c r="AI605" s="43"/>
      <c r="AJ605" s="43"/>
      <c r="AK605" s="43"/>
    </row>
    <row r="606"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/>
      <c r="AE606" s="43"/>
      <c r="AF606" s="43"/>
      <c r="AG606" s="43"/>
      <c r="AH606" s="43"/>
      <c r="AI606" s="43"/>
      <c r="AJ606" s="43"/>
      <c r="AK606" s="43"/>
    </row>
    <row r="607"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/>
      <c r="AE607" s="43"/>
      <c r="AF607" s="43"/>
      <c r="AG607" s="43"/>
      <c r="AH607" s="43"/>
      <c r="AI607" s="43"/>
      <c r="AJ607" s="43"/>
      <c r="AK607" s="43"/>
    </row>
    <row r="608"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3"/>
      <c r="AF608" s="43"/>
      <c r="AG608" s="43"/>
      <c r="AH608" s="43"/>
      <c r="AI608" s="43"/>
      <c r="AJ608" s="43"/>
      <c r="AK608" s="43"/>
    </row>
    <row r="609"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3"/>
      <c r="AF609" s="43"/>
      <c r="AG609" s="43"/>
      <c r="AH609" s="43"/>
      <c r="AI609" s="43"/>
      <c r="AJ609" s="43"/>
      <c r="AK609" s="43"/>
    </row>
    <row r="610"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/>
      <c r="AE610" s="43"/>
      <c r="AF610" s="43"/>
      <c r="AG610" s="43"/>
      <c r="AH610" s="43"/>
      <c r="AI610" s="43"/>
      <c r="AJ610" s="43"/>
      <c r="AK610" s="43"/>
    </row>
    <row r="611"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/>
      <c r="AE611" s="43"/>
      <c r="AF611" s="43"/>
      <c r="AG611" s="43"/>
      <c r="AH611" s="43"/>
      <c r="AI611" s="43"/>
      <c r="AJ611" s="43"/>
      <c r="AK611" s="43"/>
    </row>
    <row r="612"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/>
      <c r="AE612" s="43"/>
      <c r="AF612" s="43"/>
      <c r="AG612" s="43"/>
      <c r="AH612" s="43"/>
      <c r="AI612" s="43"/>
      <c r="AJ612" s="43"/>
      <c r="AK612" s="43"/>
    </row>
    <row r="613"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/>
      <c r="AE613" s="43"/>
      <c r="AF613" s="43"/>
      <c r="AG613" s="43"/>
      <c r="AH613" s="43"/>
      <c r="AI613" s="43"/>
      <c r="AJ613" s="43"/>
      <c r="AK613" s="43"/>
    </row>
    <row r="614"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/>
      <c r="AE614" s="43"/>
      <c r="AF614" s="43"/>
      <c r="AG614" s="43"/>
      <c r="AH614" s="43"/>
      <c r="AI614" s="43"/>
      <c r="AJ614" s="43"/>
      <c r="AK614" s="43"/>
    </row>
    <row r="615"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/>
      <c r="AE615" s="43"/>
      <c r="AF615" s="43"/>
      <c r="AG615" s="43"/>
      <c r="AH615" s="43"/>
      <c r="AI615" s="43"/>
      <c r="AJ615" s="43"/>
      <c r="AK615" s="43"/>
    </row>
    <row r="616"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/>
      <c r="AE616" s="43"/>
      <c r="AF616" s="43"/>
      <c r="AG616" s="43"/>
      <c r="AH616" s="43"/>
      <c r="AI616" s="43"/>
      <c r="AJ616" s="43"/>
      <c r="AK616" s="43"/>
    </row>
    <row r="617"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/>
      <c r="AE617" s="43"/>
      <c r="AF617" s="43"/>
      <c r="AG617" s="43"/>
      <c r="AH617" s="43"/>
      <c r="AI617" s="43"/>
      <c r="AJ617" s="43"/>
      <c r="AK617" s="43"/>
    </row>
    <row r="618"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3"/>
      <c r="AF618" s="43"/>
      <c r="AG618" s="43"/>
      <c r="AH618" s="43"/>
      <c r="AI618" s="43"/>
      <c r="AJ618" s="43"/>
      <c r="AK618" s="43"/>
    </row>
    <row r="619"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3"/>
      <c r="AF619" s="43"/>
      <c r="AG619" s="43"/>
      <c r="AH619" s="43"/>
      <c r="AI619" s="43"/>
      <c r="AJ619" s="43"/>
      <c r="AK619" s="43"/>
    </row>
    <row r="620"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3"/>
      <c r="AF620" s="43"/>
      <c r="AG620" s="43"/>
      <c r="AH620" s="43"/>
      <c r="AI620" s="43"/>
      <c r="AJ620" s="43"/>
      <c r="AK620" s="43"/>
    </row>
    <row r="621"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3"/>
      <c r="AF621" s="43"/>
      <c r="AG621" s="43"/>
      <c r="AH621" s="43"/>
      <c r="AI621" s="43"/>
      <c r="AJ621" s="43"/>
      <c r="AK621" s="43"/>
    </row>
    <row r="622"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/>
      <c r="AE622" s="43"/>
      <c r="AF622" s="43"/>
      <c r="AG622" s="43"/>
      <c r="AH622" s="43"/>
      <c r="AI622" s="43"/>
      <c r="AJ622" s="43"/>
      <c r="AK622" s="43"/>
    </row>
    <row r="623"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/>
      <c r="AE623" s="43"/>
      <c r="AF623" s="43"/>
      <c r="AG623" s="43"/>
      <c r="AH623" s="43"/>
      <c r="AI623" s="43"/>
      <c r="AJ623" s="43"/>
      <c r="AK623" s="43"/>
    </row>
    <row r="624"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3"/>
      <c r="AF624" s="43"/>
      <c r="AG624" s="43"/>
      <c r="AH624" s="43"/>
      <c r="AI624" s="43"/>
      <c r="AJ624" s="43"/>
      <c r="AK624" s="43"/>
    </row>
    <row r="625"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3"/>
      <c r="AF625" s="43"/>
      <c r="AG625" s="43"/>
      <c r="AH625" s="43"/>
      <c r="AI625" s="43"/>
      <c r="AJ625" s="43"/>
      <c r="AK625" s="43"/>
    </row>
    <row r="626"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/>
      <c r="AE626" s="43"/>
      <c r="AF626" s="43"/>
      <c r="AG626" s="43"/>
      <c r="AH626" s="43"/>
      <c r="AI626" s="43"/>
      <c r="AJ626" s="43"/>
      <c r="AK626" s="43"/>
    </row>
    <row r="627"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/>
      <c r="AE627" s="43"/>
      <c r="AF627" s="43"/>
      <c r="AG627" s="43"/>
      <c r="AH627" s="43"/>
      <c r="AI627" s="43"/>
      <c r="AJ627" s="43"/>
      <c r="AK627" s="43"/>
    </row>
    <row r="628"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/>
      <c r="AE628" s="43"/>
      <c r="AF628" s="43"/>
      <c r="AG628" s="43"/>
      <c r="AH628" s="43"/>
      <c r="AI628" s="43"/>
      <c r="AJ628" s="43"/>
      <c r="AK628" s="43"/>
    </row>
    <row r="629"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/>
      <c r="AE629" s="43"/>
      <c r="AF629" s="43"/>
      <c r="AG629" s="43"/>
      <c r="AH629" s="43"/>
      <c r="AI629" s="43"/>
      <c r="AJ629" s="43"/>
      <c r="AK629" s="43"/>
    </row>
    <row r="630"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/>
      <c r="AE630" s="43"/>
      <c r="AF630" s="43"/>
      <c r="AG630" s="43"/>
      <c r="AH630" s="43"/>
      <c r="AI630" s="43"/>
      <c r="AJ630" s="43"/>
      <c r="AK630" s="43"/>
    </row>
    <row r="631"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/>
      <c r="AE631" s="43"/>
      <c r="AF631" s="43"/>
      <c r="AG631" s="43"/>
      <c r="AH631" s="43"/>
      <c r="AI631" s="43"/>
      <c r="AJ631" s="43"/>
      <c r="AK631" s="43"/>
    </row>
    <row r="632"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/>
      <c r="AE632" s="43"/>
      <c r="AF632" s="43"/>
      <c r="AG632" s="43"/>
      <c r="AH632" s="43"/>
      <c r="AI632" s="43"/>
      <c r="AJ632" s="43"/>
      <c r="AK632" s="43"/>
    </row>
    <row r="633"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/>
      <c r="AE633" s="43"/>
      <c r="AF633" s="43"/>
      <c r="AG633" s="43"/>
      <c r="AH633" s="43"/>
      <c r="AI633" s="43"/>
      <c r="AJ633" s="43"/>
      <c r="AK633" s="43"/>
    </row>
    <row r="634"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3"/>
      <c r="AF634" s="43"/>
      <c r="AG634" s="43"/>
      <c r="AH634" s="43"/>
      <c r="AI634" s="43"/>
      <c r="AJ634" s="43"/>
      <c r="AK634" s="43"/>
    </row>
    <row r="635"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3"/>
      <c r="AF635" s="43"/>
      <c r="AG635" s="43"/>
      <c r="AH635" s="43"/>
      <c r="AI635" s="43"/>
      <c r="AJ635" s="43"/>
      <c r="AK635" s="43"/>
    </row>
    <row r="636"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3"/>
      <c r="AF636" s="43"/>
      <c r="AG636" s="43"/>
      <c r="AH636" s="43"/>
      <c r="AI636" s="43"/>
      <c r="AJ636" s="43"/>
      <c r="AK636" s="43"/>
    </row>
    <row r="637"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3"/>
      <c r="AF637" s="43"/>
      <c r="AG637" s="43"/>
      <c r="AH637" s="43"/>
      <c r="AI637" s="43"/>
      <c r="AJ637" s="43"/>
      <c r="AK637" s="43"/>
    </row>
    <row r="638"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/>
      <c r="AE638" s="43"/>
      <c r="AF638" s="43"/>
      <c r="AG638" s="43"/>
      <c r="AH638" s="43"/>
      <c r="AI638" s="43"/>
      <c r="AJ638" s="43"/>
      <c r="AK638" s="43"/>
    </row>
    <row r="639"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/>
      <c r="AE639" s="43"/>
      <c r="AF639" s="43"/>
      <c r="AG639" s="43"/>
      <c r="AH639" s="43"/>
      <c r="AI639" s="43"/>
      <c r="AJ639" s="43"/>
      <c r="AK639" s="43"/>
    </row>
    <row r="640"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/>
      <c r="AE640" s="43"/>
      <c r="AF640" s="43"/>
      <c r="AG640" s="43"/>
      <c r="AH640" s="43"/>
      <c r="AI640" s="43"/>
      <c r="AJ640" s="43"/>
      <c r="AK640" s="43"/>
    </row>
    <row r="641"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/>
      <c r="AE641" s="43"/>
      <c r="AF641" s="43"/>
      <c r="AG641" s="43"/>
      <c r="AH641" s="43"/>
      <c r="AI641" s="43"/>
      <c r="AJ641" s="43"/>
      <c r="AK641" s="43"/>
    </row>
    <row r="642"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/>
      <c r="AE642" s="43"/>
      <c r="AF642" s="43"/>
      <c r="AG642" s="43"/>
      <c r="AH642" s="43"/>
      <c r="AI642" s="43"/>
      <c r="AJ642" s="43"/>
      <c r="AK642" s="43"/>
    </row>
    <row r="643"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/>
      <c r="AE643" s="43"/>
      <c r="AF643" s="43"/>
      <c r="AG643" s="43"/>
      <c r="AH643" s="43"/>
      <c r="AI643" s="43"/>
      <c r="AJ643" s="43"/>
      <c r="AK643" s="43"/>
    </row>
    <row r="644"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3"/>
      <c r="AF644" s="43"/>
      <c r="AG644" s="43"/>
      <c r="AH644" s="43"/>
      <c r="AI644" s="43"/>
      <c r="AJ644" s="43"/>
      <c r="AK644" s="43"/>
    </row>
    <row r="645"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3"/>
      <c r="AF645" s="43"/>
      <c r="AG645" s="43"/>
      <c r="AH645" s="43"/>
      <c r="AI645" s="43"/>
      <c r="AJ645" s="43"/>
      <c r="AK645" s="43"/>
    </row>
    <row r="646"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/>
      <c r="AE646" s="43"/>
      <c r="AF646" s="43"/>
      <c r="AG646" s="43"/>
      <c r="AH646" s="43"/>
      <c r="AI646" s="43"/>
      <c r="AJ646" s="43"/>
      <c r="AK646" s="43"/>
    </row>
    <row r="647"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/>
      <c r="AE647" s="43"/>
      <c r="AF647" s="43"/>
      <c r="AG647" s="43"/>
      <c r="AH647" s="43"/>
      <c r="AI647" s="43"/>
      <c r="AJ647" s="43"/>
      <c r="AK647" s="43"/>
    </row>
    <row r="648"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/>
      <c r="AE648" s="43"/>
      <c r="AF648" s="43"/>
      <c r="AG648" s="43"/>
      <c r="AH648" s="43"/>
      <c r="AI648" s="43"/>
      <c r="AJ648" s="43"/>
      <c r="AK648" s="43"/>
    </row>
    <row r="649"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/>
      <c r="AE649" s="43"/>
      <c r="AF649" s="43"/>
      <c r="AG649" s="43"/>
      <c r="AH649" s="43"/>
      <c r="AI649" s="43"/>
      <c r="AJ649" s="43"/>
      <c r="AK649" s="43"/>
    </row>
    <row r="650"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/>
      <c r="AE650" s="43"/>
      <c r="AF650" s="43"/>
      <c r="AG650" s="43"/>
      <c r="AH650" s="43"/>
      <c r="AI650" s="43"/>
      <c r="AJ650" s="43"/>
      <c r="AK650" s="43"/>
    </row>
    <row r="651"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/>
      <c r="AE651" s="43"/>
      <c r="AF651" s="43"/>
      <c r="AG651" s="43"/>
      <c r="AH651" s="43"/>
      <c r="AI651" s="43"/>
      <c r="AJ651" s="43"/>
      <c r="AK651" s="43"/>
    </row>
    <row r="652"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/>
      <c r="AE652" s="43"/>
      <c r="AF652" s="43"/>
      <c r="AG652" s="43"/>
      <c r="AH652" s="43"/>
      <c r="AI652" s="43"/>
      <c r="AJ652" s="43"/>
      <c r="AK652" s="43"/>
    </row>
    <row r="653"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/>
      <c r="AE653" s="43"/>
      <c r="AF653" s="43"/>
      <c r="AG653" s="43"/>
      <c r="AH653" s="43"/>
      <c r="AI653" s="43"/>
      <c r="AJ653" s="43"/>
      <c r="AK653" s="43"/>
    </row>
    <row r="654"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/>
      <c r="AE654" s="43"/>
      <c r="AF654" s="43"/>
      <c r="AG654" s="43"/>
      <c r="AH654" s="43"/>
      <c r="AI654" s="43"/>
      <c r="AJ654" s="43"/>
      <c r="AK654" s="43"/>
    </row>
    <row r="655"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/>
      <c r="AE655" s="43"/>
      <c r="AF655" s="43"/>
      <c r="AG655" s="43"/>
      <c r="AH655" s="43"/>
      <c r="AI655" s="43"/>
      <c r="AJ655" s="43"/>
      <c r="AK655" s="43"/>
    </row>
    <row r="656"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3"/>
      <c r="AF656" s="43"/>
      <c r="AG656" s="43"/>
      <c r="AH656" s="43"/>
      <c r="AI656" s="43"/>
      <c r="AJ656" s="43"/>
      <c r="AK656" s="43"/>
    </row>
    <row r="657"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3"/>
      <c r="AF657" s="43"/>
      <c r="AG657" s="43"/>
      <c r="AH657" s="43"/>
      <c r="AI657" s="43"/>
      <c r="AJ657" s="43"/>
      <c r="AK657" s="43"/>
    </row>
    <row r="658"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3"/>
      <c r="AF658" s="43"/>
      <c r="AG658" s="43"/>
      <c r="AH658" s="43"/>
      <c r="AI658" s="43"/>
      <c r="AJ658" s="43"/>
      <c r="AK658" s="43"/>
    </row>
    <row r="659"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3"/>
      <c r="AF659" s="43"/>
      <c r="AG659" s="43"/>
      <c r="AH659" s="43"/>
      <c r="AI659" s="43"/>
      <c r="AJ659" s="43"/>
      <c r="AK659" s="43"/>
    </row>
    <row r="660"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3"/>
      <c r="AF660" s="43"/>
      <c r="AG660" s="43"/>
      <c r="AH660" s="43"/>
      <c r="AI660" s="43"/>
      <c r="AJ660" s="43"/>
      <c r="AK660" s="43"/>
    </row>
    <row r="661"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3"/>
      <c r="AF661" s="43"/>
      <c r="AG661" s="43"/>
      <c r="AH661" s="43"/>
      <c r="AI661" s="43"/>
      <c r="AJ661" s="43"/>
      <c r="AK661" s="43"/>
    </row>
    <row r="662"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/>
      <c r="AE662" s="43"/>
      <c r="AF662" s="43"/>
      <c r="AG662" s="43"/>
      <c r="AH662" s="43"/>
      <c r="AI662" s="43"/>
      <c r="AJ662" s="43"/>
      <c r="AK662" s="43"/>
    </row>
    <row r="663"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/>
      <c r="AE663" s="43"/>
      <c r="AF663" s="43"/>
      <c r="AG663" s="43"/>
      <c r="AH663" s="43"/>
      <c r="AI663" s="43"/>
      <c r="AJ663" s="43"/>
      <c r="AK663" s="43"/>
    </row>
    <row r="664"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3"/>
      <c r="AF664" s="43"/>
      <c r="AG664" s="43"/>
      <c r="AH664" s="43"/>
      <c r="AI664" s="43"/>
      <c r="AJ664" s="43"/>
      <c r="AK664" s="43"/>
    </row>
    <row r="665"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3"/>
      <c r="AF665" s="43"/>
      <c r="AG665" s="43"/>
      <c r="AH665" s="43"/>
      <c r="AI665" s="43"/>
      <c r="AJ665" s="43"/>
      <c r="AK665" s="43"/>
    </row>
    <row r="666"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/>
      <c r="AE666" s="43"/>
      <c r="AF666" s="43"/>
      <c r="AG666" s="43"/>
      <c r="AH666" s="43"/>
      <c r="AI666" s="43"/>
      <c r="AJ666" s="43"/>
      <c r="AK666" s="43"/>
    </row>
    <row r="667"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/>
      <c r="AE667" s="43"/>
      <c r="AF667" s="43"/>
      <c r="AG667" s="43"/>
      <c r="AH667" s="43"/>
      <c r="AI667" s="43"/>
      <c r="AJ667" s="43"/>
      <c r="AK667" s="43"/>
    </row>
    <row r="668"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/>
      <c r="AE668" s="43"/>
      <c r="AF668" s="43"/>
      <c r="AG668" s="43"/>
      <c r="AH668" s="43"/>
      <c r="AI668" s="43"/>
      <c r="AJ668" s="43"/>
      <c r="AK668" s="43"/>
    </row>
    <row r="669"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/>
      <c r="AE669" s="43"/>
      <c r="AF669" s="43"/>
      <c r="AG669" s="43"/>
      <c r="AH669" s="43"/>
      <c r="AI669" s="43"/>
      <c r="AJ669" s="43"/>
      <c r="AK669" s="43"/>
    </row>
    <row r="670"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/>
      <c r="AE670" s="43"/>
      <c r="AF670" s="43"/>
      <c r="AG670" s="43"/>
      <c r="AH670" s="43"/>
      <c r="AI670" s="43"/>
      <c r="AJ670" s="43"/>
      <c r="AK670" s="43"/>
    </row>
    <row r="671"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/>
      <c r="AE671" s="43"/>
      <c r="AF671" s="43"/>
      <c r="AG671" s="43"/>
      <c r="AH671" s="43"/>
      <c r="AI671" s="43"/>
      <c r="AJ671" s="43"/>
      <c r="AK671" s="43"/>
    </row>
    <row r="672"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/>
      <c r="AE672" s="43"/>
      <c r="AF672" s="43"/>
      <c r="AG672" s="43"/>
      <c r="AH672" s="43"/>
      <c r="AI672" s="43"/>
      <c r="AJ672" s="43"/>
      <c r="AK672" s="43"/>
    </row>
    <row r="673"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/>
      <c r="AE673" s="43"/>
      <c r="AF673" s="43"/>
      <c r="AG673" s="43"/>
      <c r="AH673" s="43"/>
      <c r="AI673" s="43"/>
      <c r="AJ673" s="43"/>
      <c r="AK673" s="43"/>
    </row>
    <row r="674"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/>
      <c r="AE674" s="43"/>
      <c r="AF674" s="43"/>
      <c r="AG674" s="43"/>
      <c r="AH674" s="43"/>
      <c r="AI674" s="43"/>
      <c r="AJ674" s="43"/>
      <c r="AK674" s="43"/>
    </row>
    <row r="675"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/>
      <c r="AE675" s="43"/>
      <c r="AF675" s="43"/>
      <c r="AG675" s="43"/>
      <c r="AH675" s="43"/>
      <c r="AI675" s="43"/>
      <c r="AJ675" s="43"/>
      <c r="AK675" s="43"/>
    </row>
    <row r="676"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/>
      <c r="AE676" s="43"/>
      <c r="AF676" s="43"/>
      <c r="AG676" s="43"/>
      <c r="AH676" s="43"/>
      <c r="AI676" s="43"/>
      <c r="AJ676" s="43"/>
      <c r="AK676" s="43"/>
    </row>
    <row r="677"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/>
      <c r="AE677" s="43"/>
      <c r="AF677" s="43"/>
      <c r="AG677" s="43"/>
      <c r="AH677" s="43"/>
      <c r="AI677" s="43"/>
      <c r="AJ677" s="43"/>
      <c r="AK677" s="43"/>
    </row>
    <row r="678"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3"/>
      <c r="AF678" s="43"/>
      <c r="AG678" s="43"/>
      <c r="AH678" s="43"/>
      <c r="AI678" s="43"/>
      <c r="AJ678" s="43"/>
      <c r="AK678" s="43"/>
    </row>
    <row r="679"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3"/>
      <c r="AF679" s="43"/>
      <c r="AG679" s="43"/>
      <c r="AH679" s="43"/>
      <c r="AI679" s="43"/>
      <c r="AJ679" s="43"/>
      <c r="AK679" s="43"/>
    </row>
    <row r="680"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3"/>
      <c r="AF680" s="43"/>
      <c r="AG680" s="43"/>
      <c r="AH680" s="43"/>
      <c r="AI680" s="43"/>
      <c r="AJ680" s="43"/>
      <c r="AK680" s="43"/>
    </row>
    <row r="681"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3"/>
      <c r="AF681" s="43"/>
      <c r="AG681" s="43"/>
      <c r="AH681" s="43"/>
      <c r="AI681" s="43"/>
      <c r="AJ681" s="43"/>
      <c r="AK681" s="43"/>
    </row>
    <row r="682"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3"/>
      <c r="AF682" s="43"/>
      <c r="AG682" s="43"/>
      <c r="AH682" s="43"/>
      <c r="AI682" s="43"/>
      <c r="AJ682" s="43"/>
      <c r="AK682" s="43"/>
    </row>
    <row r="683"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3"/>
      <c r="AF683" s="43"/>
      <c r="AG683" s="43"/>
      <c r="AH683" s="43"/>
      <c r="AI683" s="43"/>
      <c r="AJ683" s="43"/>
      <c r="AK683" s="43"/>
    </row>
    <row r="684"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/>
      <c r="AE684" s="43"/>
      <c r="AF684" s="43"/>
      <c r="AG684" s="43"/>
      <c r="AH684" s="43"/>
      <c r="AI684" s="43"/>
      <c r="AJ684" s="43"/>
      <c r="AK684" s="43"/>
    </row>
    <row r="685"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/>
      <c r="AE685" s="43"/>
      <c r="AF685" s="43"/>
      <c r="AG685" s="43"/>
      <c r="AH685" s="43"/>
      <c r="AI685" s="43"/>
      <c r="AJ685" s="43"/>
      <c r="AK685" s="43"/>
    </row>
    <row r="686"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/>
      <c r="AE686" s="43"/>
      <c r="AF686" s="43"/>
      <c r="AG686" s="43"/>
      <c r="AH686" s="43"/>
      <c r="AI686" s="43"/>
      <c r="AJ686" s="43"/>
      <c r="AK686" s="43"/>
    </row>
    <row r="687"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/>
      <c r="AE687" s="43"/>
      <c r="AF687" s="43"/>
      <c r="AG687" s="43"/>
      <c r="AH687" s="43"/>
      <c r="AI687" s="43"/>
      <c r="AJ687" s="43"/>
      <c r="AK687" s="43"/>
    </row>
    <row r="688"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/>
      <c r="AE688" s="43"/>
      <c r="AF688" s="43"/>
      <c r="AG688" s="43"/>
      <c r="AH688" s="43"/>
      <c r="AI688" s="43"/>
      <c r="AJ688" s="43"/>
      <c r="AK688" s="43"/>
    </row>
    <row r="689"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/>
      <c r="AE689" s="43"/>
      <c r="AF689" s="43"/>
      <c r="AG689" s="43"/>
      <c r="AH689" s="43"/>
      <c r="AI689" s="43"/>
      <c r="AJ689" s="43"/>
      <c r="AK689" s="43"/>
    </row>
    <row r="690"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/>
      <c r="AE690" s="43"/>
      <c r="AF690" s="43"/>
      <c r="AG690" s="43"/>
      <c r="AH690" s="43"/>
      <c r="AI690" s="43"/>
      <c r="AJ690" s="43"/>
      <c r="AK690" s="43"/>
    </row>
    <row r="691"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/>
      <c r="AE691" s="43"/>
      <c r="AF691" s="43"/>
      <c r="AG691" s="43"/>
      <c r="AH691" s="43"/>
      <c r="AI691" s="43"/>
      <c r="AJ691" s="43"/>
      <c r="AK691" s="43"/>
    </row>
    <row r="692"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3"/>
      <c r="AF692" s="43"/>
      <c r="AG692" s="43"/>
      <c r="AH692" s="43"/>
      <c r="AI692" s="43"/>
      <c r="AJ692" s="43"/>
      <c r="AK692" s="43"/>
    </row>
    <row r="693"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3"/>
      <c r="AF693" s="43"/>
      <c r="AG693" s="43"/>
      <c r="AH693" s="43"/>
      <c r="AI693" s="43"/>
      <c r="AJ693" s="43"/>
      <c r="AK693" s="43"/>
    </row>
    <row r="694"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3"/>
      <c r="AF694" s="43"/>
      <c r="AG694" s="43"/>
      <c r="AH694" s="43"/>
      <c r="AI694" s="43"/>
      <c r="AJ694" s="43"/>
      <c r="AK694" s="43"/>
    </row>
    <row r="695"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3"/>
      <c r="AF695" s="43"/>
      <c r="AG695" s="43"/>
      <c r="AH695" s="43"/>
      <c r="AI695" s="43"/>
      <c r="AJ695" s="43"/>
      <c r="AK695" s="43"/>
    </row>
    <row r="696"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3"/>
      <c r="AF696" s="43"/>
      <c r="AG696" s="43"/>
      <c r="AH696" s="43"/>
      <c r="AI696" s="43"/>
      <c r="AJ696" s="43"/>
      <c r="AK696" s="43"/>
    </row>
    <row r="697"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3"/>
      <c r="AF697" s="43"/>
      <c r="AG697" s="43"/>
      <c r="AH697" s="43"/>
      <c r="AI697" s="43"/>
      <c r="AJ697" s="43"/>
      <c r="AK697" s="43"/>
    </row>
    <row r="698"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3"/>
      <c r="AF698" s="43"/>
      <c r="AG698" s="43"/>
      <c r="AH698" s="43"/>
      <c r="AI698" s="43"/>
      <c r="AJ698" s="43"/>
      <c r="AK698" s="43"/>
    </row>
    <row r="699"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3"/>
      <c r="AF699" s="43"/>
      <c r="AG699" s="43"/>
      <c r="AH699" s="43"/>
      <c r="AI699" s="43"/>
      <c r="AJ699" s="43"/>
      <c r="AK699" s="43"/>
    </row>
    <row r="700"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/>
      <c r="AE700" s="43"/>
      <c r="AF700" s="43"/>
      <c r="AG700" s="43"/>
      <c r="AH700" s="43"/>
      <c r="AI700" s="43"/>
      <c r="AJ700" s="43"/>
      <c r="AK700" s="43"/>
    </row>
    <row r="701"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/>
      <c r="AE701" s="43"/>
      <c r="AF701" s="43"/>
      <c r="AG701" s="43"/>
      <c r="AH701" s="43"/>
      <c r="AI701" s="43"/>
      <c r="AJ701" s="43"/>
      <c r="AK701" s="43"/>
    </row>
    <row r="702"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/>
      <c r="AE702" s="43"/>
      <c r="AF702" s="43"/>
      <c r="AG702" s="43"/>
      <c r="AH702" s="43"/>
      <c r="AI702" s="43"/>
      <c r="AJ702" s="43"/>
      <c r="AK702" s="43"/>
    </row>
    <row r="703"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/>
      <c r="AE703" s="43"/>
      <c r="AF703" s="43"/>
      <c r="AG703" s="43"/>
      <c r="AH703" s="43"/>
      <c r="AI703" s="43"/>
      <c r="AJ703" s="43"/>
      <c r="AK703" s="43"/>
    </row>
    <row r="704"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/>
      <c r="AE704" s="43"/>
      <c r="AF704" s="43"/>
      <c r="AG704" s="43"/>
      <c r="AH704" s="43"/>
      <c r="AI704" s="43"/>
      <c r="AJ704" s="43"/>
      <c r="AK704" s="43"/>
    </row>
    <row r="705"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/>
      <c r="AE705" s="43"/>
      <c r="AF705" s="43"/>
      <c r="AG705" s="43"/>
      <c r="AH705" s="43"/>
      <c r="AI705" s="43"/>
      <c r="AJ705" s="43"/>
      <c r="AK705" s="43"/>
    </row>
    <row r="706"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/>
      <c r="AE706" s="43"/>
      <c r="AF706" s="43"/>
      <c r="AG706" s="43"/>
      <c r="AH706" s="43"/>
      <c r="AI706" s="43"/>
      <c r="AJ706" s="43"/>
      <c r="AK706" s="43"/>
    </row>
    <row r="707"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/>
      <c r="AE707" s="43"/>
      <c r="AF707" s="43"/>
      <c r="AG707" s="43"/>
      <c r="AH707" s="43"/>
      <c r="AI707" s="43"/>
      <c r="AJ707" s="43"/>
      <c r="AK707" s="43"/>
    </row>
    <row r="708"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3"/>
      <c r="AF708" s="43"/>
      <c r="AG708" s="43"/>
      <c r="AH708" s="43"/>
      <c r="AI708" s="43"/>
      <c r="AJ708" s="43"/>
      <c r="AK708" s="43"/>
    </row>
    <row r="709"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3"/>
      <c r="AF709" s="43"/>
      <c r="AG709" s="43"/>
      <c r="AH709" s="43"/>
      <c r="AI709" s="43"/>
      <c r="AJ709" s="43"/>
      <c r="AK709" s="43"/>
    </row>
    <row r="710"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3"/>
      <c r="AF710" s="43"/>
      <c r="AG710" s="43"/>
      <c r="AH710" s="43"/>
      <c r="AI710" s="43"/>
      <c r="AJ710" s="43"/>
      <c r="AK710" s="43"/>
    </row>
    <row r="711"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3"/>
      <c r="AF711" s="43"/>
      <c r="AG711" s="43"/>
      <c r="AH711" s="43"/>
      <c r="AI711" s="43"/>
      <c r="AJ711" s="43"/>
      <c r="AK711" s="43"/>
    </row>
    <row r="712"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3"/>
      <c r="AF712" s="43"/>
      <c r="AG712" s="43"/>
      <c r="AH712" s="43"/>
      <c r="AI712" s="43"/>
      <c r="AJ712" s="43"/>
      <c r="AK712" s="43"/>
    </row>
    <row r="713"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3"/>
      <c r="AF713" s="43"/>
      <c r="AG713" s="43"/>
      <c r="AH713" s="43"/>
      <c r="AI713" s="43"/>
      <c r="AJ713" s="43"/>
      <c r="AK713" s="43"/>
    </row>
    <row r="714"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3"/>
      <c r="AF714" s="43"/>
      <c r="AG714" s="43"/>
      <c r="AH714" s="43"/>
      <c r="AI714" s="43"/>
      <c r="AJ714" s="43"/>
      <c r="AK714" s="43"/>
    </row>
    <row r="715"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3"/>
      <c r="AF715" s="43"/>
      <c r="AG715" s="43"/>
      <c r="AH715" s="43"/>
      <c r="AI715" s="43"/>
      <c r="AJ715" s="43"/>
      <c r="AK715" s="43"/>
    </row>
    <row r="716"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/>
      <c r="AE716" s="43"/>
      <c r="AF716" s="43"/>
      <c r="AG716" s="43"/>
      <c r="AH716" s="43"/>
      <c r="AI716" s="43"/>
      <c r="AJ716" s="43"/>
      <c r="AK716" s="43"/>
    </row>
    <row r="717"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/>
      <c r="AE717" s="43"/>
      <c r="AF717" s="43"/>
      <c r="AG717" s="43"/>
      <c r="AH717" s="43"/>
      <c r="AI717" s="43"/>
      <c r="AJ717" s="43"/>
      <c r="AK717" s="43"/>
    </row>
    <row r="718"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/>
      <c r="AE718" s="43"/>
      <c r="AF718" s="43"/>
      <c r="AG718" s="43"/>
      <c r="AH718" s="43"/>
      <c r="AI718" s="43"/>
      <c r="AJ718" s="43"/>
      <c r="AK718" s="43"/>
    </row>
    <row r="719"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/>
      <c r="AE719" s="43"/>
      <c r="AF719" s="43"/>
      <c r="AG719" s="43"/>
      <c r="AH719" s="43"/>
      <c r="AI719" s="43"/>
      <c r="AJ719" s="43"/>
      <c r="AK719" s="43"/>
    </row>
    <row r="720"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/>
      <c r="AE720" s="43"/>
      <c r="AF720" s="43"/>
      <c r="AG720" s="43"/>
      <c r="AH720" s="43"/>
      <c r="AI720" s="43"/>
      <c r="AJ720" s="43"/>
      <c r="AK720" s="43"/>
    </row>
    <row r="721"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/>
      <c r="AE721" s="43"/>
      <c r="AF721" s="43"/>
      <c r="AG721" s="43"/>
      <c r="AH721" s="43"/>
      <c r="AI721" s="43"/>
      <c r="AJ721" s="43"/>
      <c r="AK721" s="43"/>
    </row>
    <row r="722"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/>
      <c r="AE722" s="43"/>
      <c r="AF722" s="43"/>
      <c r="AG722" s="43"/>
      <c r="AH722" s="43"/>
      <c r="AI722" s="43"/>
      <c r="AJ722" s="43"/>
      <c r="AK722" s="43"/>
    </row>
    <row r="723"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/>
      <c r="AE723" s="43"/>
      <c r="AF723" s="43"/>
      <c r="AG723" s="43"/>
      <c r="AH723" s="43"/>
      <c r="AI723" s="43"/>
      <c r="AJ723" s="43"/>
      <c r="AK723" s="43"/>
    </row>
    <row r="724"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/>
      <c r="AE724" s="43"/>
      <c r="AF724" s="43"/>
      <c r="AG724" s="43"/>
      <c r="AH724" s="43"/>
      <c r="AI724" s="43"/>
      <c r="AJ724" s="43"/>
      <c r="AK724" s="43"/>
    </row>
    <row r="725"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/>
      <c r="AE725" s="43"/>
      <c r="AF725" s="43"/>
      <c r="AG725" s="43"/>
      <c r="AH725" s="43"/>
      <c r="AI725" s="43"/>
      <c r="AJ725" s="43"/>
      <c r="AK725" s="43"/>
    </row>
    <row r="726"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3"/>
      <c r="AF726" s="43"/>
      <c r="AG726" s="43"/>
      <c r="AH726" s="43"/>
      <c r="AI726" s="43"/>
      <c r="AJ726" s="43"/>
      <c r="AK726" s="43"/>
    </row>
    <row r="727"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3"/>
      <c r="AF727" s="43"/>
      <c r="AG727" s="43"/>
      <c r="AH727" s="43"/>
      <c r="AI727" s="43"/>
      <c r="AJ727" s="43"/>
      <c r="AK727" s="43"/>
    </row>
    <row r="728"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3"/>
      <c r="AF728" s="43"/>
      <c r="AG728" s="43"/>
      <c r="AH728" s="43"/>
      <c r="AI728" s="43"/>
      <c r="AJ728" s="43"/>
      <c r="AK728" s="43"/>
    </row>
    <row r="729"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3"/>
      <c r="AF729" s="43"/>
      <c r="AG729" s="43"/>
      <c r="AH729" s="43"/>
      <c r="AI729" s="43"/>
      <c r="AJ729" s="43"/>
      <c r="AK729" s="43"/>
    </row>
    <row r="730"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3"/>
      <c r="AF730" s="43"/>
      <c r="AG730" s="43"/>
      <c r="AH730" s="43"/>
      <c r="AI730" s="43"/>
      <c r="AJ730" s="43"/>
      <c r="AK730" s="43"/>
    </row>
    <row r="731"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3"/>
      <c r="AF731" s="43"/>
      <c r="AG731" s="43"/>
      <c r="AH731" s="43"/>
      <c r="AI731" s="43"/>
      <c r="AJ731" s="43"/>
      <c r="AK731" s="43"/>
    </row>
    <row r="732"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3"/>
      <c r="AF732" s="43"/>
      <c r="AG732" s="43"/>
      <c r="AH732" s="43"/>
      <c r="AI732" s="43"/>
      <c r="AJ732" s="43"/>
      <c r="AK732" s="43"/>
    </row>
    <row r="733"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3"/>
      <c r="AF733" s="43"/>
      <c r="AG733" s="43"/>
      <c r="AH733" s="43"/>
      <c r="AI733" s="43"/>
      <c r="AJ733" s="43"/>
      <c r="AK733" s="43"/>
    </row>
    <row r="734"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/>
      <c r="AE734" s="43"/>
      <c r="AF734" s="43"/>
      <c r="AG734" s="43"/>
      <c r="AH734" s="43"/>
      <c r="AI734" s="43"/>
      <c r="AJ734" s="43"/>
      <c r="AK734" s="43"/>
    </row>
    <row r="735"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/>
      <c r="AE735" s="43"/>
      <c r="AF735" s="43"/>
      <c r="AG735" s="43"/>
      <c r="AH735" s="43"/>
      <c r="AI735" s="43"/>
      <c r="AJ735" s="43"/>
      <c r="AK735" s="43"/>
    </row>
    <row r="736"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/>
      <c r="AE736" s="43"/>
      <c r="AF736" s="43"/>
      <c r="AG736" s="43"/>
      <c r="AH736" s="43"/>
      <c r="AI736" s="43"/>
      <c r="AJ736" s="43"/>
      <c r="AK736" s="43"/>
    </row>
    <row r="737"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/>
      <c r="AE737" s="43"/>
      <c r="AF737" s="43"/>
      <c r="AG737" s="43"/>
      <c r="AH737" s="43"/>
      <c r="AI737" s="43"/>
      <c r="AJ737" s="43"/>
      <c r="AK737" s="43"/>
    </row>
    <row r="738"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/>
      <c r="AE738" s="43"/>
      <c r="AF738" s="43"/>
      <c r="AG738" s="43"/>
      <c r="AH738" s="43"/>
      <c r="AI738" s="43"/>
      <c r="AJ738" s="43"/>
      <c r="AK738" s="43"/>
    </row>
    <row r="739"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/>
      <c r="AE739" s="43"/>
      <c r="AF739" s="43"/>
      <c r="AG739" s="43"/>
      <c r="AH739" s="43"/>
      <c r="AI739" s="43"/>
      <c r="AJ739" s="43"/>
      <c r="AK739" s="43"/>
    </row>
    <row r="740"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/>
      <c r="AE740" s="43"/>
      <c r="AF740" s="43"/>
      <c r="AG740" s="43"/>
      <c r="AH740" s="43"/>
      <c r="AI740" s="43"/>
      <c r="AJ740" s="43"/>
      <c r="AK740" s="43"/>
    </row>
    <row r="741"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/>
      <c r="AE741" s="43"/>
      <c r="AF741" s="43"/>
      <c r="AG741" s="43"/>
      <c r="AH741" s="43"/>
      <c r="AI741" s="43"/>
      <c r="AJ741" s="43"/>
      <c r="AK741" s="43"/>
    </row>
    <row r="742"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3"/>
      <c r="AF742" s="43"/>
      <c r="AG742" s="43"/>
      <c r="AH742" s="43"/>
      <c r="AI742" s="43"/>
      <c r="AJ742" s="43"/>
      <c r="AK742" s="43"/>
    </row>
    <row r="743"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3"/>
      <c r="AF743" s="43"/>
      <c r="AG743" s="43"/>
      <c r="AH743" s="43"/>
      <c r="AI743" s="43"/>
      <c r="AJ743" s="43"/>
      <c r="AK743" s="43"/>
    </row>
    <row r="744"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3"/>
      <c r="AF744" s="43"/>
      <c r="AG744" s="43"/>
      <c r="AH744" s="43"/>
      <c r="AI744" s="43"/>
      <c r="AJ744" s="43"/>
      <c r="AK744" s="43"/>
    </row>
    <row r="745"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3"/>
      <c r="AF745" s="43"/>
      <c r="AG745" s="43"/>
      <c r="AH745" s="43"/>
      <c r="AI745" s="43"/>
      <c r="AJ745" s="43"/>
      <c r="AK745" s="43"/>
    </row>
    <row r="746"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3"/>
      <c r="AF746" s="43"/>
      <c r="AG746" s="43"/>
      <c r="AH746" s="43"/>
      <c r="AI746" s="43"/>
      <c r="AJ746" s="43"/>
      <c r="AK746" s="43"/>
    </row>
    <row r="747"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3"/>
      <c r="AF747" s="43"/>
      <c r="AG747" s="43"/>
      <c r="AH747" s="43"/>
      <c r="AI747" s="43"/>
      <c r="AJ747" s="43"/>
      <c r="AK747" s="43"/>
    </row>
    <row r="748"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3"/>
      <c r="AF748" s="43"/>
      <c r="AG748" s="43"/>
      <c r="AH748" s="43"/>
      <c r="AI748" s="43"/>
      <c r="AJ748" s="43"/>
      <c r="AK748" s="43"/>
    </row>
    <row r="749"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3"/>
      <c r="AF749" s="43"/>
      <c r="AG749" s="43"/>
      <c r="AH749" s="43"/>
      <c r="AI749" s="43"/>
      <c r="AJ749" s="43"/>
      <c r="AK749" s="43"/>
    </row>
    <row r="750"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3"/>
      <c r="AF750" s="43"/>
      <c r="AG750" s="43"/>
      <c r="AH750" s="43"/>
      <c r="AI750" s="43"/>
      <c r="AJ750" s="43"/>
      <c r="AK750" s="43"/>
    </row>
    <row r="751"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3"/>
      <c r="AF751" s="43"/>
      <c r="AG751" s="43"/>
      <c r="AH751" s="43"/>
      <c r="AI751" s="43"/>
      <c r="AJ751" s="43"/>
      <c r="AK751" s="43"/>
    </row>
    <row r="752"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3"/>
      <c r="AF752" s="43"/>
      <c r="AG752" s="43"/>
      <c r="AH752" s="43"/>
      <c r="AI752" s="43"/>
      <c r="AJ752" s="43"/>
      <c r="AK752" s="43"/>
    </row>
    <row r="753"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3"/>
      <c r="AF753" s="43"/>
      <c r="AG753" s="43"/>
      <c r="AH753" s="43"/>
      <c r="AI753" s="43"/>
      <c r="AJ753" s="43"/>
      <c r="AK753" s="43"/>
    </row>
    <row r="754"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3"/>
      <c r="AF754" s="43"/>
      <c r="AG754" s="43"/>
      <c r="AH754" s="43"/>
      <c r="AI754" s="43"/>
      <c r="AJ754" s="43"/>
      <c r="AK754" s="43"/>
    </row>
    <row r="755"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3"/>
      <c r="AF755" s="43"/>
      <c r="AG755" s="43"/>
      <c r="AH755" s="43"/>
      <c r="AI755" s="43"/>
      <c r="AJ755" s="43"/>
      <c r="AK755" s="43"/>
    </row>
    <row r="756"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/>
      <c r="AE756" s="43"/>
      <c r="AF756" s="43"/>
      <c r="AG756" s="43"/>
      <c r="AH756" s="43"/>
      <c r="AI756" s="43"/>
      <c r="AJ756" s="43"/>
      <c r="AK756" s="43"/>
    </row>
    <row r="757"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/>
      <c r="AE757" s="43"/>
      <c r="AF757" s="43"/>
      <c r="AG757" s="43"/>
      <c r="AH757" s="43"/>
      <c r="AI757" s="43"/>
      <c r="AJ757" s="43"/>
      <c r="AK757" s="43"/>
    </row>
    <row r="758"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/>
      <c r="AE758" s="43"/>
      <c r="AF758" s="43"/>
      <c r="AG758" s="43"/>
      <c r="AH758" s="43"/>
      <c r="AI758" s="43"/>
      <c r="AJ758" s="43"/>
      <c r="AK758" s="43"/>
    </row>
    <row r="759"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/>
      <c r="AE759" s="43"/>
      <c r="AF759" s="43"/>
      <c r="AG759" s="43"/>
      <c r="AH759" s="43"/>
      <c r="AI759" s="43"/>
      <c r="AJ759" s="43"/>
      <c r="AK759" s="43"/>
    </row>
    <row r="760"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/>
      <c r="AE760" s="43"/>
      <c r="AF760" s="43"/>
      <c r="AG760" s="43"/>
      <c r="AH760" s="43"/>
      <c r="AI760" s="43"/>
      <c r="AJ760" s="43"/>
      <c r="AK760" s="43"/>
    </row>
    <row r="761"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/>
      <c r="AE761" s="43"/>
      <c r="AF761" s="43"/>
      <c r="AG761" s="43"/>
      <c r="AH761" s="43"/>
      <c r="AI761" s="43"/>
      <c r="AJ761" s="43"/>
      <c r="AK761" s="43"/>
    </row>
    <row r="762"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/>
      <c r="AE762" s="43"/>
      <c r="AF762" s="43"/>
      <c r="AG762" s="43"/>
      <c r="AH762" s="43"/>
      <c r="AI762" s="43"/>
      <c r="AJ762" s="43"/>
      <c r="AK762" s="43"/>
    </row>
    <row r="763"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/>
      <c r="AE763" s="43"/>
      <c r="AF763" s="43"/>
      <c r="AG763" s="43"/>
      <c r="AH763" s="43"/>
      <c r="AI763" s="43"/>
      <c r="AJ763" s="43"/>
      <c r="AK763" s="43"/>
    </row>
    <row r="764"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3"/>
      <c r="AF764" s="43"/>
      <c r="AG764" s="43"/>
      <c r="AH764" s="43"/>
      <c r="AI764" s="43"/>
      <c r="AJ764" s="43"/>
      <c r="AK764" s="43"/>
    </row>
    <row r="765"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3"/>
      <c r="AF765" s="43"/>
      <c r="AG765" s="43"/>
      <c r="AH765" s="43"/>
      <c r="AI765" s="43"/>
      <c r="AJ765" s="43"/>
      <c r="AK765" s="43"/>
    </row>
    <row r="766"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3"/>
      <c r="AF766" s="43"/>
      <c r="AG766" s="43"/>
      <c r="AH766" s="43"/>
      <c r="AI766" s="43"/>
      <c r="AJ766" s="43"/>
      <c r="AK766" s="43"/>
    </row>
    <row r="767"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3"/>
      <c r="AF767" s="43"/>
      <c r="AG767" s="43"/>
      <c r="AH767" s="43"/>
      <c r="AI767" s="43"/>
      <c r="AJ767" s="43"/>
      <c r="AK767" s="43"/>
    </row>
    <row r="768"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3"/>
      <c r="AF768" s="43"/>
      <c r="AG768" s="43"/>
      <c r="AH768" s="43"/>
      <c r="AI768" s="43"/>
      <c r="AJ768" s="43"/>
      <c r="AK768" s="43"/>
    </row>
    <row r="769"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3"/>
      <c r="AF769" s="43"/>
      <c r="AG769" s="43"/>
      <c r="AH769" s="43"/>
      <c r="AI769" s="43"/>
      <c r="AJ769" s="43"/>
      <c r="AK769" s="43"/>
    </row>
    <row r="770"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3"/>
      <c r="AF770" s="43"/>
      <c r="AG770" s="43"/>
      <c r="AH770" s="43"/>
      <c r="AI770" s="43"/>
      <c r="AJ770" s="43"/>
      <c r="AK770" s="43"/>
    </row>
    <row r="771"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3"/>
      <c r="AF771" s="43"/>
      <c r="AG771" s="43"/>
      <c r="AH771" s="43"/>
      <c r="AI771" s="43"/>
      <c r="AJ771" s="43"/>
      <c r="AK771" s="43"/>
    </row>
    <row r="772"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3"/>
      <c r="AF772" s="43"/>
      <c r="AG772" s="43"/>
      <c r="AH772" s="43"/>
      <c r="AI772" s="43"/>
      <c r="AJ772" s="43"/>
      <c r="AK772" s="43"/>
    </row>
    <row r="773"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3"/>
      <c r="AF773" s="43"/>
      <c r="AG773" s="43"/>
      <c r="AH773" s="43"/>
      <c r="AI773" s="43"/>
      <c r="AJ773" s="43"/>
      <c r="AK773" s="43"/>
    </row>
    <row r="774"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/>
      <c r="AE774" s="43"/>
      <c r="AF774" s="43"/>
      <c r="AG774" s="43"/>
      <c r="AH774" s="43"/>
      <c r="AI774" s="43"/>
      <c r="AJ774" s="43"/>
      <c r="AK774" s="43"/>
    </row>
    <row r="775"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/>
      <c r="AE775" s="43"/>
      <c r="AF775" s="43"/>
      <c r="AG775" s="43"/>
      <c r="AH775" s="43"/>
      <c r="AI775" s="43"/>
      <c r="AJ775" s="43"/>
      <c r="AK775" s="43"/>
    </row>
    <row r="776"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/>
      <c r="AE776" s="43"/>
      <c r="AF776" s="43"/>
      <c r="AG776" s="43"/>
      <c r="AH776" s="43"/>
      <c r="AI776" s="43"/>
      <c r="AJ776" s="43"/>
      <c r="AK776" s="43"/>
    </row>
    <row r="777"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/>
      <c r="AE777" s="43"/>
      <c r="AF777" s="43"/>
      <c r="AG777" s="43"/>
      <c r="AH777" s="43"/>
      <c r="AI777" s="43"/>
      <c r="AJ777" s="43"/>
      <c r="AK777" s="43"/>
    </row>
    <row r="778"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/>
      <c r="AE778" s="43"/>
      <c r="AF778" s="43"/>
      <c r="AG778" s="43"/>
      <c r="AH778" s="43"/>
      <c r="AI778" s="43"/>
      <c r="AJ778" s="43"/>
      <c r="AK778" s="43"/>
    </row>
    <row r="779"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/>
      <c r="AE779" s="43"/>
      <c r="AF779" s="43"/>
      <c r="AG779" s="43"/>
      <c r="AH779" s="43"/>
      <c r="AI779" s="43"/>
      <c r="AJ779" s="43"/>
      <c r="AK779" s="43"/>
    </row>
    <row r="780"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/>
      <c r="AE780" s="43"/>
      <c r="AF780" s="43"/>
      <c r="AG780" s="43"/>
      <c r="AH780" s="43"/>
      <c r="AI780" s="43"/>
      <c r="AJ780" s="43"/>
      <c r="AK780" s="43"/>
    </row>
    <row r="781"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/>
      <c r="AE781" s="43"/>
      <c r="AF781" s="43"/>
      <c r="AG781" s="43"/>
      <c r="AH781" s="43"/>
      <c r="AI781" s="43"/>
      <c r="AJ781" s="43"/>
      <c r="AK781" s="43"/>
    </row>
    <row r="782"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/>
      <c r="AE782" s="43"/>
      <c r="AF782" s="43"/>
      <c r="AG782" s="43"/>
      <c r="AH782" s="43"/>
      <c r="AI782" s="43"/>
      <c r="AJ782" s="43"/>
      <c r="AK782" s="43"/>
    </row>
    <row r="783"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/>
      <c r="AE783" s="43"/>
      <c r="AF783" s="43"/>
      <c r="AG783" s="43"/>
      <c r="AH783" s="43"/>
      <c r="AI783" s="43"/>
      <c r="AJ783" s="43"/>
      <c r="AK783" s="43"/>
    </row>
    <row r="784"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/>
      <c r="AE784" s="43"/>
      <c r="AF784" s="43"/>
      <c r="AG784" s="43"/>
      <c r="AH784" s="43"/>
      <c r="AI784" s="43"/>
      <c r="AJ784" s="43"/>
      <c r="AK784" s="43"/>
    </row>
    <row r="785"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/>
      <c r="AE785" s="43"/>
      <c r="AF785" s="43"/>
      <c r="AG785" s="43"/>
      <c r="AH785" s="43"/>
      <c r="AI785" s="43"/>
      <c r="AJ785" s="43"/>
      <c r="AK785" s="43"/>
    </row>
    <row r="786"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3"/>
      <c r="AF786" s="43"/>
      <c r="AG786" s="43"/>
      <c r="AH786" s="43"/>
      <c r="AI786" s="43"/>
      <c r="AJ786" s="43"/>
      <c r="AK786" s="43"/>
    </row>
    <row r="787"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3"/>
      <c r="AF787" s="43"/>
      <c r="AG787" s="43"/>
      <c r="AH787" s="43"/>
      <c r="AI787" s="43"/>
      <c r="AJ787" s="43"/>
      <c r="AK787" s="43"/>
    </row>
    <row r="788"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3"/>
      <c r="AF788" s="43"/>
      <c r="AG788" s="43"/>
      <c r="AH788" s="43"/>
      <c r="AI788" s="43"/>
      <c r="AJ788" s="43"/>
      <c r="AK788" s="43"/>
    </row>
    <row r="789"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3"/>
      <c r="AF789" s="43"/>
      <c r="AG789" s="43"/>
      <c r="AH789" s="43"/>
      <c r="AI789" s="43"/>
      <c r="AJ789" s="43"/>
      <c r="AK789" s="43"/>
    </row>
    <row r="790"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3"/>
      <c r="AF790" s="43"/>
      <c r="AG790" s="43"/>
      <c r="AH790" s="43"/>
      <c r="AI790" s="43"/>
      <c r="AJ790" s="43"/>
      <c r="AK790" s="43"/>
    </row>
    <row r="791"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3"/>
      <c r="AF791" s="43"/>
      <c r="AG791" s="43"/>
      <c r="AH791" s="43"/>
      <c r="AI791" s="43"/>
      <c r="AJ791" s="43"/>
      <c r="AK791" s="43"/>
    </row>
    <row r="792"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3"/>
      <c r="AF792" s="43"/>
      <c r="AG792" s="43"/>
      <c r="AH792" s="43"/>
      <c r="AI792" s="43"/>
      <c r="AJ792" s="43"/>
      <c r="AK792" s="43"/>
    </row>
    <row r="793"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3"/>
      <c r="AF793" s="43"/>
      <c r="AG793" s="43"/>
      <c r="AH793" s="43"/>
      <c r="AI793" s="43"/>
      <c r="AJ793" s="43"/>
      <c r="AK793" s="43"/>
    </row>
    <row r="794"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3"/>
      <c r="AF794" s="43"/>
      <c r="AG794" s="43"/>
      <c r="AH794" s="43"/>
      <c r="AI794" s="43"/>
      <c r="AJ794" s="43"/>
      <c r="AK794" s="43"/>
    </row>
    <row r="795"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3"/>
      <c r="AF795" s="43"/>
      <c r="AG795" s="43"/>
      <c r="AH795" s="43"/>
      <c r="AI795" s="43"/>
      <c r="AJ795" s="43"/>
      <c r="AK795" s="43"/>
    </row>
    <row r="796"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/>
      <c r="AE796" s="43"/>
      <c r="AF796" s="43"/>
      <c r="AG796" s="43"/>
      <c r="AH796" s="43"/>
      <c r="AI796" s="43"/>
      <c r="AJ796" s="43"/>
      <c r="AK796" s="43"/>
    </row>
    <row r="797"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/>
      <c r="AE797" s="43"/>
      <c r="AF797" s="43"/>
      <c r="AG797" s="43"/>
      <c r="AH797" s="43"/>
      <c r="AI797" s="43"/>
      <c r="AJ797" s="43"/>
      <c r="AK797" s="43"/>
    </row>
    <row r="798"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/>
      <c r="AE798" s="43"/>
      <c r="AF798" s="43"/>
      <c r="AG798" s="43"/>
      <c r="AH798" s="43"/>
      <c r="AI798" s="43"/>
      <c r="AJ798" s="43"/>
      <c r="AK798" s="43"/>
    </row>
    <row r="799"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/>
      <c r="AE799" s="43"/>
      <c r="AF799" s="43"/>
      <c r="AG799" s="43"/>
      <c r="AH799" s="43"/>
      <c r="AI799" s="43"/>
      <c r="AJ799" s="43"/>
      <c r="AK799" s="43"/>
    </row>
    <row r="800"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/>
      <c r="AE800" s="43"/>
      <c r="AF800" s="43"/>
      <c r="AG800" s="43"/>
      <c r="AH800" s="43"/>
      <c r="AI800" s="43"/>
      <c r="AJ800" s="43"/>
      <c r="AK800" s="43"/>
    </row>
    <row r="801"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/>
      <c r="AE801" s="43"/>
      <c r="AF801" s="43"/>
      <c r="AG801" s="43"/>
      <c r="AH801" s="43"/>
      <c r="AI801" s="43"/>
      <c r="AJ801" s="43"/>
      <c r="AK801" s="43"/>
    </row>
    <row r="802"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/>
      <c r="AE802" s="43"/>
      <c r="AF802" s="43"/>
      <c r="AG802" s="43"/>
      <c r="AH802" s="43"/>
      <c r="AI802" s="43"/>
      <c r="AJ802" s="43"/>
      <c r="AK802" s="43"/>
    </row>
    <row r="803"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/>
      <c r="AE803" s="43"/>
      <c r="AF803" s="43"/>
      <c r="AG803" s="43"/>
      <c r="AH803" s="43"/>
      <c r="AI803" s="43"/>
      <c r="AJ803" s="43"/>
      <c r="AK803" s="43"/>
    </row>
    <row r="804"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3"/>
      <c r="AF804" s="43"/>
      <c r="AG804" s="43"/>
      <c r="AH804" s="43"/>
      <c r="AI804" s="43"/>
      <c r="AJ804" s="43"/>
      <c r="AK804" s="43"/>
    </row>
    <row r="805"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3"/>
      <c r="AF805" s="43"/>
      <c r="AG805" s="43"/>
      <c r="AH805" s="43"/>
      <c r="AI805" s="43"/>
      <c r="AJ805" s="43"/>
      <c r="AK805" s="43"/>
    </row>
    <row r="806"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3"/>
      <c r="AF806" s="43"/>
      <c r="AG806" s="43"/>
      <c r="AH806" s="43"/>
      <c r="AI806" s="43"/>
      <c r="AJ806" s="43"/>
      <c r="AK806" s="43"/>
    </row>
    <row r="807"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3"/>
      <c r="AF807" s="43"/>
      <c r="AG807" s="43"/>
      <c r="AH807" s="43"/>
      <c r="AI807" s="43"/>
      <c r="AJ807" s="43"/>
      <c r="AK807" s="43"/>
    </row>
    <row r="808"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3"/>
      <c r="AF808" s="43"/>
      <c r="AG808" s="43"/>
      <c r="AH808" s="43"/>
      <c r="AI808" s="43"/>
      <c r="AJ808" s="43"/>
      <c r="AK808" s="43"/>
    </row>
    <row r="809"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3"/>
      <c r="AF809" s="43"/>
      <c r="AG809" s="43"/>
      <c r="AH809" s="43"/>
      <c r="AI809" s="43"/>
      <c r="AJ809" s="43"/>
      <c r="AK809" s="43"/>
    </row>
    <row r="810"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3"/>
      <c r="AF810" s="43"/>
      <c r="AG810" s="43"/>
      <c r="AH810" s="43"/>
      <c r="AI810" s="43"/>
      <c r="AJ810" s="43"/>
      <c r="AK810" s="43"/>
    </row>
    <row r="811"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3"/>
      <c r="AF811" s="43"/>
      <c r="AG811" s="43"/>
      <c r="AH811" s="43"/>
      <c r="AI811" s="43"/>
      <c r="AJ811" s="43"/>
      <c r="AK811" s="43"/>
    </row>
    <row r="812"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/>
      <c r="AE812" s="43"/>
      <c r="AF812" s="43"/>
      <c r="AG812" s="43"/>
      <c r="AH812" s="43"/>
      <c r="AI812" s="43"/>
      <c r="AJ812" s="43"/>
      <c r="AK812" s="43"/>
    </row>
    <row r="813"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/>
      <c r="AE813" s="43"/>
      <c r="AF813" s="43"/>
      <c r="AG813" s="43"/>
      <c r="AH813" s="43"/>
      <c r="AI813" s="43"/>
      <c r="AJ813" s="43"/>
      <c r="AK813" s="43"/>
    </row>
    <row r="814"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/>
      <c r="AE814" s="43"/>
      <c r="AF814" s="43"/>
      <c r="AG814" s="43"/>
      <c r="AH814" s="43"/>
      <c r="AI814" s="43"/>
      <c r="AJ814" s="43"/>
      <c r="AK814" s="43"/>
    </row>
    <row r="815"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/>
      <c r="AE815" s="43"/>
      <c r="AF815" s="43"/>
      <c r="AG815" s="43"/>
      <c r="AH815" s="43"/>
      <c r="AI815" s="43"/>
      <c r="AJ815" s="43"/>
      <c r="AK815" s="43"/>
    </row>
    <row r="816"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/>
      <c r="AE816" s="43"/>
      <c r="AF816" s="43"/>
      <c r="AG816" s="43"/>
      <c r="AH816" s="43"/>
      <c r="AI816" s="43"/>
      <c r="AJ816" s="43"/>
      <c r="AK816" s="43"/>
    </row>
    <row r="817"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/>
      <c r="AE817" s="43"/>
      <c r="AF817" s="43"/>
      <c r="AG817" s="43"/>
      <c r="AH817" s="43"/>
      <c r="AI817" s="43"/>
      <c r="AJ817" s="43"/>
      <c r="AK817" s="43"/>
    </row>
    <row r="818"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/>
      <c r="AE818" s="43"/>
      <c r="AF818" s="43"/>
      <c r="AG818" s="43"/>
      <c r="AH818" s="43"/>
      <c r="AI818" s="43"/>
      <c r="AJ818" s="43"/>
      <c r="AK818" s="43"/>
    </row>
    <row r="819"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/>
      <c r="AE819" s="43"/>
      <c r="AF819" s="43"/>
      <c r="AG819" s="43"/>
      <c r="AH819" s="43"/>
      <c r="AI819" s="43"/>
      <c r="AJ819" s="43"/>
      <c r="AK819" s="43"/>
    </row>
    <row r="820"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3"/>
      <c r="AF820" s="43"/>
      <c r="AG820" s="43"/>
      <c r="AH820" s="43"/>
      <c r="AI820" s="43"/>
      <c r="AJ820" s="43"/>
      <c r="AK820" s="43"/>
    </row>
    <row r="821"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3"/>
      <c r="AF821" s="43"/>
      <c r="AG821" s="43"/>
      <c r="AH821" s="43"/>
      <c r="AI821" s="43"/>
      <c r="AJ821" s="43"/>
      <c r="AK821" s="43"/>
    </row>
    <row r="822"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3"/>
      <c r="AF822" s="43"/>
      <c r="AG822" s="43"/>
      <c r="AH822" s="43"/>
      <c r="AI822" s="43"/>
      <c r="AJ822" s="43"/>
      <c r="AK822" s="43"/>
    </row>
    <row r="823"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3"/>
      <c r="AF823" s="43"/>
      <c r="AG823" s="43"/>
      <c r="AH823" s="43"/>
      <c r="AI823" s="43"/>
      <c r="AJ823" s="43"/>
      <c r="AK823" s="43"/>
    </row>
    <row r="824"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3"/>
      <c r="AF824" s="43"/>
      <c r="AG824" s="43"/>
      <c r="AH824" s="43"/>
      <c r="AI824" s="43"/>
      <c r="AJ824" s="43"/>
      <c r="AK824" s="43"/>
    </row>
    <row r="825"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3"/>
      <c r="AF825" s="43"/>
      <c r="AG825" s="43"/>
      <c r="AH825" s="43"/>
      <c r="AI825" s="43"/>
      <c r="AJ825" s="43"/>
      <c r="AK825" s="43"/>
    </row>
    <row r="826"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3"/>
      <c r="AF826" s="43"/>
      <c r="AG826" s="43"/>
      <c r="AH826" s="43"/>
      <c r="AI826" s="43"/>
      <c r="AJ826" s="43"/>
      <c r="AK826" s="43"/>
    </row>
    <row r="827"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3"/>
      <c r="AF827" s="43"/>
      <c r="AG827" s="43"/>
      <c r="AH827" s="43"/>
      <c r="AI827" s="43"/>
      <c r="AJ827" s="43"/>
      <c r="AK827" s="43"/>
    </row>
    <row r="828"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3"/>
      <c r="AF828" s="43"/>
      <c r="AG828" s="43"/>
      <c r="AH828" s="43"/>
      <c r="AI828" s="43"/>
      <c r="AJ828" s="43"/>
      <c r="AK828" s="43"/>
    </row>
    <row r="829"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3"/>
      <c r="AF829" s="43"/>
      <c r="AG829" s="43"/>
      <c r="AH829" s="43"/>
      <c r="AI829" s="43"/>
      <c r="AJ829" s="43"/>
      <c r="AK829" s="43"/>
    </row>
    <row r="830"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/>
      <c r="AE830" s="43"/>
      <c r="AF830" s="43"/>
      <c r="AG830" s="43"/>
      <c r="AH830" s="43"/>
      <c r="AI830" s="43"/>
      <c r="AJ830" s="43"/>
      <c r="AK830" s="43"/>
    </row>
    <row r="831"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/>
      <c r="AE831" s="43"/>
      <c r="AF831" s="43"/>
      <c r="AG831" s="43"/>
      <c r="AH831" s="43"/>
      <c r="AI831" s="43"/>
      <c r="AJ831" s="43"/>
      <c r="AK831" s="43"/>
    </row>
    <row r="832"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/>
      <c r="AE832" s="43"/>
      <c r="AF832" s="43"/>
      <c r="AG832" s="43"/>
      <c r="AH832" s="43"/>
      <c r="AI832" s="43"/>
      <c r="AJ832" s="43"/>
      <c r="AK832" s="43"/>
    </row>
    <row r="833"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I833" s="43"/>
      <c r="AJ833" s="43"/>
      <c r="AK833" s="43"/>
    </row>
    <row r="834"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I834" s="43"/>
      <c r="AJ834" s="43"/>
      <c r="AK834" s="43"/>
    </row>
    <row r="835"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/>
      <c r="AE835" s="43"/>
      <c r="AF835" s="43"/>
      <c r="AG835" s="43"/>
      <c r="AH835" s="43"/>
      <c r="AI835" s="43"/>
      <c r="AJ835" s="43"/>
      <c r="AK835" s="43"/>
    </row>
    <row r="836"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/>
      <c r="AE836" s="43"/>
      <c r="AF836" s="43"/>
      <c r="AG836" s="43"/>
      <c r="AH836" s="43"/>
      <c r="AI836" s="43"/>
      <c r="AJ836" s="43"/>
      <c r="AK836" s="43"/>
    </row>
    <row r="837"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/>
      <c r="AE837" s="43"/>
      <c r="AF837" s="43"/>
      <c r="AG837" s="43"/>
      <c r="AH837" s="43"/>
      <c r="AI837" s="43"/>
      <c r="AJ837" s="43"/>
      <c r="AK837" s="43"/>
    </row>
    <row r="838"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3"/>
      <c r="AF838" s="43"/>
      <c r="AG838" s="43"/>
      <c r="AH838" s="43"/>
      <c r="AI838" s="43"/>
      <c r="AJ838" s="43"/>
      <c r="AK838" s="43"/>
    </row>
    <row r="839"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3"/>
      <c r="AF839" s="43"/>
      <c r="AG839" s="43"/>
      <c r="AH839" s="43"/>
      <c r="AI839" s="43"/>
      <c r="AJ839" s="43"/>
      <c r="AK839" s="43"/>
    </row>
    <row r="840"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I840" s="43"/>
      <c r="AJ840" s="43"/>
      <c r="AK840" s="43"/>
    </row>
    <row r="841"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I841" s="43"/>
      <c r="AJ841" s="43"/>
      <c r="AK841" s="43"/>
    </row>
    <row r="842"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3"/>
      <c r="AF842" s="43"/>
      <c r="AG842" s="43"/>
      <c r="AH842" s="43"/>
      <c r="AI842" s="43"/>
      <c r="AJ842" s="43"/>
      <c r="AK842" s="43"/>
    </row>
    <row r="843"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3"/>
      <c r="AF843" s="43"/>
      <c r="AG843" s="43"/>
      <c r="AH843" s="43"/>
      <c r="AI843" s="43"/>
      <c r="AJ843" s="43"/>
      <c r="AK843" s="43"/>
    </row>
    <row r="844"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3"/>
      <c r="AF844" s="43"/>
      <c r="AG844" s="43"/>
      <c r="AH844" s="43"/>
      <c r="AI844" s="43"/>
      <c r="AJ844" s="43"/>
      <c r="AK844" s="43"/>
    </row>
    <row r="845"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3"/>
      <c r="AF845" s="43"/>
      <c r="AG845" s="43"/>
      <c r="AH845" s="43"/>
      <c r="AI845" s="43"/>
      <c r="AJ845" s="43"/>
      <c r="AK845" s="43"/>
    </row>
    <row r="846"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3"/>
      <c r="AF846" s="43"/>
      <c r="AG846" s="43"/>
      <c r="AH846" s="43"/>
      <c r="AI846" s="43"/>
      <c r="AJ846" s="43"/>
      <c r="AK846" s="43"/>
    </row>
    <row r="847"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3"/>
      <c r="AF847" s="43"/>
      <c r="AG847" s="43"/>
      <c r="AH847" s="43"/>
      <c r="AI847" s="43"/>
      <c r="AJ847" s="43"/>
      <c r="AK847" s="43"/>
    </row>
    <row r="848"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3"/>
      <c r="AF848" s="43"/>
      <c r="AG848" s="43"/>
      <c r="AH848" s="43"/>
      <c r="AI848" s="43"/>
      <c r="AJ848" s="43"/>
      <c r="AK848" s="43"/>
    </row>
    <row r="849"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3"/>
      <c r="AF849" s="43"/>
      <c r="AG849" s="43"/>
      <c r="AH849" s="43"/>
      <c r="AI849" s="43"/>
      <c r="AJ849" s="43"/>
      <c r="AK849" s="43"/>
    </row>
    <row r="850"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/>
      <c r="AE850" s="43"/>
      <c r="AF850" s="43"/>
      <c r="AG850" s="43"/>
      <c r="AH850" s="43"/>
      <c r="AI850" s="43"/>
      <c r="AJ850" s="43"/>
      <c r="AK850" s="43"/>
    </row>
    <row r="851"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/>
      <c r="AE851" s="43"/>
      <c r="AF851" s="43"/>
      <c r="AG851" s="43"/>
      <c r="AH851" s="43"/>
      <c r="AI851" s="43"/>
      <c r="AJ851" s="43"/>
      <c r="AK851" s="43"/>
    </row>
    <row r="852"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/>
      <c r="AE852" s="43"/>
      <c r="AF852" s="43"/>
      <c r="AG852" s="43"/>
      <c r="AH852" s="43"/>
      <c r="AI852" s="43"/>
      <c r="AJ852" s="43"/>
      <c r="AK852" s="43"/>
    </row>
    <row r="853"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/>
      <c r="AE853" s="43"/>
      <c r="AF853" s="43"/>
      <c r="AG853" s="43"/>
      <c r="AH853" s="43"/>
      <c r="AI853" s="43"/>
      <c r="AJ853" s="43"/>
      <c r="AK853" s="43"/>
    </row>
    <row r="854"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/>
      <c r="AE854" s="43"/>
      <c r="AF854" s="43"/>
      <c r="AG854" s="43"/>
      <c r="AH854" s="43"/>
      <c r="AI854" s="43"/>
      <c r="AJ854" s="43"/>
      <c r="AK854" s="43"/>
    </row>
    <row r="855"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/>
      <c r="AE855" s="43"/>
      <c r="AF855" s="43"/>
      <c r="AG855" s="43"/>
      <c r="AH855" s="43"/>
      <c r="AI855" s="43"/>
      <c r="AJ855" s="43"/>
      <c r="AK855" s="43"/>
    </row>
    <row r="856"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/>
      <c r="AE856" s="43"/>
      <c r="AF856" s="43"/>
      <c r="AG856" s="43"/>
      <c r="AH856" s="43"/>
      <c r="AI856" s="43"/>
      <c r="AJ856" s="43"/>
      <c r="AK856" s="43"/>
    </row>
    <row r="857"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/>
      <c r="AE857" s="43"/>
      <c r="AF857" s="43"/>
      <c r="AG857" s="43"/>
      <c r="AH857" s="43"/>
      <c r="AI857" s="43"/>
      <c r="AJ857" s="43"/>
      <c r="AK857" s="43"/>
    </row>
    <row r="858"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3"/>
      <c r="AF858" s="43"/>
      <c r="AG858" s="43"/>
      <c r="AH858" s="43"/>
      <c r="AI858" s="43"/>
      <c r="AJ858" s="43"/>
      <c r="AK858" s="43"/>
    </row>
    <row r="859"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3"/>
      <c r="AF859" s="43"/>
      <c r="AG859" s="43"/>
      <c r="AH859" s="43"/>
      <c r="AI859" s="43"/>
      <c r="AJ859" s="43"/>
      <c r="AK859" s="43"/>
    </row>
    <row r="860"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3"/>
      <c r="AF860" s="43"/>
      <c r="AG860" s="43"/>
      <c r="AH860" s="43"/>
      <c r="AI860" s="43"/>
      <c r="AJ860" s="43"/>
      <c r="AK860" s="43"/>
    </row>
    <row r="861"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3"/>
      <c r="AF861" s="43"/>
      <c r="AG861" s="43"/>
      <c r="AH861" s="43"/>
      <c r="AI861" s="43"/>
      <c r="AJ861" s="43"/>
      <c r="AK861" s="43"/>
    </row>
    <row r="862"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3"/>
      <c r="AF862" s="43"/>
      <c r="AG862" s="43"/>
      <c r="AH862" s="43"/>
      <c r="AI862" s="43"/>
      <c r="AJ862" s="43"/>
      <c r="AK862" s="43"/>
    </row>
    <row r="863"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3"/>
      <c r="AF863" s="43"/>
      <c r="AG863" s="43"/>
      <c r="AH863" s="43"/>
      <c r="AI863" s="43"/>
      <c r="AJ863" s="43"/>
      <c r="AK863" s="43"/>
    </row>
    <row r="864"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3"/>
      <c r="AF864" s="43"/>
      <c r="AG864" s="43"/>
      <c r="AH864" s="43"/>
      <c r="AI864" s="43"/>
      <c r="AJ864" s="43"/>
      <c r="AK864" s="43"/>
    </row>
    <row r="865"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3"/>
      <c r="AF865" s="43"/>
      <c r="AG865" s="43"/>
      <c r="AH865" s="43"/>
      <c r="AI865" s="43"/>
      <c r="AJ865" s="43"/>
      <c r="AK865" s="43"/>
    </row>
    <row r="866"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/>
      <c r="AE866" s="43"/>
      <c r="AF866" s="43"/>
      <c r="AG866" s="43"/>
      <c r="AH866" s="43"/>
      <c r="AI866" s="43"/>
      <c r="AJ866" s="43"/>
      <c r="AK866" s="43"/>
    </row>
    <row r="867"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/>
      <c r="AE867" s="43"/>
      <c r="AF867" s="43"/>
      <c r="AG867" s="43"/>
      <c r="AH867" s="43"/>
      <c r="AI867" s="43"/>
      <c r="AJ867" s="43"/>
      <c r="AK867" s="43"/>
    </row>
    <row r="868"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/>
      <c r="AE868" s="43"/>
      <c r="AF868" s="43"/>
      <c r="AG868" s="43"/>
      <c r="AH868" s="43"/>
      <c r="AI868" s="43"/>
      <c r="AJ868" s="43"/>
      <c r="AK868" s="43"/>
    </row>
    <row r="869"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/>
      <c r="AE869" s="43"/>
      <c r="AF869" s="43"/>
      <c r="AG869" s="43"/>
      <c r="AH869" s="43"/>
      <c r="AI869" s="43"/>
      <c r="AJ869" s="43"/>
      <c r="AK869" s="43"/>
    </row>
    <row r="870"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/>
      <c r="AE870" s="43"/>
      <c r="AF870" s="43"/>
      <c r="AG870" s="43"/>
      <c r="AH870" s="43"/>
      <c r="AI870" s="43"/>
      <c r="AJ870" s="43"/>
      <c r="AK870" s="43"/>
    </row>
    <row r="871"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/>
      <c r="AE871" s="43"/>
      <c r="AF871" s="43"/>
      <c r="AG871" s="43"/>
      <c r="AH871" s="43"/>
      <c r="AI871" s="43"/>
      <c r="AJ871" s="43"/>
      <c r="AK871" s="43"/>
    </row>
    <row r="872"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/>
      <c r="AE872" s="43"/>
      <c r="AF872" s="43"/>
      <c r="AG872" s="43"/>
      <c r="AH872" s="43"/>
      <c r="AI872" s="43"/>
      <c r="AJ872" s="43"/>
      <c r="AK872" s="43"/>
    </row>
    <row r="873"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/>
      <c r="AE873" s="43"/>
      <c r="AF873" s="43"/>
      <c r="AG873" s="43"/>
      <c r="AH873" s="43"/>
      <c r="AI873" s="43"/>
      <c r="AJ873" s="43"/>
      <c r="AK873" s="43"/>
    </row>
    <row r="874"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/>
      <c r="AE874" s="43"/>
      <c r="AF874" s="43"/>
      <c r="AG874" s="43"/>
      <c r="AH874" s="43"/>
      <c r="AI874" s="43"/>
      <c r="AJ874" s="43"/>
      <c r="AK874" s="43"/>
    </row>
    <row r="875"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/>
      <c r="AE875" s="43"/>
      <c r="AF875" s="43"/>
      <c r="AG875" s="43"/>
      <c r="AH875" s="43"/>
      <c r="AI875" s="43"/>
      <c r="AJ875" s="43"/>
      <c r="AK875" s="43"/>
    </row>
    <row r="876"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I876" s="43"/>
      <c r="AJ876" s="43"/>
      <c r="AK876" s="43"/>
    </row>
    <row r="877"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3"/>
      <c r="AF877" s="43"/>
      <c r="AG877" s="43"/>
      <c r="AH877" s="43"/>
      <c r="AI877" s="43"/>
      <c r="AJ877" s="43"/>
      <c r="AK877" s="43"/>
    </row>
    <row r="878"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3"/>
      <c r="AF878" s="43"/>
      <c r="AG878" s="43"/>
      <c r="AH878" s="43"/>
      <c r="AI878" s="43"/>
      <c r="AJ878" s="43"/>
      <c r="AK878" s="43"/>
    </row>
    <row r="879"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3"/>
      <c r="AF879" s="43"/>
      <c r="AG879" s="43"/>
      <c r="AH879" s="43"/>
      <c r="AI879" s="43"/>
      <c r="AJ879" s="43"/>
      <c r="AK879" s="43"/>
    </row>
    <row r="880"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3"/>
      <c r="AF880" s="43"/>
      <c r="AG880" s="43"/>
      <c r="AH880" s="43"/>
      <c r="AI880" s="43"/>
      <c r="AJ880" s="43"/>
      <c r="AK880" s="43"/>
    </row>
    <row r="881"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3"/>
      <c r="AF881" s="43"/>
      <c r="AG881" s="43"/>
      <c r="AH881" s="43"/>
      <c r="AI881" s="43"/>
      <c r="AJ881" s="43"/>
      <c r="AK881" s="43"/>
    </row>
    <row r="882"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3"/>
      <c r="AF882" s="43"/>
      <c r="AG882" s="43"/>
      <c r="AH882" s="43"/>
      <c r="AI882" s="43"/>
      <c r="AJ882" s="43"/>
      <c r="AK882" s="43"/>
    </row>
    <row r="883"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I883" s="43"/>
      <c r="AJ883" s="43"/>
      <c r="AK883" s="43"/>
    </row>
    <row r="884"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3"/>
      <c r="AF884" s="43"/>
      <c r="AG884" s="43"/>
      <c r="AH884" s="43"/>
      <c r="AI884" s="43"/>
      <c r="AJ884" s="43"/>
      <c r="AK884" s="43"/>
    </row>
    <row r="885"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3"/>
      <c r="AF885" s="43"/>
      <c r="AG885" s="43"/>
      <c r="AH885" s="43"/>
      <c r="AI885" s="43"/>
      <c r="AJ885" s="43"/>
      <c r="AK885" s="43"/>
    </row>
    <row r="886"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  <c r="AA886" s="43"/>
      <c r="AB886" s="43"/>
      <c r="AC886" s="43"/>
      <c r="AD886" s="43"/>
      <c r="AE886" s="43"/>
      <c r="AF886" s="43"/>
      <c r="AG886" s="43"/>
      <c r="AH886" s="43"/>
      <c r="AI886" s="43"/>
      <c r="AJ886" s="43"/>
      <c r="AK886" s="43"/>
    </row>
    <row r="887"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3"/>
      <c r="AF887" s="43"/>
      <c r="AG887" s="43"/>
      <c r="AH887" s="43"/>
      <c r="AI887" s="43"/>
      <c r="AJ887" s="43"/>
      <c r="AK887" s="43"/>
    </row>
    <row r="888"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  <c r="AA888" s="43"/>
      <c r="AB888" s="43"/>
      <c r="AC888" s="43"/>
      <c r="AD888" s="43"/>
      <c r="AE888" s="43"/>
      <c r="AF888" s="43"/>
      <c r="AG888" s="43"/>
      <c r="AH888" s="43"/>
      <c r="AI888" s="43"/>
      <c r="AJ888" s="43"/>
      <c r="AK888" s="43"/>
    </row>
    <row r="889"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  <c r="AA889" s="43"/>
      <c r="AB889" s="43"/>
      <c r="AC889" s="43"/>
      <c r="AD889" s="43"/>
      <c r="AE889" s="43"/>
      <c r="AF889" s="43"/>
      <c r="AG889" s="43"/>
      <c r="AH889" s="43"/>
      <c r="AI889" s="43"/>
      <c r="AJ889" s="43"/>
      <c r="AK889" s="43"/>
    </row>
    <row r="890"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  <c r="AA890" s="43"/>
      <c r="AB890" s="43"/>
      <c r="AC890" s="43"/>
      <c r="AD890" s="43"/>
      <c r="AE890" s="43"/>
      <c r="AF890" s="43"/>
      <c r="AG890" s="43"/>
      <c r="AH890" s="43"/>
      <c r="AI890" s="43"/>
      <c r="AJ890" s="43"/>
      <c r="AK890" s="43"/>
    </row>
    <row r="891"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  <c r="AA891" s="43"/>
      <c r="AB891" s="43"/>
      <c r="AC891" s="43"/>
      <c r="AD891" s="43"/>
      <c r="AE891" s="43"/>
      <c r="AF891" s="43"/>
      <c r="AG891" s="43"/>
      <c r="AH891" s="43"/>
      <c r="AI891" s="43"/>
      <c r="AJ891" s="43"/>
      <c r="AK891" s="43"/>
    </row>
    <row r="892"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  <c r="AA892" s="43"/>
      <c r="AB892" s="43"/>
      <c r="AC892" s="43"/>
      <c r="AD892" s="43"/>
      <c r="AE892" s="43"/>
      <c r="AF892" s="43"/>
      <c r="AG892" s="43"/>
      <c r="AH892" s="43"/>
      <c r="AI892" s="43"/>
      <c r="AJ892" s="43"/>
      <c r="AK892" s="43"/>
    </row>
    <row r="893"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  <c r="AA893" s="43"/>
      <c r="AB893" s="43"/>
      <c r="AC893" s="43"/>
      <c r="AD893" s="43"/>
      <c r="AE893" s="43"/>
      <c r="AF893" s="43"/>
      <c r="AG893" s="43"/>
      <c r="AH893" s="43"/>
      <c r="AI893" s="43"/>
      <c r="AJ893" s="43"/>
      <c r="AK893" s="43"/>
    </row>
    <row r="894"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  <c r="AA894" s="43"/>
      <c r="AB894" s="43"/>
      <c r="AC894" s="43"/>
      <c r="AD894" s="43"/>
      <c r="AE894" s="43"/>
      <c r="AF894" s="43"/>
      <c r="AG894" s="43"/>
      <c r="AH894" s="43"/>
      <c r="AI894" s="43"/>
      <c r="AJ894" s="43"/>
      <c r="AK894" s="43"/>
    </row>
    <row r="895"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  <c r="AA895" s="43"/>
      <c r="AB895" s="43"/>
      <c r="AC895" s="43"/>
      <c r="AD895" s="43"/>
      <c r="AE895" s="43"/>
      <c r="AF895" s="43"/>
      <c r="AG895" s="43"/>
      <c r="AH895" s="43"/>
      <c r="AI895" s="43"/>
      <c r="AJ895" s="43"/>
      <c r="AK895" s="43"/>
    </row>
    <row r="896"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  <c r="AA896" s="43"/>
      <c r="AB896" s="43"/>
      <c r="AC896" s="43"/>
      <c r="AD896" s="43"/>
      <c r="AE896" s="43"/>
      <c r="AF896" s="43"/>
      <c r="AG896" s="43"/>
      <c r="AH896" s="43"/>
      <c r="AI896" s="43"/>
      <c r="AJ896" s="43"/>
      <c r="AK896" s="43"/>
    </row>
    <row r="897"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  <c r="AA897" s="43"/>
      <c r="AB897" s="43"/>
      <c r="AC897" s="43"/>
      <c r="AD897" s="43"/>
      <c r="AE897" s="43"/>
      <c r="AF897" s="43"/>
      <c r="AG897" s="43"/>
      <c r="AH897" s="43"/>
      <c r="AI897" s="43"/>
      <c r="AJ897" s="43"/>
      <c r="AK897" s="43"/>
    </row>
    <row r="898"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  <c r="AA898" s="43"/>
      <c r="AB898" s="43"/>
      <c r="AC898" s="43"/>
      <c r="AD898" s="43"/>
      <c r="AE898" s="43"/>
      <c r="AF898" s="43"/>
      <c r="AG898" s="43"/>
      <c r="AH898" s="43"/>
      <c r="AI898" s="43"/>
      <c r="AJ898" s="43"/>
      <c r="AK898" s="43"/>
    </row>
    <row r="899"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  <c r="AA899" s="43"/>
      <c r="AB899" s="43"/>
      <c r="AC899" s="43"/>
      <c r="AD899" s="43"/>
      <c r="AE899" s="43"/>
      <c r="AF899" s="43"/>
      <c r="AG899" s="43"/>
      <c r="AH899" s="43"/>
      <c r="AI899" s="43"/>
      <c r="AJ899" s="43"/>
      <c r="AK899" s="43"/>
    </row>
    <row r="900"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  <c r="AA900" s="43"/>
      <c r="AB900" s="43"/>
      <c r="AC900" s="43"/>
      <c r="AD900" s="43"/>
      <c r="AE900" s="43"/>
      <c r="AF900" s="43"/>
      <c r="AG900" s="43"/>
      <c r="AH900" s="43"/>
      <c r="AI900" s="43"/>
      <c r="AJ900" s="43"/>
      <c r="AK900" s="43"/>
    </row>
    <row r="901"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  <c r="AA901" s="43"/>
      <c r="AB901" s="43"/>
      <c r="AC901" s="43"/>
      <c r="AD901" s="43"/>
      <c r="AE901" s="43"/>
      <c r="AF901" s="43"/>
      <c r="AG901" s="43"/>
      <c r="AH901" s="43"/>
      <c r="AI901" s="43"/>
      <c r="AJ901" s="43"/>
      <c r="AK901" s="43"/>
    </row>
    <row r="902"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  <c r="AA902" s="43"/>
      <c r="AB902" s="43"/>
      <c r="AC902" s="43"/>
      <c r="AD902" s="43"/>
      <c r="AE902" s="43"/>
      <c r="AF902" s="43"/>
      <c r="AG902" s="43"/>
      <c r="AH902" s="43"/>
      <c r="AI902" s="43"/>
      <c r="AJ902" s="43"/>
      <c r="AK902" s="43"/>
    </row>
    <row r="903"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  <c r="AA903" s="43"/>
      <c r="AB903" s="43"/>
      <c r="AC903" s="43"/>
      <c r="AD903" s="43"/>
      <c r="AE903" s="43"/>
      <c r="AF903" s="43"/>
      <c r="AG903" s="43"/>
      <c r="AH903" s="43"/>
      <c r="AI903" s="43"/>
      <c r="AJ903" s="43"/>
      <c r="AK903" s="43"/>
    </row>
    <row r="904"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  <c r="AA904" s="43"/>
      <c r="AB904" s="43"/>
      <c r="AC904" s="43"/>
      <c r="AD904" s="43"/>
      <c r="AE904" s="43"/>
      <c r="AF904" s="43"/>
      <c r="AG904" s="43"/>
      <c r="AH904" s="43"/>
      <c r="AI904" s="43"/>
      <c r="AJ904" s="43"/>
      <c r="AK904" s="43"/>
    </row>
    <row r="905"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  <c r="AA905" s="43"/>
      <c r="AB905" s="43"/>
      <c r="AC905" s="43"/>
      <c r="AD905" s="43"/>
      <c r="AE905" s="43"/>
      <c r="AF905" s="43"/>
      <c r="AG905" s="43"/>
      <c r="AH905" s="43"/>
      <c r="AI905" s="43"/>
      <c r="AJ905" s="43"/>
      <c r="AK905" s="43"/>
    </row>
    <row r="906"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  <c r="AA906" s="43"/>
      <c r="AB906" s="43"/>
      <c r="AC906" s="43"/>
      <c r="AD906" s="43"/>
      <c r="AE906" s="43"/>
      <c r="AF906" s="43"/>
      <c r="AG906" s="43"/>
      <c r="AH906" s="43"/>
      <c r="AI906" s="43"/>
      <c r="AJ906" s="43"/>
      <c r="AK906" s="43"/>
    </row>
    <row r="907"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  <c r="AA907" s="43"/>
      <c r="AB907" s="43"/>
      <c r="AC907" s="43"/>
      <c r="AD907" s="43"/>
      <c r="AE907" s="43"/>
      <c r="AF907" s="43"/>
      <c r="AG907" s="43"/>
      <c r="AH907" s="43"/>
      <c r="AI907" s="43"/>
      <c r="AJ907" s="43"/>
      <c r="AK907" s="43"/>
    </row>
    <row r="908"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  <c r="AA908" s="43"/>
      <c r="AB908" s="43"/>
      <c r="AC908" s="43"/>
      <c r="AD908" s="43"/>
      <c r="AE908" s="43"/>
      <c r="AF908" s="43"/>
      <c r="AG908" s="43"/>
      <c r="AH908" s="43"/>
      <c r="AI908" s="43"/>
      <c r="AJ908" s="43"/>
      <c r="AK908" s="43"/>
    </row>
    <row r="909"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/>
      <c r="AE909" s="43"/>
      <c r="AF909" s="43"/>
      <c r="AG909" s="43"/>
      <c r="AH909" s="43"/>
      <c r="AI909" s="43"/>
      <c r="AJ909" s="43"/>
      <c r="AK909" s="43"/>
    </row>
    <row r="910"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  <c r="AA910" s="43"/>
      <c r="AB910" s="43"/>
      <c r="AC910" s="43"/>
      <c r="AD910" s="43"/>
      <c r="AE910" s="43"/>
      <c r="AF910" s="43"/>
      <c r="AG910" s="43"/>
      <c r="AH910" s="43"/>
      <c r="AI910" s="43"/>
      <c r="AJ910" s="43"/>
      <c r="AK910" s="43"/>
    </row>
    <row r="911"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  <c r="AA911" s="43"/>
      <c r="AB911" s="43"/>
      <c r="AC911" s="43"/>
      <c r="AD911" s="43"/>
      <c r="AE911" s="43"/>
      <c r="AF911" s="43"/>
      <c r="AG911" s="43"/>
      <c r="AH911" s="43"/>
      <c r="AI911" s="43"/>
      <c r="AJ911" s="43"/>
      <c r="AK911" s="43"/>
    </row>
    <row r="912"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  <c r="AA912" s="43"/>
      <c r="AB912" s="43"/>
      <c r="AC912" s="43"/>
      <c r="AD912" s="43"/>
      <c r="AE912" s="43"/>
      <c r="AF912" s="43"/>
      <c r="AG912" s="43"/>
      <c r="AH912" s="43"/>
      <c r="AI912" s="43"/>
      <c r="AJ912" s="43"/>
      <c r="AK912" s="43"/>
    </row>
    <row r="913"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  <c r="AA913" s="43"/>
      <c r="AB913" s="43"/>
      <c r="AC913" s="43"/>
      <c r="AD913" s="43"/>
      <c r="AE913" s="43"/>
      <c r="AF913" s="43"/>
      <c r="AG913" s="43"/>
      <c r="AH913" s="43"/>
      <c r="AI913" s="43"/>
      <c r="AJ913" s="43"/>
      <c r="AK913" s="43"/>
    </row>
    <row r="914"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  <c r="AA914" s="43"/>
      <c r="AB914" s="43"/>
      <c r="AC914" s="43"/>
      <c r="AD914" s="43"/>
      <c r="AE914" s="43"/>
      <c r="AF914" s="43"/>
      <c r="AG914" s="43"/>
      <c r="AH914" s="43"/>
      <c r="AI914" s="43"/>
      <c r="AJ914" s="43"/>
      <c r="AK914" s="43"/>
    </row>
    <row r="915"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  <c r="AA915" s="43"/>
      <c r="AB915" s="43"/>
      <c r="AC915" s="43"/>
      <c r="AD915" s="43"/>
      <c r="AE915" s="43"/>
      <c r="AF915" s="43"/>
      <c r="AG915" s="43"/>
      <c r="AH915" s="43"/>
      <c r="AI915" s="43"/>
      <c r="AJ915" s="43"/>
      <c r="AK915" s="43"/>
    </row>
    <row r="916"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  <c r="AA916" s="43"/>
      <c r="AB916" s="43"/>
      <c r="AC916" s="43"/>
      <c r="AD916" s="43"/>
      <c r="AE916" s="43"/>
      <c r="AF916" s="43"/>
      <c r="AG916" s="43"/>
      <c r="AH916" s="43"/>
      <c r="AI916" s="43"/>
      <c r="AJ916" s="43"/>
      <c r="AK916" s="43"/>
    </row>
    <row r="917"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3"/>
      <c r="AF917" s="43"/>
      <c r="AG917" s="43"/>
      <c r="AH917" s="43"/>
      <c r="AI917" s="43"/>
      <c r="AJ917" s="43"/>
      <c r="AK917" s="43"/>
    </row>
    <row r="918"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  <c r="AA918" s="43"/>
      <c r="AB918" s="43"/>
      <c r="AC918" s="43"/>
      <c r="AD918" s="43"/>
      <c r="AE918" s="43"/>
      <c r="AF918" s="43"/>
      <c r="AG918" s="43"/>
      <c r="AH918" s="43"/>
      <c r="AI918" s="43"/>
      <c r="AJ918" s="43"/>
      <c r="AK918" s="43"/>
    </row>
    <row r="919"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3"/>
      <c r="AI919" s="43"/>
      <c r="AJ919" s="43"/>
      <c r="AK919" s="43"/>
    </row>
    <row r="920"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  <c r="AA920" s="43"/>
      <c r="AB920" s="43"/>
      <c r="AC920" s="43"/>
      <c r="AD920" s="43"/>
      <c r="AE920" s="43"/>
      <c r="AF920" s="43"/>
      <c r="AG920" s="43"/>
      <c r="AH920" s="43"/>
      <c r="AI920" s="43"/>
      <c r="AJ920" s="43"/>
      <c r="AK920" s="43"/>
    </row>
    <row r="921"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  <c r="AA921" s="43"/>
      <c r="AB921" s="43"/>
      <c r="AC921" s="43"/>
      <c r="AD921" s="43"/>
      <c r="AE921" s="43"/>
      <c r="AF921" s="43"/>
      <c r="AG921" s="43"/>
      <c r="AH921" s="43"/>
      <c r="AI921" s="43"/>
      <c r="AJ921" s="43"/>
      <c r="AK921" s="43"/>
    </row>
    <row r="922"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  <c r="AA922" s="43"/>
      <c r="AB922" s="43"/>
      <c r="AC922" s="43"/>
      <c r="AD922" s="43"/>
      <c r="AE922" s="43"/>
      <c r="AF922" s="43"/>
      <c r="AG922" s="43"/>
      <c r="AH922" s="43"/>
      <c r="AI922" s="43"/>
      <c r="AJ922" s="43"/>
      <c r="AK922" s="43"/>
    </row>
    <row r="923"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  <c r="AA923" s="43"/>
      <c r="AB923" s="43"/>
      <c r="AC923" s="43"/>
      <c r="AD923" s="43"/>
      <c r="AE923" s="43"/>
      <c r="AF923" s="43"/>
      <c r="AG923" s="43"/>
      <c r="AH923" s="43"/>
      <c r="AI923" s="43"/>
      <c r="AJ923" s="43"/>
      <c r="AK923" s="43"/>
    </row>
    <row r="924"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  <c r="AA924" s="43"/>
      <c r="AB924" s="43"/>
      <c r="AC924" s="43"/>
      <c r="AD924" s="43"/>
      <c r="AE924" s="43"/>
      <c r="AF924" s="43"/>
      <c r="AG924" s="43"/>
      <c r="AH924" s="43"/>
      <c r="AI924" s="43"/>
      <c r="AJ924" s="43"/>
      <c r="AK924" s="43"/>
    </row>
    <row r="925"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  <c r="AA925" s="43"/>
      <c r="AB925" s="43"/>
      <c r="AC925" s="43"/>
      <c r="AD925" s="43"/>
      <c r="AE925" s="43"/>
      <c r="AF925" s="43"/>
      <c r="AG925" s="43"/>
      <c r="AH925" s="43"/>
      <c r="AI925" s="43"/>
      <c r="AJ925" s="43"/>
      <c r="AK925" s="43"/>
    </row>
    <row r="926"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3"/>
      <c r="AI926" s="43"/>
      <c r="AJ926" s="43"/>
      <c r="AK926" s="43"/>
    </row>
    <row r="927"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  <c r="AA927" s="43"/>
      <c r="AB927" s="43"/>
      <c r="AC927" s="43"/>
      <c r="AD927" s="43"/>
      <c r="AE927" s="43"/>
      <c r="AF927" s="43"/>
      <c r="AG927" s="43"/>
      <c r="AH927" s="43"/>
      <c r="AI927" s="43"/>
      <c r="AJ927" s="43"/>
      <c r="AK927" s="43"/>
    </row>
    <row r="928"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  <c r="AA928" s="43"/>
      <c r="AB928" s="43"/>
      <c r="AC928" s="43"/>
      <c r="AD928" s="43"/>
      <c r="AE928" s="43"/>
      <c r="AF928" s="43"/>
      <c r="AG928" s="43"/>
      <c r="AH928" s="43"/>
      <c r="AI928" s="43"/>
      <c r="AJ928" s="43"/>
      <c r="AK928" s="43"/>
    </row>
    <row r="929"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  <c r="AA929" s="43"/>
      <c r="AB929" s="43"/>
      <c r="AC929" s="43"/>
      <c r="AD929" s="43"/>
      <c r="AE929" s="43"/>
      <c r="AF929" s="43"/>
      <c r="AG929" s="43"/>
      <c r="AH929" s="43"/>
      <c r="AI929" s="43"/>
      <c r="AJ929" s="43"/>
      <c r="AK929" s="43"/>
    </row>
    <row r="930"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  <c r="AA930" s="43"/>
      <c r="AB930" s="43"/>
      <c r="AC930" s="43"/>
      <c r="AD930" s="43"/>
      <c r="AE930" s="43"/>
      <c r="AF930" s="43"/>
      <c r="AG930" s="43"/>
      <c r="AH930" s="43"/>
      <c r="AI930" s="43"/>
      <c r="AJ930" s="43"/>
      <c r="AK930" s="43"/>
    </row>
    <row r="931"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  <c r="AA931" s="43"/>
      <c r="AB931" s="43"/>
      <c r="AC931" s="43"/>
      <c r="AD931" s="43"/>
      <c r="AE931" s="43"/>
      <c r="AF931" s="43"/>
      <c r="AG931" s="43"/>
      <c r="AH931" s="43"/>
      <c r="AI931" s="43"/>
      <c r="AJ931" s="43"/>
      <c r="AK931" s="43"/>
    </row>
    <row r="932"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  <c r="AA932" s="43"/>
      <c r="AB932" s="43"/>
      <c r="AC932" s="43"/>
      <c r="AD932" s="43"/>
      <c r="AE932" s="43"/>
      <c r="AF932" s="43"/>
      <c r="AG932" s="43"/>
      <c r="AH932" s="43"/>
      <c r="AI932" s="43"/>
      <c r="AJ932" s="43"/>
      <c r="AK932" s="43"/>
    </row>
    <row r="933"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  <c r="AA933" s="43"/>
      <c r="AB933" s="43"/>
      <c r="AC933" s="43"/>
      <c r="AD933" s="43"/>
      <c r="AE933" s="43"/>
      <c r="AF933" s="43"/>
      <c r="AG933" s="43"/>
      <c r="AH933" s="43"/>
      <c r="AI933" s="43"/>
      <c r="AJ933" s="43"/>
      <c r="AK933" s="43"/>
    </row>
    <row r="934"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  <c r="AA934" s="43"/>
      <c r="AB934" s="43"/>
      <c r="AC934" s="43"/>
      <c r="AD934" s="43"/>
      <c r="AE934" s="43"/>
      <c r="AF934" s="43"/>
      <c r="AG934" s="43"/>
      <c r="AH934" s="43"/>
      <c r="AI934" s="43"/>
      <c r="AJ934" s="43"/>
      <c r="AK934" s="43"/>
    </row>
    <row r="935"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/>
      <c r="AD935" s="43"/>
      <c r="AE935" s="43"/>
      <c r="AF935" s="43"/>
      <c r="AG935" s="43"/>
      <c r="AH935" s="43"/>
      <c r="AI935" s="43"/>
      <c r="AJ935" s="43"/>
      <c r="AK935" s="43"/>
    </row>
    <row r="936"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  <c r="AA936" s="43"/>
      <c r="AB936" s="43"/>
      <c r="AC936" s="43"/>
      <c r="AD936" s="43"/>
      <c r="AE936" s="43"/>
      <c r="AF936" s="43"/>
      <c r="AG936" s="43"/>
      <c r="AH936" s="43"/>
      <c r="AI936" s="43"/>
      <c r="AJ936" s="43"/>
      <c r="AK936" s="43"/>
    </row>
    <row r="937"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  <c r="AA937" s="43"/>
      <c r="AB937" s="43"/>
      <c r="AC937" s="43"/>
      <c r="AD937" s="43"/>
      <c r="AE937" s="43"/>
      <c r="AF937" s="43"/>
      <c r="AG937" s="43"/>
      <c r="AH937" s="43"/>
      <c r="AI937" s="43"/>
      <c r="AJ937" s="43"/>
      <c r="AK937" s="43"/>
    </row>
    <row r="938"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  <c r="AA938" s="43"/>
      <c r="AB938" s="43"/>
      <c r="AC938" s="43"/>
      <c r="AD938" s="43"/>
      <c r="AE938" s="43"/>
      <c r="AF938" s="43"/>
      <c r="AG938" s="43"/>
      <c r="AH938" s="43"/>
      <c r="AI938" s="43"/>
      <c r="AJ938" s="43"/>
      <c r="AK938" s="43"/>
    </row>
    <row r="939"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  <c r="AA939" s="43"/>
      <c r="AB939" s="43"/>
      <c r="AC939" s="43"/>
      <c r="AD939" s="43"/>
      <c r="AE939" s="43"/>
      <c r="AF939" s="43"/>
      <c r="AG939" s="43"/>
      <c r="AH939" s="43"/>
      <c r="AI939" s="43"/>
      <c r="AJ939" s="43"/>
      <c r="AK939" s="43"/>
    </row>
    <row r="940"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  <c r="AA940" s="43"/>
      <c r="AB940" s="43"/>
      <c r="AC940" s="43"/>
      <c r="AD940" s="43"/>
      <c r="AE940" s="43"/>
      <c r="AF940" s="43"/>
      <c r="AG940" s="43"/>
      <c r="AH940" s="43"/>
      <c r="AI940" s="43"/>
      <c r="AJ940" s="43"/>
      <c r="AK940" s="43"/>
    </row>
    <row r="941"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  <c r="AA941" s="43"/>
      <c r="AB941" s="43"/>
      <c r="AC941" s="43"/>
      <c r="AD941" s="43"/>
      <c r="AE941" s="43"/>
      <c r="AF941" s="43"/>
      <c r="AG941" s="43"/>
      <c r="AH941" s="43"/>
      <c r="AI941" s="43"/>
      <c r="AJ941" s="43"/>
      <c r="AK941" s="43"/>
    </row>
    <row r="942"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  <c r="AA942" s="43"/>
      <c r="AB942" s="43"/>
      <c r="AC942" s="43"/>
      <c r="AD942" s="43"/>
      <c r="AE942" s="43"/>
      <c r="AF942" s="43"/>
      <c r="AG942" s="43"/>
      <c r="AH942" s="43"/>
      <c r="AI942" s="43"/>
      <c r="AJ942" s="43"/>
      <c r="AK942" s="43"/>
    </row>
    <row r="943"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  <c r="AA943" s="43"/>
      <c r="AB943" s="43"/>
      <c r="AC943" s="43"/>
      <c r="AD943" s="43"/>
      <c r="AE943" s="43"/>
      <c r="AF943" s="43"/>
      <c r="AG943" s="43"/>
      <c r="AH943" s="43"/>
      <c r="AI943" s="43"/>
      <c r="AJ943" s="43"/>
      <c r="AK943" s="43"/>
    </row>
    <row r="944"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  <c r="AA944" s="43"/>
      <c r="AB944" s="43"/>
      <c r="AC944" s="43"/>
      <c r="AD944" s="43"/>
      <c r="AE944" s="43"/>
      <c r="AF944" s="43"/>
      <c r="AG944" s="43"/>
      <c r="AH944" s="43"/>
      <c r="AI944" s="43"/>
      <c r="AJ944" s="43"/>
      <c r="AK944" s="43"/>
    </row>
    <row r="945"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  <c r="AA945" s="43"/>
      <c r="AB945" s="43"/>
      <c r="AC945" s="43"/>
      <c r="AD945" s="43"/>
      <c r="AE945" s="43"/>
      <c r="AF945" s="43"/>
      <c r="AG945" s="43"/>
      <c r="AH945" s="43"/>
      <c r="AI945" s="43"/>
      <c r="AJ945" s="43"/>
      <c r="AK945" s="43"/>
    </row>
    <row r="946"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  <c r="AA946" s="43"/>
      <c r="AB946" s="43"/>
      <c r="AC946" s="43"/>
      <c r="AD946" s="43"/>
      <c r="AE946" s="43"/>
      <c r="AF946" s="43"/>
      <c r="AG946" s="43"/>
      <c r="AH946" s="43"/>
      <c r="AI946" s="43"/>
      <c r="AJ946" s="43"/>
      <c r="AK946" s="43"/>
    </row>
    <row r="947"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  <c r="AA947" s="43"/>
      <c r="AB947" s="43"/>
      <c r="AC947" s="43"/>
      <c r="AD947" s="43"/>
      <c r="AE947" s="43"/>
      <c r="AF947" s="43"/>
      <c r="AG947" s="43"/>
      <c r="AH947" s="43"/>
      <c r="AI947" s="43"/>
      <c r="AJ947" s="43"/>
      <c r="AK947" s="43"/>
    </row>
    <row r="948"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  <c r="AA948" s="43"/>
      <c r="AB948" s="43"/>
      <c r="AC948" s="43"/>
      <c r="AD948" s="43"/>
      <c r="AE948" s="43"/>
      <c r="AF948" s="43"/>
      <c r="AG948" s="43"/>
      <c r="AH948" s="43"/>
      <c r="AI948" s="43"/>
      <c r="AJ948" s="43"/>
      <c r="AK948" s="43"/>
    </row>
    <row r="949"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  <c r="AA949" s="43"/>
      <c r="AB949" s="43"/>
      <c r="AC949" s="43"/>
      <c r="AD949" s="43"/>
      <c r="AE949" s="43"/>
      <c r="AF949" s="43"/>
      <c r="AG949" s="43"/>
      <c r="AH949" s="43"/>
      <c r="AI949" s="43"/>
      <c r="AJ949" s="43"/>
      <c r="AK949" s="43"/>
    </row>
    <row r="950"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  <c r="AA950" s="43"/>
      <c r="AB950" s="43"/>
      <c r="AC950" s="43"/>
      <c r="AD950" s="43"/>
      <c r="AE950" s="43"/>
      <c r="AF950" s="43"/>
      <c r="AG950" s="43"/>
      <c r="AH950" s="43"/>
      <c r="AI950" s="43"/>
      <c r="AJ950" s="43"/>
      <c r="AK950" s="43"/>
    </row>
    <row r="951"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  <c r="AA951" s="43"/>
      <c r="AB951" s="43"/>
      <c r="AC951" s="43"/>
      <c r="AD951" s="43"/>
      <c r="AE951" s="43"/>
      <c r="AF951" s="43"/>
      <c r="AG951" s="43"/>
      <c r="AH951" s="43"/>
      <c r="AI951" s="43"/>
      <c r="AJ951" s="43"/>
      <c r="AK951" s="43"/>
    </row>
    <row r="952"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  <c r="AA952" s="43"/>
      <c r="AB952" s="43"/>
      <c r="AC952" s="43"/>
      <c r="AD952" s="43"/>
      <c r="AE952" s="43"/>
      <c r="AF952" s="43"/>
      <c r="AG952" s="43"/>
      <c r="AH952" s="43"/>
      <c r="AI952" s="43"/>
      <c r="AJ952" s="43"/>
      <c r="AK952" s="43"/>
    </row>
    <row r="953"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  <c r="AA953" s="43"/>
      <c r="AB953" s="43"/>
      <c r="AC953" s="43"/>
      <c r="AD953" s="43"/>
      <c r="AE953" s="43"/>
      <c r="AF953" s="43"/>
      <c r="AG953" s="43"/>
      <c r="AH953" s="43"/>
      <c r="AI953" s="43"/>
      <c r="AJ953" s="43"/>
      <c r="AK953" s="43"/>
    </row>
    <row r="954"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  <c r="AA954" s="43"/>
      <c r="AB954" s="43"/>
      <c r="AC954" s="43"/>
      <c r="AD954" s="43"/>
      <c r="AE954" s="43"/>
      <c r="AF954" s="43"/>
      <c r="AG954" s="43"/>
      <c r="AH954" s="43"/>
      <c r="AI954" s="43"/>
      <c r="AJ954" s="43"/>
      <c r="AK954" s="43"/>
    </row>
    <row r="955"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  <c r="AA955" s="43"/>
      <c r="AB955" s="43"/>
      <c r="AC955" s="43"/>
      <c r="AD955" s="43"/>
      <c r="AE955" s="43"/>
      <c r="AF955" s="43"/>
      <c r="AG955" s="43"/>
      <c r="AH955" s="43"/>
      <c r="AI955" s="43"/>
      <c r="AJ955" s="43"/>
      <c r="AK955" s="43"/>
    </row>
    <row r="956"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  <c r="AA956" s="43"/>
      <c r="AB956" s="43"/>
      <c r="AC956" s="43"/>
      <c r="AD956" s="43"/>
      <c r="AE956" s="43"/>
      <c r="AF956" s="43"/>
      <c r="AG956" s="43"/>
      <c r="AH956" s="43"/>
      <c r="AI956" s="43"/>
      <c r="AJ956" s="43"/>
      <c r="AK956" s="43"/>
    </row>
    <row r="957"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  <c r="AA957" s="43"/>
      <c r="AB957" s="43"/>
      <c r="AC957" s="43"/>
      <c r="AD957" s="43"/>
      <c r="AE957" s="43"/>
      <c r="AF957" s="43"/>
      <c r="AG957" s="43"/>
      <c r="AH957" s="43"/>
      <c r="AI957" s="43"/>
      <c r="AJ957" s="43"/>
      <c r="AK957" s="43"/>
    </row>
    <row r="958"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  <c r="AA958" s="43"/>
      <c r="AB958" s="43"/>
      <c r="AC958" s="43"/>
      <c r="AD958" s="43"/>
      <c r="AE958" s="43"/>
      <c r="AF958" s="43"/>
      <c r="AG958" s="43"/>
      <c r="AH958" s="43"/>
      <c r="AI958" s="43"/>
      <c r="AJ958" s="43"/>
      <c r="AK958" s="43"/>
    </row>
    <row r="959"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  <c r="AA959" s="43"/>
      <c r="AB959" s="43"/>
      <c r="AC959" s="43"/>
      <c r="AD959" s="43"/>
      <c r="AE959" s="43"/>
      <c r="AF959" s="43"/>
      <c r="AG959" s="43"/>
      <c r="AH959" s="43"/>
      <c r="AI959" s="43"/>
      <c r="AJ959" s="43"/>
      <c r="AK959" s="43"/>
    </row>
    <row r="960"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  <c r="AA960" s="43"/>
      <c r="AB960" s="43"/>
      <c r="AC960" s="43"/>
      <c r="AD960" s="43"/>
      <c r="AE960" s="43"/>
      <c r="AF960" s="43"/>
      <c r="AG960" s="43"/>
      <c r="AH960" s="43"/>
      <c r="AI960" s="43"/>
      <c r="AJ960" s="43"/>
      <c r="AK960" s="43"/>
    </row>
    <row r="961"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  <c r="AA961" s="43"/>
      <c r="AB961" s="43"/>
      <c r="AC961" s="43"/>
      <c r="AD961" s="43"/>
      <c r="AE961" s="43"/>
      <c r="AF961" s="43"/>
      <c r="AG961" s="43"/>
      <c r="AH961" s="43"/>
      <c r="AI961" s="43"/>
      <c r="AJ961" s="43"/>
      <c r="AK961" s="43"/>
    </row>
    <row r="962"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  <c r="AA962" s="43"/>
      <c r="AB962" s="43"/>
      <c r="AC962" s="43"/>
      <c r="AD962" s="43"/>
      <c r="AE962" s="43"/>
      <c r="AF962" s="43"/>
      <c r="AG962" s="43"/>
      <c r="AH962" s="43"/>
      <c r="AI962" s="43"/>
      <c r="AJ962" s="43"/>
      <c r="AK962" s="43"/>
    </row>
    <row r="963"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  <c r="AA963" s="43"/>
      <c r="AB963" s="43"/>
      <c r="AC963" s="43"/>
      <c r="AD963" s="43"/>
      <c r="AE963" s="43"/>
      <c r="AF963" s="43"/>
      <c r="AG963" s="43"/>
      <c r="AH963" s="43"/>
      <c r="AI963" s="43"/>
      <c r="AJ963" s="43"/>
      <c r="AK963" s="43"/>
    </row>
    <row r="964"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  <c r="AA964" s="43"/>
      <c r="AB964" s="43"/>
      <c r="AC964" s="43"/>
      <c r="AD964" s="43"/>
      <c r="AE964" s="43"/>
      <c r="AF964" s="43"/>
      <c r="AG964" s="43"/>
      <c r="AH964" s="43"/>
      <c r="AI964" s="43"/>
      <c r="AJ964" s="43"/>
      <c r="AK964" s="43"/>
    </row>
    <row r="965"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  <c r="AA965" s="43"/>
      <c r="AB965" s="43"/>
      <c r="AC965" s="43"/>
      <c r="AD965" s="43"/>
      <c r="AE965" s="43"/>
      <c r="AF965" s="43"/>
      <c r="AG965" s="43"/>
      <c r="AH965" s="43"/>
      <c r="AI965" s="43"/>
      <c r="AJ965" s="43"/>
      <c r="AK965" s="43"/>
    </row>
    <row r="966"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  <c r="AA966" s="43"/>
      <c r="AB966" s="43"/>
      <c r="AC966" s="43"/>
      <c r="AD966" s="43"/>
      <c r="AE966" s="43"/>
      <c r="AF966" s="43"/>
      <c r="AG966" s="43"/>
      <c r="AH966" s="43"/>
      <c r="AI966" s="43"/>
      <c r="AJ966" s="43"/>
      <c r="AK966" s="43"/>
    </row>
    <row r="967"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  <c r="AA967" s="43"/>
      <c r="AB967" s="43"/>
      <c r="AC967" s="43"/>
      <c r="AD967" s="43"/>
      <c r="AE967" s="43"/>
      <c r="AF967" s="43"/>
      <c r="AG967" s="43"/>
      <c r="AH967" s="43"/>
      <c r="AI967" s="43"/>
      <c r="AJ967" s="43"/>
      <c r="AK967" s="43"/>
    </row>
    <row r="968"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  <c r="AA968" s="43"/>
      <c r="AB968" s="43"/>
      <c r="AC968" s="43"/>
      <c r="AD968" s="43"/>
      <c r="AE968" s="43"/>
      <c r="AF968" s="43"/>
      <c r="AG968" s="43"/>
      <c r="AH968" s="43"/>
      <c r="AI968" s="43"/>
      <c r="AJ968" s="43"/>
      <c r="AK968" s="43"/>
    </row>
    <row r="969"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  <c r="AA969" s="43"/>
      <c r="AB969" s="43"/>
      <c r="AC969" s="43"/>
      <c r="AD969" s="43"/>
      <c r="AE969" s="43"/>
      <c r="AF969" s="43"/>
      <c r="AG969" s="43"/>
      <c r="AH969" s="43"/>
      <c r="AI969" s="43"/>
      <c r="AJ969" s="43"/>
      <c r="AK969" s="43"/>
    </row>
    <row r="970"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  <c r="AA970" s="43"/>
      <c r="AB970" s="43"/>
      <c r="AC970" s="43"/>
      <c r="AD970" s="43"/>
      <c r="AE970" s="43"/>
      <c r="AF970" s="43"/>
      <c r="AG970" s="43"/>
      <c r="AH970" s="43"/>
      <c r="AI970" s="43"/>
      <c r="AJ970" s="43"/>
      <c r="AK970" s="43"/>
    </row>
    <row r="971"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  <c r="AA971" s="43"/>
      <c r="AB971" s="43"/>
      <c r="AC971" s="43"/>
      <c r="AD971" s="43"/>
      <c r="AE971" s="43"/>
      <c r="AF971" s="43"/>
      <c r="AG971" s="43"/>
      <c r="AH971" s="43"/>
      <c r="AI971" s="43"/>
      <c r="AJ971" s="43"/>
      <c r="AK971" s="43"/>
    </row>
    <row r="972"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  <c r="AA972" s="43"/>
      <c r="AB972" s="43"/>
      <c r="AC972" s="43"/>
      <c r="AD972" s="43"/>
      <c r="AE972" s="43"/>
      <c r="AF972" s="43"/>
      <c r="AG972" s="43"/>
      <c r="AH972" s="43"/>
      <c r="AI972" s="43"/>
      <c r="AJ972" s="43"/>
      <c r="AK972" s="43"/>
    </row>
    <row r="973"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  <c r="AA973" s="43"/>
      <c r="AB973" s="43"/>
      <c r="AC973" s="43"/>
      <c r="AD973" s="43"/>
      <c r="AE973" s="43"/>
      <c r="AF973" s="43"/>
      <c r="AG973" s="43"/>
      <c r="AH973" s="43"/>
      <c r="AI973" s="43"/>
      <c r="AJ973" s="43"/>
      <c r="AK973" s="43"/>
    </row>
    <row r="974"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  <c r="AA974" s="43"/>
      <c r="AB974" s="43"/>
      <c r="AC974" s="43"/>
      <c r="AD974" s="43"/>
      <c r="AE974" s="43"/>
      <c r="AF974" s="43"/>
      <c r="AG974" s="43"/>
      <c r="AH974" s="43"/>
      <c r="AI974" s="43"/>
      <c r="AJ974" s="43"/>
      <c r="AK974" s="43"/>
    </row>
    <row r="975"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  <c r="AA975" s="43"/>
      <c r="AB975" s="43"/>
      <c r="AC975" s="43"/>
      <c r="AD975" s="43"/>
      <c r="AE975" s="43"/>
      <c r="AF975" s="43"/>
      <c r="AG975" s="43"/>
      <c r="AH975" s="43"/>
      <c r="AI975" s="43"/>
      <c r="AJ975" s="43"/>
      <c r="AK975" s="43"/>
    </row>
    <row r="976"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  <c r="AA976" s="43"/>
      <c r="AB976" s="43"/>
      <c r="AC976" s="43"/>
      <c r="AD976" s="43"/>
      <c r="AE976" s="43"/>
      <c r="AF976" s="43"/>
      <c r="AG976" s="43"/>
      <c r="AH976" s="43"/>
      <c r="AI976" s="43"/>
      <c r="AJ976" s="43"/>
      <c r="AK976" s="43"/>
    </row>
    <row r="977"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  <c r="AA977" s="43"/>
      <c r="AB977" s="43"/>
      <c r="AC977" s="43"/>
      <c r="AD977" s="43"/>
      <c r="AE977" s="43"/>
      <c r="AF977" s="43"/>
      <c r="AG977" s="43"/>
      <c r="AH977" s="43"/>
      <c r="AI977" s="43"/>
      <c r="AJ977" s="43"/>
      <c r="AK977" s="43"/>
    </row>
    <row r="978"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  <c r="AA978" s="43"/>
      <c r="AB978" s="43"/>
      <c r="AC978" s="43"/>
      <c r="AD978" s="43"/>
      <c r="AE978" s="43"/>
      <c r="AF978" s="43"/>
      <c r="AG978" s="43"/>
      <c r="AH978" s="43"/>
      <c r="AI978" s="43"/>
      <c r="AJ978" s="43"/>
      <c r="AK978" s="43"/>
    </row>
    <row r="979"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  <c r="AA979" s="43"/>
      <c r="AB979" s="43"/>
      <c r="AC979" s="43"/>
      <c r="AD979" s="43"/>
      <c r="AE979" s="43"/>
      <c r="AF979" s="43"/>
      <c r="AG979" s="43"/>
      <c r="AH979" s="43"/>
      <c r="AI979" s="43"/>
      <c r="AJ979" s="43"/>
      <c r="AK979" s="43"/>
    </row>
    <row r="980"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  <c r="AA980" s="43"/>
      <c r="AB980" s="43"/>
      <c r="AC980" s="43"/>
      <c r="AD980" s="43"/>
      <c r="AE980" s="43"/>
      <c r="AF980" s="43"/>
      <c r="AG980" s="43"/>
      <c r="AH980" s="43"/>
      <c r="AI980" s="43"/>
      <c r="AJ980" s="43"/>
      <c r="AK980" s="43"/>
    </row>
    <row r="981"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  <c r="AA981" s="43"/>
      <c r="AB981" s="43"/>
      <c r="AC981" s="43"/>
      <c r="AD981" s="43"/>
      <c r="AE981" s="43"/>
      <c r="AF981" s="43"/>
      <c r="AG981" s="43"/>
      <c r="AH981" s="43"/>
      <c r="AI981" s="43"/>
      <c r="AJ981" s="43"/>
      <c r="AK981" s="43"/>
    </row>
    <row r="982"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  <c r="AA982" s="43"/>
      <c r="AB982" s="43"/>
      <c r="AC982" s="43"/>
      <c r="AD982" s="43"/>
      <c r="AE982" s="43"/>
      <c r="AF982" s="43"/>
      <c r="AG982" s="43"/>
      <c r="AH982" s="43"/>
      <c r="AI982" s="43"/>
      <c r="AJ982" s="43"/>
      <c r="AK982" s="43"/>
    </row>
    <row r="983"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  <c r="AA983" s="43"/>
      <c r="AB983" s="43"/>
      <c r="AC983" s="43"/>
      <c r="AD983" s="43"/>
      <c r="AE983" s="43"/>
      <c r="AF983" s="43"/>
      <c r="AG983" s="43"/>
      <c r="AH983" s="43"/>
      <c r="AI983" s="43"/>
      <c r="AJ983" s="43"/>
      <c r="AK983" s="43"/>
    </row>
    <row r="984"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  <c r="AA984" s="43"/>
      <c r="AB984" s="43"/>
      <c r="AC984" s="43"/>
      <c r="AD984" s="43"/>
      <c r="AE984" s="43"/>
      <c r="AF984" s="43"/>
      <c r="AG984" s="43"/>
      <c r="AH984" s="43"/>
      <c r="AI984" s="43"/>
      <c r="AJ984" s="43"/>
      <c r="AK984" s="43"/>
    </row>
    <row r="985"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  <c r="AA985" s="43"/>
      <c r="AB985" s="43"/>
      <c r="AC985" s="43"/>
      <c r="AD985" s="43"/>
      <c r="AE985" s="43"/>
      <c r="AF985" s="43"/>
      <c r="AG985" s="43"/>
      <c r="AH985" s="43"/>
      <c r="AI985" s="43"/>
      <c r="AJ985" s="43"/>
      <c r="AK985" s="43"/>
    </row>
    <row r="986"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  <c r="AA986" s="43"/>
      <c r="AB986" s="43"/>
      <c r="AC986" s="43"/>
      <c r="AD986" s="43"/>
      <c r="AE986" s="43"/>
      <c r="AF986" s="43"/>
      <c r="AG986" s="43"/>
      <c r="AH986" s="43"/>
      <c r="AI986" s="43"/>
      <c r="AJ986" s="43"/>
      <c r="AK986" s="43"/>
    </row>
    <row r="987"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  <c r="AA987" s="43"/>
      <c r="AB987" s="43"/>
      <c r="AC987" s="43"/>
      <c r="AD987" s="43"/>
      <c r="AE987" s="43"/>
      <c r="AF987" s="43"/>
      <c r="AG987" s="43"/>
      <c r="AH987" s="43"/>
      <c r="AI987" s="43"/>
      <c r="AJ987" s="43"/>
      <c r="AK987" s="43"/>
    </row>
    <row r="988"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  <c r="AA988" s="43"/>
      <c r="AB988" s="43"/>
      <c r="AC988" s="43"/>
      <c r="AD988" s="43"/>
      <c r="AE988" s="43"/>
      <c r="AF988" s="43"/>
      <c r="AG988" s="43"/>
      <c r="AH988" s="43"/>
      <c r="AI988" s="43"/>
      <c r="AJ988" s="43"/>
      <c r="AK988" s="43"/>
    </row>
    <row r="989"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  <c r="AA989" s="43"/>
      <c r="AB989" s="43"/>
      <c r="AC989" s="43"/>
      <c r="AD989" s="43"/>
      <c r="AE989" s="43"/>
      <c r="AF989" s="43"/>
      <c r="AG989" s="43"/>
      <c r="AH989" s="43"/>
      <c r="AI989" s="43"/>
      <c r="AJ989" s="43"/>
      <c r="AK989" s="43"/>
    </row>
    <row r="990"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  <c r="AA990" s="43"/>
      <c r="AB990" s="43"/>
      <c r="AC990" s="43"/>
      <c r="AD990" s="43"/>
      <c r="AE990" s="43"/>
      <c r="AF990" s="43"/>
      <c r="AG990" s="43"/>
      <c r="AH990" s="43"/>
      <c r="AI990" s="43"/>
      <c r="AJ990" s="43"/>
      <c r="AK990" s="43"/>
    </row>
    <row r="991"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  <c r="AA991" s="43"/>
      <c r="AB991" s="43"/>
      <c r="AC991" s="43"/>
      <c r="AD991" s="43"/>
      <c r="AE991" s="43"/>
      <c r="AF991" s="43"/>
      <c r="AG991" s="43"/>
      <c r="AH991" s="43"/>
      <c r="AI991" s="43"/>
      <c r="AJ991" s="43"/>
      <c r="AK991" s="43"/>
    </row>
    <row r="992"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  <c r="AA992" s="43"/>
      <c r="AB992" s="43"/>
      <c r="AC992" s="43"/>
      <c r="AD992" s="43"/>
      <c r="AE992" s="43"/>
      <c r="AF992" s="43"/>
      <c r="AG992" s="43"/>
      <c r="AH992" s="43"/>
      <c r="AI992" s="43"/>
      <c r="AJ992" s="43"/>
      <c r="AK992" s="43"/>
    </row>
    <row r="993"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  <c r="AA993" s="43"/>
      <c r="AB993" s="43"/>
      <c r="AC993" s="43"/>
      <c r="AD993" s="43"/>
      <c r="AE993" s="43"/>
      <c r="AF993" s="43"/>
      <c r="AG993" s="43"/>
      <c r="AH993" s="43"/>
      <c r="AI993" s="43"/>
      <c r="AJ993" s="43"/>
      <c r="AK993" s="43"/>
    </row>
    <row r="994"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  <c r="AA994" s="43"/>
      <c r="AB994" s="43"/>
      <c r="AC994" s="43"/>
      <c r="AD994" s="43"/>
      <c r="AE994" s="43"/>
      <c r="AF994" s="43"/>
      <c r="AG994" s="43"/>
      <c r="AH994" s="43"/>
      <c r="AI994" s="43"/>
      <c r="AJ994" s="43"/>
      <c r="AK994" s="43"/>
    </row>
    <row r="995"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  <c r="AA995" s="43"/>
      <c r="AB995" s="43"/>
      <c r="AC995" s="43"/>
      <c r="AD995" s="43"/>
      <c r="AE995" s="43"/>
      <c r="AF995" s="43"/>
      <c r="AG995" s="43"/>
      <c r="AH995" s="43"/>
      <c r="AI995" s="43"/>
      <c r="AJ995" s="43"/>
      <c r="AK995" s="43"/>
    </row>
    <row r="996"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  <c r="AA996" s="43"/>
      <c r="AB996" s="43"/>
      <c r="AC996" s="43"/>
      <c r="AD996" s="43"/>
      <c r="AE996" s="43"/>
      <c r="AF996" s="43"/>
      <c r="AG996" s="43"/>
      <c r="AH996" s="43"/>
      <c r="AI996" s="43"/>
      <c r="AJ996" s="43"/>
      <c r="AK996" s="43"/>
    </row>
    <row r="997"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  <c r="AA997" s="43"/>
      <c r="AB997" s="43"/>
      <c r="AC997" s="43"/>
      <c r="AD997" s="43"/>
      <c r="AE997" s="43"/>
      <c r="AF997" s="43"/>
      <c r="AG997" s="43"/>
      <c r="AH997" s="43"/>
      <c r="AI997" s="43"/>
      <c r="AJ997" s="43"/>
      <c r="AK997" s="43"/>
    </row>
    <row r="998"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  <c r="AA998" s="43"/>
      <c r="AB998" s="43"/>
      <c r="AC998" s="43"/>
      <c r="AD998" s="43"/>
      <c r="AE998" s="43"/>
      <c r="AF998" s="43"/>
      <c r="AG998" s="43"/>
      <c r="AH998" s="43"/>
      <c r="AI998" s="43"/>
      <c r="AJ998" s="43"/>
      <c r="AK998" s="43"/>
    </row>
    <row r="999"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  <c r="AA999" s="43"/>
      <c r="AB999" s="43"/>
      <c r="AC999" s="43"/>
      <c r="AD999" s="43"/>
      <c r="AE999" s="43"/>
      <c r="AF999" s="43"/>
      <c r="AG999" s="43"/>
      <c r="AH999" s="43"/>
      <c r="AI999" s="43"/>
      <c r="AJ999" s="43"/>
      <c r="AK999" s="43"/>
    </row>
    <row r="1000"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  <c r="AA1000" s="43"/>
      <c r="AB1000" s="43"/>
      <c r="AC1000" s="43"/>
      <c r="AD1000" s="43"/>
      <c r="AE1000" s="43"/>
      <c r="AF1000" s="43"/>
      <c r="AG1000" s="43"/>
      <c r="AH1000" s="43"/>
      <c r="AI1000" s="43"/>
      <c r="AJ1000" s="43"/>
      <c r="AK1000" s="43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  <col customWidth="1" min="2" max="3" width="14.25"/>
    <col customWidth="1" min="4" max="4" width="14.88"/>
  </cols>
  <sheetData>
    <row r="1">
      <c r="A1" s="1" t="s">
        <v>8</v>
      </c>
      <c r="B1" s="1" t="s">
        <v>1071</v>
      </c>
      <c r="C1" s="1" t="s">
        <v>1072</v>
      </c>
      <c r="D1" s="40" t="s">
        <v>1073</v>
      </c>
      <c r="F1" s="1" t="s">
        <v>1075</v>
      </c>
    </row>
    <row r="2">
      <c r="A2" s="51">
        <v>1944.0</v>
      </c>
      <c r="B2" s="52">
        <v>355527.0</v>
      </c>
    </row>
    <row r="3">
      <c r="A3" s="51">
        <v>1945.0</v>
      </c>
      <c r="B3" s="52">
        <v>533555.0</v>
      </c>
    </row>
    <row r="4">
      <c r="A4" s="51">
        <v>1946.0</v>
      </c>
      <c r="B4" s="52">
        <v>631099.0</v>
      </c>
    </row>
    <row r="5">
      <c r="A5" s="51">
        <v>1947.0</v>
      </c>
      <c r="B5" s="52">
        <v>747745.0</v>
      </c>
    </row>
    <row r="6">
      <c r="A6" s="51">
        <v>1948.0</v>
      </c>
      <c r="B6" s="52">
        <v>834084.0</v>
      </c>
    </row>
    <row r="7">
      <c r="A7" s="51">
        <v>1949.0</v>
      </c>
      <c r="B7" s="52">
        <v>894603.0</v>
      </c>
    </row>
    <row r="8">
      <c r="A8" s="51">
        <v>1950.0</v>
      </c>
      <c r="B8" s="52">
        <v>973085.0</v>
      </c>
    </row>
    <row r="9">
      <c r="A9" s="51">
        <v>1951.0</v>
      </c>
      <c r="B9" s="52">
        <v>1049357.0</v>
      </c>
    </row>
    <row r="10">
      <c r="A10" s="51">
        <v>1952.0</v>
      </c>
      <c r="B10" s="52">
        <v>1154487.0</v>
      </c>
    </row>
    <row r="11">
      <c r="A11" s="51">
        <v>1953.0</v>
      </c>
      <c r="B11" s="52">
        <v>1247876.0</v>
      </c>
    </row>
    <row r="12">
      <c r="A12" s="51">
        <v>1954.0</v>
      </c>
      <c r="B12" s="52">
        <v>1348200.0</v>
      </c>
    </row>
    <row r="13">
      <c r="A13" s="51">
        <v>1955.0</v>
      </c>
      <c r="B13" s="52">
        <v>1576196.0</v>
      </c>
    </row>
    <row r="14">
      <c r="A14" s="51">
        <v>1956.0</v>
      </c>
      <c r="B14" s="52">
        <v>1813533.0</v>
      </c>
    </row>
    <row r="15">
      <c r="A15" s="51">
        <v>1957.0</v>
      </c>
      <c r="B15" s="52">
        <v>2096756.0</v>
      </c>
    </row>
    <row r="16">
      <c r="A16" s="51">
        <v>1958.0</v>
      </c>
      <c r="B16" s="52">
        <v>2514351.0</v>
      </c>
    </row>
    <row r="17">
      <c r="A17" s="51">
        <v>1959.0</v>
      </c>
      <c r="B17" s="52">
        <v>2821350.0</v>
      </c>
    </row>
    <row r="18">
      <c r="A18" s="51">
        <v>1960.0</v>
      </c>
      <c r="B18" s="52">
        <v>3360389.0</v>
      </c>
    </row>
    <row r="19">
      <c r="A19" s="51">
        <v>1961.0</v>
      </c>
      <c r="B19" s="52">
        <v>4064347.0</v>
      </c>
    </row>
    <row r="20">
      <c r="A20" s="51">
        <v>1962.0</v>
      </c>
      <c r="B20" s="52">
        <v>4776822.0</v>
      </c>
    </row>
    <row r="21">
      <c r="A21" s="51">
        <v>1963.0</v>
      </c>
      <c r="B21" s="52">
        <v>5200285.0</v>
      </c>
    </row>
    <row r="22">
      <c r="A22" s="51">
        <v>1964.0</v>
      </c>
      <c r="B22" s="52">
        <v>6347149.0</v>
      </c>
    </row>
    <row r="23">
      <c r="A23" s="51">
        <v>1965.0</v>
      </c>
      <c r="B23" s="52">
        <v>6815685.0</v>
      </c>
    </row>
    <row r="24">
      <c r="A24" s="51">
        <v>1966.0</v>
      </c>
      <c r="B24" s="52">
        <v>7175360.0</v>
      </c>
    </row>
    <row r="25">
      <c r="A25" s="51">
        <v>1967.0</v>
      </c>
      <c r="B25" s="52">
        <v>7611395.0</v>
      </c>
    </row>
    <row r="26">
      <c r="A26" s="51">
        <v>1968.0</v>
      </c>
      <c r="B26" s="52">
        <v>8186716.0</v>
      </c>
    </row>
    <row r="27">
      <c r="A27" s="51">
        <v>1969.0</v>
      </c>
      <c r="B27" s="52">
        <v>9076408.0</v>
      </c>
    </row>
    <row r="28">
      <c r="A28" s="51">
        <v>1970.0</v>
      </c>
      <c r="B28" s="52">
        <v>9772492.0</v>
      </c>
    </row>
    <row r="29">
      <c r="A29" s="51">
        <v>1971.0</v>
      </c>
      <c r="B29" s="52">
        <v>1.0429537E7</v>
      </c>
    </row>
    <row r="30">
      <c r="A30" s="51">
        <v>1972.0</v>
      </c>
      <c r="B30" s="52">
        <v>1.1591972E7</v>
      </c>
    </row>
    <row r="31">
      <c r="A31" s="51">
        <v>1973.0</v>
      </c>
      <c r="B31" s="52">
        <v>1.3876623E7</v>
      </c>
    </row>
    <row r="32">
      <c r="A32" s="51">
        <v>1974.0</v>
      </c>
      <c r="B32" s="52">
        <v>1.4306391E7</v>
      </c>
    </row>
    <row r="33">
      <c r="A33" s="51">
        <v>1975.0</v>
      </c>
      <c r="B33" s="52">
        <v>1.6337593E7</v>
      </c>
    </row>
    <row r="34">
      <c r="A34" s="51">
        <v>1976.0</v>
      </c>
      <c r="B34" s="52">
        <v>1.6551576E7</v>
      </c>
    </row>
    <row r="35">
      <c r="A35" s="51">
        <v>1977.0</v>
      </c>
      <c r="B35" s="52">
        <v>1.7377633E7</v>
      </c>
    </row>
    <row r="36">
      <c r="A36" s="51">
        <v>1978.0</v>
      </c>
      <c r="B36" s="52">
        <v>1.9789239E7</v>
      </c>
    </row>
    <row r="37">
      <c r="A37" s="51">
        <v>1979.0</v>
      </c>
      <c r="B37" s="52">
        <v>2.0987823E7</v>
      </c>
    </row>
    <row r="38">
      <c r="A38" s="51">
        <v>1980.0</v>
      </c>
      <c r="B38" s="52">
        <v>2.4125307E7</v>
      </c>
    </row>
    <row r="39">
      <c r="A39" s="51">
        <v>1981.0</v>
      </c>
      <c r="B39" s="52">
        <v>2.6915951E7</v>
      </c>
    </row>
    <row r="40">
      <c r="A40" s="51">
        <v>1982.0</v>
      </c>
      <c r="B40" s="52">
        <v>2.6884938E7</v>
      </c>
    </row>
    <row r="41">
      <c r="A41" s="51">
        <v>1983.0</v>
      </c>
      <c r="B41" s="52">
        <v>2.6977383E7</v>
      </c>
    </row>
    <row r="42">
      <c r="A42" s="51">
        <v>1984.0</v>
      </c>
      <c r="B42" s="52">
        <v>2.9388434E7</v>
      </c>
    </row>
    <row r="43">
      <c r="A43" s="51">
        <v>1985.0</v>
      </c>
      <c r="B43" s="52">
        <v>3.1528583E7</v>
      </c>
    </row>
    <row r="44">
      <c r="A44" s="51">
        <v>1986.0</v>
      </c>
      <c r="B44" s="52">
        <v>3.1061918E7</v>
      </c>
    </row>
    <row r="45">
      <c r="A45" s="51">
        <v>1987.0</v>
      </c>
      <c r="B45" s="52">
        <v>3.433601E7</v>
      </c>
    </row>
    <row r="46">
      <c r="A46" s="51">
        <v>1988.0</v>
      </c>
      <c r="B46" s="52">
        <v>3.5066352E7</v>
      </c>
    </row>
    <row r="47">
      <c r="A47" s="51">
        <v>1989.0</v>
      </c>
      <c r="B47" s="52">
        <v>3.721296E7</v>
      </c>
    </row>
    <row r="48">
      <c r="A48" s="51">
        <v>1990.0</v>
      </c>
      <c r="B48" s="52">
        <v>3.857514E7</v>
      </c>
    </row>
    <row r="49">
      <c r="A49" s="51">
        <v>1991.0</v>
      </c>
      <c r="B49" s="52">
        <v>3.8953374E7</v>
      </c>
    </row>
    <row r="50">
      <c r="A50" s="51">
        <v>1992.0</v>
      </c>
      <c r="B50" s="52">
        <v>3.746456E7</v>
      </c>
    </row>
    <row r="51">
      <c r="A51" s="51">
        <v>1993.0</v>
      </c>
      <c r="B51" s="52">
        <v>3.6737601E7</v>
      </c>
    </row>
    <row r="52">
      <c r="A52" s="51">
        <v>1994.0</v>
      </c>
      <c r="B52" s="52">
        <v>3.6553822E7</v>
      </c>
    </row>
    <row r="53">
      <c r="A53" s="51">
        <v>1995.0</v>
      </c>
      <c r="B53" s="52">
        <v>3.4323844E7</v>
      </c>
    </row>
    <row r="54">
      <c r="A54" s="51">
        <v>1996.0</v>
      </c>
      <c r="B54" s="52">
        <v>3.7260967E7</v>
      </c>
    </row>
    <row r="55">
      <c r="A55" s="51">
        <v>1997.0</v>
      </c>
      <c r="B55" s="52">
        <v>3.8106493E7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51">
        <v>1998.0</v>
      </c>
      <c r="B56" s="52">
        <v>4.0577986E7</v>
      </c>
    </row>
    <row r="57">
      <c r="A57" s="51">
        <v>1999.0</v>
      </c>
      <c r="B57" s="52">
        <v>4.2957532E7</v>
      </c>
    </row>
    <row r="58">
      <c r="A58" s="51">
        <v>2000.0</v>
      </c>
      <c r="B58" s="52">
        <v>4.505371E7</v>
      </c>
      <c r="D58" s="52">
        <v>3.627011E7</v>
      </c>
    </row>
    <row r="59">
      <c r="A59" s="51">
        <v>2001.0</v>
      </c>
      <c r="B59" s="52">
        <v>4.4718984E7</v>
      </c>
      <c r="D59" s="52">
        <v>3.7736099E7</v>
      </c>
    </row>
    <row r="60">
      <c r="A60" s="51">
        <v>2002.0</v>
      </c>
      <c r="B60" s="52">
        <v>4.5351546E7</v>
      </c>
      <c r="D60" s="52">
        <v>3.861944E7</v>
      </c>
    </row>
    <row r="61">
      <c r="A61" s="51">
        <v>2003.0</v>
      </c>
      <c r="B61" s="52">
        <v>4.1519135E7</v>
      </c>
      <c r="D61" s="52">
        <v>3.9343301E7</v>
      </c>
    </row>
    <row r="62">
      <c r="A62" s="51">
        <v>2004.0</v>
      </c>
      <c r="B62" s="52">
        <v>4.3006225E7</v>
      </c>
      <c r="C62" s="52">
        <v>4.1244132E7</v>
      </c>
      <c r="D62" s="52">
        <v>4.0696014E7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51">
        <v>2005.0</v>
      </c>
      <c r="B63" s="52">
        <v>4.4531666E7</v>
      </c>
      <c r="C63" s="52">
        <v>4.3746023E7</v>
      </c>
      <c r="D63" s="52">
        <v>4.2767722E7</v>
      </c>
    </row>
    <row r="64">
      <c r="A64" s="51">
        <v>2006.0</v>
      </c>
      <c r="B64" s="52">
        <v>4.6635901E7</v>
      </c>
      <c r="C64" s="52">
        <v>4.1928641E7</v>
      </c>
      <c r="D64" s="52">
        <v>4.3950783E7</v>
      </c>
    </row>
    <row r="65">
      <c r="A65" s="51">
        <v>2007.0</v>
      </c>
      <c r="B65" s="52">
        <v>4.8650488E7</v>
      </c>
      <c r="C65" s="52">
        <v>4.3986662E7</v>
      </c>
      <c r="D65" s="52">
        <v>4.3078628E7</v>
      </c>
    </row>
    <row r="66">
      <c r="A66" s="51">
        <v>2008.0</v>
      </c>
      <c r="B66" s="52">
        <v>4.8909706E7</v>
      </c>
      <c r="C66" s="52">
        <v>4.4237742E7</v>
      </c>
      <c r="D66" s="52">
        <v>4.3486989E7</v>
      </c>
    </row>
    <row r="67">
      <c r="A67" s="51">
        <v>2009.0</v>
      </c>
      <c r="B67" s="52">
        <v>4.913431E7</v>
      </c>
      <c r="C67" s="52">
        <v>4.535371E7</v>
      </c>
      <c r="D67" s="52">
        <v>4.5487034E7</v>
      </c>
    </row>
    <row r="68">
      <c r="A68" s="51">
        <v>2010.0</v>
      </c>
      <c r="B68" s="52">
        <v>5.2310086E7</v>
      </c>
      <c r="C68" s="52">
        <v>4.520678E7</v>
      </c>
      <c r="D68" s="52">
        <v>4.4020423E7</v>
      </c>
    </row>
    <row r="69">
      <c r="A69" s="51">
        <v>2011.0</v>
      </c>
      <c r="B69" s="52">
        <v>5.4906396E7</v>
      </c>
      <c r="C69" s="52">
        <v>4.7405653E7</v>
      </c>
      <c r="D69" s="52">
        <v>4.6691878E7</v>
      </c>
    </row>
    <row r="70">
      <c r="A70" s="51">
        <v>2012.0</v>
      </c>
      <c r="B70" s="52">
        <v>5.7475897E7</v>
      </c>
      <c r="C70" s="52">
        <v>4.9502989E7</v>
      </c>
      <c r="D70" s="52">
        <v>4.8707062E7</v>
      </c>
    </row>
    <row r="71">
      <c r="A71" s="51">
        <v>2013.0</v>
      </c>
      <c r="B71" s="52">
        <v>5.9511963E7</v>
      </c>
      <c r="C71" s="52">
        <v>5.1162085E7</v>
      </c>
      <c r="D71" s="52">
        <v>5.0550368E7</v>
      </c>
    </row>
    <row r="72">
      <c r="A72" s="51">
        <v>2014.0</v>
      </c>
      <c r="B72" s="52">
        <v>5.9487144E7</v>
      </c>
      <c r="C72" s="52">
        <v>5.3121433E7</v>
      </c>
      <c r="D72" s="52">
        <v>5.222096E7</v>
      </c>
    </row>
    <row r="73">
      <c r="A73" s="51">
        <v>2015.0</v>
      </c>
      <c r="B73" s="52">
        <v>6.1864971E7</v>
      </c>
      <c r="C73" s="52">
        <v>5.4299976E7</v>
      </c>
    </row>
    <row r="74">
      <c r="A74" s="51">
        <v>2016.0</v>
      </c>
      <c r="B74" s="52">
        <v>6.3480327E7</v>
      </c>
      <c r="C74" s="52">
        <v>5.3977123E7</v>
      </c>
    </row>
    <row r="75">
      <c r="A75" s="51">
        <v>2017.0</v>
      </c>
      <c r="B75" s="52">
        <v>6.6086789E7</v>
      </c>
      <c r="C75" s="52">
        <v>5.5813923E7</v>
      </c>
    </row>
    <row r="76">
      <c r="A76" s="51">
        <v>2018.0</v>
      </c>
      <c r="B76" s="52">
        <v>6.8158455E7</v>
      </c>
      <c r="C76" s="52">
        <v>5.7221796E7</v>
      </c>
    </row>
    <row r="77">
      <c r="A77" s="51">
        <v>2019.0</v>
      </c>
      <c r="B77" s="52">
        <v>7.0343357E7</v>
      </c>
      <c r="C77" s="52">
        <v>5.917906E7</v>
      </c>
    </row>
    <row r="78">
      <c r="A78" s="51">
        <v>2020.0</v>
      </c>
      <c r="B78" s="52">
        <v>6.8659149E7</v>
      </c>
      <c r="C78" s="52">
        <v>5.7073874E7</v>
      </c>
    </row>
    <row r="79">
      <c r="A79" s="51">
        <v>2021.0</v>
      </c>
      <c r="B79" s="52">
        <v>7.157955E7</v>
      </c>
      <c r="C79" s="52">
        <v>5.9321565E7</v>
      </c>
    </row>
    <row r="80">
      <c r="A80" s="51">
        <v>2022.0</v>
      </c>
      <c r="B80" s="52">
        <v>7.404524E7</v>
      </c>
      <c r="C80" s="52">
        <v>6.1141849E7</v>
      </c>
    </row>
    <row r="81">
      <c r="A81" s="51">
        <v>2023.0</v>
      </c>
      <c r="B81" s="52">
        <v>7.6779454E7</v>
      </c>
      <c r="C81" s="52">
        <v>6.2643876E7</v>
      </c>
    </row>
    <row r="82">
      <c r="A82" s="51">
        <v>2024.0</v>
      </c>
      <c r="B82" s="52">
        <v>7.7430917E7</v>
      </c>
      <c r="C82" s="52">
        <v>6.2619331E7</v>
      </c>
    </row>
    <row r="83">
      <c r="A83" s="51">
        <v>2025.0</v>
      </c>
      <c r="B83" s="52">
        <v>7.9178109E7</v>
      </c>
      <c r="C83" s="52">
        <v>6.3598543E7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4.75"/>
    <col customWidth="1" min="11" max="11" width="13.88"/>
  </cols>
  <sheetData>
    <row r="1">
      <c r="A1" s="6" t="s">
        <v>1224</v>
      </c>
      <c r="B1" s="6" t="s">
        <v>1228</v>
      </c>
      <c r="C1" s="6" t="s">
        <v>1229</v>
      </c>
      <c r="D1" s="6" t="s">
        <v>1230</v>
      </c>
      <c r="E1" s="6" t="s">
        <v>1231</v>
      </c>
      <c r="F1" s="6" t="s">
        <v>1232</v>
      </c>
      <c r="G1" s="53"/>
      <c r="H1" s="1" t="s">
        <v>1235</v>
      </c>
    </row>
    <row r="2">
      <c r="A2" s="6">
        <v>2006.0</v>
      </c>
      <c r="B2" s="52">
        <v>60204.0</v>
      </c>
      <c r="C2" s="52">
        <v>87660.0</v>
      </c>
      <c r="D2" s="52">
        <v>43607.0</v>
      </c>
      <c r="E2" s="52">
        <v>1784.0</v>
      </c>
      <c r="F2" s="52">
        <v>4.1928641E7</v>
      </c>
      <c r="G2" s="53"/>
      <c r="H2" s="1" t="s">
        <v>8</v>
      </c>
      <c r="I2" s="1" t="s">
        <v>1228</v>
      </c>
      <c r="J2" s="1" t="s">
        <v>1229</v>
      </c>
      <c r="K2" s="6" t="s">
        <v>1230</v>
      </c>
      <c r="L2" s="6" t="s">
        <v>1231</v>
      </c>
    </row>
    <row r="3">
      <c r="A3" s="6">
        <v>2007.0</v>
      </c>
      <c r="B3" s="52">
        <v>61571.0</v>
      </c>
      <c r="C3" s="52">
        <v>88689.0</v>
      </c>
      <c r="D3" s="52">
        <v>44164.0</v>
      </c>
      <c r="E3" s="52">
        <v>1785.0</v>
      </c>
      <c r="F3" s="52">
        <v>4.3986662E7</v>
      </c>
      <c r="G3" s="53"/>
      <c r="H3" s="6">
        <v>2006.0</v>
      </c>
      <c r="I3" s="54">
        <f t="shared" ref="I3:L3" si="1">(B2/$F2)*1000</f>
        <v>1.435868146</v>
      </c>
      <c r="J3" s="54">
        <f t="shared" si="1"/>
        <v>2.090694998</v>
      </c>
      <c r="K3" s="54">
        <f t="shared" si="1"/>
        <v>1.040028939</v>
      </c>
      <c r="L3" s="54">
        <f t="shared" si="1"/>
        <v>0.04254848136</v>
      </c>
    </row>
    <row r="4">
      <c r="A4" s="6">
        <v>2008.0</v>
      </c>
      <c r="B4" s="52">
        <v>63268.0</v>
      </c>
      <c r="C4" s="52">
        <v>90113.0</v>
      </c>
      <c r="D4" s="52">
        <v>45301.0</v>
      </c>
      <c r="E4" s="52">
        <v>1765.0</v>
      </c>
      <c r="F4" s="52">
        <v>4.4237742E7</v>
      </c>
      <c r="G4" s="53"/>
      <c r="H4" s="6">
        <v>2007.0</v>
      </c>
      <c r="I4" s="54">
        <f t="shared" ref="I4:L4" si="2">(B3/$F3)*1000</f>
        <v>1.399765229</v>
      </c>
      <c r="J4" s="54">
        <f t="shared" si="2"/>
        <v>2.016270296</v>
      </c>
      <c r="K4" s="54">
        <f t="shared" si="2"/>
        <v>1.004031631</v>
      </c>
      <c r="L4" s="54">
        <f t="shared" si="2"/>
        <v>0.04058048324</v>
      </c>
    </row>
    <row r="5">
      <c r="A5" s="6">
        <v>2009.0</v>
      </c>
      <c r="B5" s="52">
        <v>65288.0</v>
      </c>
      <c r="C5" s="52">
        <v>92917.0</v>
      </c>
      <c r="D5" s="52">
        <v>44492.0</v>
      </c>
      <c r="E5" s="52">
        <v>1776.0</v>
      </c>
      <c r="F5" s="52">
        <v>4.535371E7</v>
      </c>
      <c r="G5" s="53"/>
      <c r="H5" s="6">
        <v>2008.0</v>
      </c>
      <c r="I5" s="54">
        <f t="shared" ref="I5:L5" si="3">(B4/$F4)*1000</f>
        <v>1.430181495</v>
      </c>
      <c r="J5" s="54">
        <f t="shared" si="3"/>
        <v>2.037016265</v>
      </c>
      <c r="K5" s="54">
        <f t="shared" si="3"/>
        <v>1.024035088</v>
      </c>
      <c r="L5" s="54">
        <f t="shared" si="3"/>
        <v>0.03989805809</v>
      </c>
    </row>
    <row r="6">
      <c r="A6" s="6">
        <v>2010.0</v>
      </c>
      <c r="B6" s="52">
        <v>67405.0</v>
      </c>
      <c r="C6" s="52">
        <v>96594.0</v>
      </c>
      <c r="D6" s="52">
        <v>45519.0</v>
      </c>
      <c r="E6" s="52">
        <v>1785.0</v>
      </c>
      <c r="F6" s="52">
        <v>4.520678E7</v>
      </c>
      <c r="G6" s="53"/>
      <c r="H6" s="6">
        <v>2009.0</v>
      </c>
      <c r="I6" s="54">
        <f t="shared" ref="I6:L6" si="4">(B5/$F5)*1000</f>
        <v>1.439529423</v>
      </c>
      <c r="J6" s="54">
        <f t="shared" si="4"/>
        <v>2.048718837</v>
      </c>
      <c r="K6" s="54">
        <f t="shared" si="4"/>
        <v>0.9810002313</v>
      </c>
      <c r="L6" s="54">
        <f t="shared" si="4"/>
        <v>0.03915886925</v>
      </c>
    </row>
    <row r="7">
      <c r="A7" s="6">
        <v>2011.0</v>
      </c>
      <c r="B7" s="52">
        <v>69603.0</v>
      </c>
      <c r="C7" s="52">
        <v>99007.0</v>
      </c>
      <c r="D7" s="52">
        <v>50087.0</v>
      </c>
      <c r="E7" s="52">
        <v>1774.0</v>
      </c>
      <c r="F7" s="52">
        <v>4.7405653E7</v>
      </c>
      <c r="G7" s="53"/>
      <c r="H7" s="6">
        <v>2010.0</v>
      </c>
      <c r="I7" s="54">
        <f t="shared" ref="I7:L7" si="5">(B6/$F6)*1000</f>
        <v>1.491037406</v>
      </c>
      <c r="J7" s="54">
        <f t="shared" si="5"/>
        <v>2.136714891</v>
      </c>
      <c r="K7" s="54">
        <f t="shared" si="5"/>
        <v>1.006906486</v>
      </c>
      <c r="L7" s="54">
        <f t="shared" si="5"/>
        <v>0.03948522766</v>
      </c>
    </row>
    <row r="8">
      <c r="A8" s="6">
        <v>2012.0</v>
      </c>
      <c r="B8" s="52">
        <v>72478.0</v>
      </c>
      <c r="C8" s="52">
        <v>103564.0</v>
      </c>
      <c r="D8" s="52">
        <v>51419.0</v>
      </c>
      <c r="E8" s="52">
        <v>1778.0</v>
      </c>
      <c r="F8" s="52">
        <v>4.9502989E7</v>
      </c>
      <c r="G8" s="53"/>
      <c r="H8" s="6">
        <v>2011.0</v>
      </c>
      <c r="I8" s="54">
        <f t="shared" ref="I8:L8" si="6">(B7/$F7)*1000</f>
        <v>1.468242617</v>
      </c>
      <c r="J8" s="54">
        <f t="shared" si="6"/>
        <v>2.088506196</v>
      </c>
      <c r="K8" s="54">
        <f t="shared" si="6"/>
        <v>1.056561756</v>
      </c>
      <c r="L8" s="54">
        <f t="shared" si="6"/>
        <v>0.03742169737</v>
      </c>
    </row>
    <row r="9">
      <c r="A9" s="6">
        <v>2013.0</v>
      </c>
      <c r="B9" s="52">
        <v>73773.0</v>
      </c>
      <c r="C9" s="52">
        <v>104463.0</v>
      </c>
      <c r="D9" s="52">
        <v>51745.0</v>
      </c>
      <c r="E9" s="52">
        <v>1783.0</v>
      </c>
      <c r="F9" s="52">
        <v>5.1162085E7</v>
      </c>
      <c r="G9" s="53"/>
      <c r="H9" s="6">
        <v>2012.0</v>
      </c>
      <c r="I9" s="54">
        <f t="shared" ref="I9:L9" si="7">(B8/$F8)*1000</f>
        <v>1.464113611</v>
      </c>
      <c r="J9" s="54">
        <f t="shared" si="7"/>
        <v>2.092075693</v>
      </c>
      <c r="K9" s="54">
        <f t="shared" si="7"/>
        <v>1.038704956</v>
      </c>
      <c r="L9" s="54">
        <f t="shared" si="7"/>
        <v>0.03591702311</v>
      </c>
    </row>
    <row r="10">
      <c r="A10" s="6">
        <v>2014.0</v>
      </c>
      <c r="B10" s="52">
        <v>75951.0</v>
      </c>
      <c r="C10" s="52">
        <v>107374.0</v>
      </c>
      <c r="D10" s="52">
        <v>51838.0</v>
      </c>
      <c r="E10" s="52">
        <v>1785.0</v>
      </c>
      <c r="F10" s="52">
        <v>5.3121433E7</v>
      </c>
      <c r="G10" s="53"/>
      <c r="H10" s="6">
        <v>2013.0</v>
      </c>
      <c r="I10" s="54">
        <f t="shared" ref="I10:L10" si="8">(B9/$F9)*1000</f>
        <v>1.441946707</v>
      </c>
      <c r="J10" s="54">
        <f t="shared" si="8"/>
        <v>2.041804981</v>
      </c>
      <c r="K10" s="54">
        <f t="shared" si="8"/>
        <v>1.011393496</v>
      </c>
      <c r="L10" s="54">
        <f t="shared" si="8"/>
        <v>0.03485002615</v>
      </c>
    </row>
    <row r="11">
      <c r="A11" s="6">
        <v>2015.0</v>
      </c>
      <c r="B11" s="52">
        <v>83693.0</v>
      </c>
      <c r="C11" s="52">
        <v>107768.0</v>
      </c>
      <c r="D11" s="52">
        <v>52052.0</v>
      </c>
      <c r="E11" s="52">
        <v>1786.0</v>
      </c>
      <c r="F11" s="52">
        <v>5.4299976E7</v>
      </c>
      <c r="G11" s="53"/>
      <c r="H11" s="6">
        <v>2014.0</v>
      </c>
      <c r="I11" s="54">
        <f t="shared" ref="I11:L11" si="9">(B10/$F10)*1000</f>
        <v>1.429761882</v>
      </c>
      <c r="J11" s="54">
        <f t="shared" si="9"/>
        <v>2.021293364</v>
      </c>
      <c r="K11" s="54">
        <f t="shared" si="9"/>
        <v>0.975839639</v>
      </c>
      <c r="L11" s="54">
        <f t="shared" si="9"/>
        <v>0.03360225617</v>
      </c>
    </row>
    <row r="12">
      <c r="A12" s="6">
        <v>2016.0</v>
      </c>
      <c r="B12" s="52">
        <v>73369.0</v>
      </c>
      <c r="C12" s="52">
        <v>108491.0</v>
      </c>
      <c r="D12" s="52">
        <v>52177.0</v>
      </c>
      <c r="E12" s="52">
        <v>1790.0</v>
      </c>
      <c r="F12" s="52">
        <v>5.3977123E7</v>
      </c>
      <c r="G12" s="53"/>
      <c r="H12" s="6">
        <v>2015.0</v>
      </c>
      <c r="I12" s="54">
        <f t="shared" ref="I12:L12" si="10">(B11/$F11)*1000</f>
        <v>1.541308232</v>
      </c>
      <c r="J12" s="54">
        <f t="shared" si="10"/>
        <v>1.984678594</v>
      </c>
      <c r="K12" s="54">
        <f t="shared" si="10"/>
        <v>0.958600792</v>
      </c>
      <c r="L12" s="54">
        <f t="shared" si="10"/>
        <v>0.03289135892</v>
      </c>
    </row>
    <row r="13">
      <c r="A13" s="6">
        <v>2017.0</v>
      </c>
      <c r="B13" s="52">
        <v>74679.0</v>
      </c>
      <c r="C13" s="52">
        <v>109227.0</v>
      </c>
      <c r="D13" s="52">
        <v>52624.0</v>
      </c>
      <c r="E13" s="52">
        <v>1793.0</v>
      </c>
      <c r="F13" s="52">
        <v>5.5813923E7</v>
      </c>
      <c r="G13" s="53"/>
      <c r="H13" s="6">
        <v>2016.0</v>
      </c>
      <c r="I13" s="54">
        <f t="shared" ref="I13:L13" si="11">(B12/$F12)*1000</f>
        <v>1.359261034</v>
      </c>
      <c r="J13" s="54">
        <f t="shared" si="11"/>
        <v>2.009944102</v>
      </c>
      <c r="K13" s="54">
        <f t="shared" si="11"/>
        <v>0.9666502603</v>
      </c>
      <c r="L13" s="54">
        <f t="shared" si="11"/>
        <v>0.03316219725</v>
      </c>
    </row>
    <row r="14">
      <c r="A14" s="6">
        <v>2018.0</v>
      </c>
      <c r="B14" s="52">
        <v>77469.0</v>
      </c>
      <c r="C14" s="52">
        <v>110686.0</v>
      </c>
      <c r="D14" s="52">
        <v>53490.0</v>
      </c>
      <c r="E14" s="52">
        <v>1804.0</v>
      </c>
      <c r="F14" s="52">
        <v>5.7221796E7</v>
      </c>
      <c r="G14" s="53"/>
      <c r="H14" s="6">
        <v>2017.0</v>
      </c>
      <c r="I14" s="54">
        <f t="shared" ref="I14:L14" si="12">(B13/$F13)*1000</f>
        <v>1.337999481</v>
      </c>
      <c r="J14" s="54">
        <f t="shared" si="12"/>
        <v>1.956984819</v>
      </c>
      <c r="K14" s="54">
        <f t="shared" si="12"/>
        <v>0.9428471817</v>
      </c>
      <c r="L14" s="54">
        <f t="shared" si="12"/>
        <v>0.03212460088</v>
      </c>
    </row>
    <row r="15">
      <c r="A15" s="6">
        <v>2019.0</v>
      </c>
      <c r="B15" s="52">
        <v>80113.0</v>
      </c>
      <c r="C15" s="52">
        <v>111612.0</v>
      </c>
      <c r="D15" s="52">
        <v>54116.0</v>
      </c>
      <c r="E15" s="52">
        <v>1816.0</v>
      </c>
      <c r="F15" s="52">
        <v>5.917906E7</v>
      </c>
      <c r="G15" s="53"/>
      <c r="H15" s="6">
        <v>2018.0</v>
      </c>
      <c r="I15" s="54">
        <f t="shared" ref="I15:L15" si="13">(B14/$F14)*1000</f>
        <v>1.353837269</v>
      </c>
      <c r="J15" s="54">
        <f t="shared" si="13"/>
        <v>1.934332855</v>
      </c>
      <c r="K15" s="54">
        <f t="shared" si="13"/>
        <v>0.9347836618</v>
      </c>
      <c r="L15" s="54">
        <f t="shared" si="13"/>
        <v>0.03152644842</v>
      </c>
    </row>
    <row r="16">
      <c r="A16" s="6">
        <v>2020.0</v>
      </c>
      <c r="B16" s="52">
        <v>84371.0</v>
      </c>
      <c r="C16" s="52">
        <v>113076.0</v>
      </c>
      <c r="D16" s="52">
        <v>53582.0</v>
      </c>
      <c r="E16" s="52">
        <v>1829.0</v>
      </c>
      <c r="F16" s="52">
        <v>5.7073874E7</v>
      </c>
      <c r="G16" s="53"/>
      <c r="H16" s="6">
        <v>2019.0</v>
      </c>
      <c r="I16" s="54">
        <f t="shared" ref="I16:L16" si="14">(B15/$F15)*1000</f>
        <v>1.353738975</v>
      </c>
      <c r="J16" s="54">
        <f t="shared" si="14"/>
        <v>1.886004948</v>
      </c>
      <c r="K16" s="54">
        <f t="shared" si="14"/>
        <v>0.9144450757</v>
      </c>
      <c r="L16" s="54">
        <f t="shared" si="14"/>
        <v>0.03068653</v>
      </c>
    </row>
    <row r="17">
      <c r="A17" s="6">
        <v>2021.0</v>
      </c>
      <c r="B17" s="52">
        <v>89502.0</v>
      </c>
      <c r="C17" s="52">
        <v>114779.0</v>
      </c>
      <c r="D17" s="52">
        <v>54872.0</v>
      </c>
      <c r="E17" s="52">
        <v>1836.0</v>
      </c>
      <c r="F17" s="52">
        <v>5.9321565E7</v>
      </c>
      <c r="G17" s="53"/>
      <c r="H17" s="6">
        <v>2020.0</v>
      </c>
      <c r="I17" s="54">
        <f t="shared" ref="I17:L17" si="15">(B16/$F16)*1000</f>
        <v>1.478277083</v>
      </c>
      <c r="J17" s="54">
        <f t="shared" si="15"/>
        <v>1.981221741</v>
      </c>
      <c r="K17" s="54">
        <f t="shared" si="15"/>
        <v>0.9388183462</v>
      </c>
      <c r="L17" s="54">
        <f t="shared" si="15"/>
        <v>0.03204618632</v>
      </c>
    </row>
    <row r="18">
      <c r="A18" s="6">
        <v>2022.0</v>
      </c>
      <c r="B18" s="52">
        <v>95358.0</v>
      </c>
      <c r="C18" s="52">
        <v>116904.0</v>
      </c>
      <c r="D18" s="52">
        <v>56464.0</v>
      </c>
      <c r="E18" s="52">
        <v>1838.0</v>
      </c>
      <c r="F18" s="52">
        <v>6.1141849E7</v>
      </c>
      <c r="G18" s="53"/>
      <c r="H18" s="6">
        <v>2021.0</v>
      </c>
      <c r="I18" s="54">
        <f t="shared" ref="I18:L18" si="16">(B17/$F17)*1000</f>
        <v>1.508759926</v>
      </c>
      <c r="J18" s="54">
        <f t="shared" si="16"/>
        <v>1.934861294</v>
      </c>
      <c r="K18" s="54">
        <f t="shared" si="16"/>
        <v>0.9249924543</v>
      </c>
      <c r="L18" s="54">
        <f t="shared" si="16"/>
        <v>0.03094995892</v>
      </c>
    </row>
    <row r="19">
      <c r="A19" s="6">
        <v>2023.0</v>
      </c>
      <c r="B19" s="52">
        <v>98831.0</v>
      </c>
      <c r="C19" s="52">
        <v>120355.0</v>
      </c>
      <c r="D19" s="52">
        <v>56461.0</v>
      </c>
      <c r="E19" s="52">
        <v>1825.0</v>
      </c>
      <c r="F19" s="52">
        <v>6.2643876E7</v>
      </c>
      <c r="G19" s="53"/>
      <c r="H19" s="6">
        <v>2022.0</v>
      </c>
      <c r="I19" s="54">
        <f t="shared" ref="I19:L19" si="17">(B18/$F18)*1000</f>
        <v>1.559619173</v>
      </c>
      <c r="J19" s="54">
        <f t="shared" si="17"/>
        <v>1.912012834</v>
      </c>
      <c r="K19" s="54">
        <f t="shared" si="17"/>
        <v>0.9234918623</v>
      </c>
      <c r="L19" s="54">
        <f t="shared" si="17"/>
        <v>0.03006124332</v>
      </c>
    </row>
    <row r="20">
      <c r="A20" s="6">
        <v>2024.0</v>
      </c>
      <c r="B20" s="52">
        <v>104512.0</v>
      </c>
      <c r="C20" s="52">
        <v>124191.0</v>
      </c>
      <c r="D20" s="52">
        <v>57519.0</v>
      </c>
      <c r="E20" s="52">
        <v>1852.0</v>
      </c>
      <c r="F20" s="52">
        <v>6.2619331E7</v>
      </c>
      <c r="G20" s="53"/>
      <c r="H20" s="6">
        <v>2023.0</v>
      </c>
      <c r="I20" s="54">
        <f t="shared" ref="I20:L20" si="18">(B19/$F19)*1000</f>
        <v>1.577664192</v>
      </c>
      <c r="J20" s="54">
        <f t="shared" si="18"/>
        <v>1.921257235</v>
      </c>
      <c r="K20" s="54">
        <f t="shared" si="18"/>
        <v>0.9013011902</v>
      </c>
      <c r="L20" s="54">
        <f t="shared" si="18"/>
        <v>0.02913293552</v>
      </c>
    </row>
    <row r="21">
      <c r="B21" s="52"/>
      <c r="E21" s="2"/>
      <c r="F21" s="2"/>
      <c r="G21" s="53"/>
      <c r="H21" s="6">
        <v>2024.0</v>
      </c>
      <c r="I21" s="54">
        <f t="shared" ref="I21:L21" si="19">(B20/$F20)*1000</f>
        <v>1.669005375</v>
      </c>
      <c r="J21" s="54">
        <f t="shared" si="19"/>
        <v>1.983269352</v>
      </c>
      <c r="K21" s="54">
        <f t="shared" si="19"/>
        <v>0.9185502157</v>
      </c>
      <c r="L21" s="54">
        <f t="shared" si="19"/>
        <v>0.02957553156</v>
      </c>
    </row>
    <row r="22">
      <c r="B22" s="52"/>
      <c r="G22" s="53"/>
    </row>
    <row r="23">
      <c r="B23" s="52"/>
      <c r="C23" s="2"/>
      <c r="D23" s="2"/>
      <c r="E23" s="2"/>
      <c r="F23" s="2"/>
      <c r="G23" s="45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</row>
    <row r="24">
      <c r="B24" s="52"/>
      <c r="G24" s="53"/>
    </row>
    <row r="25">
      <c r="A25" s="2"/>
      <c r="B25" s="52"/>
      <c r="C25" s="2"/>
      <c r="D25" s="2"/>
      <c r="E25" s="2"/>
      <c r="F25" s="2"/>
      <c r="G25" s="45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>
      <c r="B26" s="52"/>
      <c r="G26" s="53"/>
    </row>
    <row r="27">
      <c r="B27" s="52"/>
      <c r="G27" s="53"/>
    </row>
    <row r="28">
      <c r="B28" s="52"/>
      <c r="G28" s="53"/>
    </row>
    <row r="29">
      <c r="B29" s="52"/>
      <c r="G29" s="53"/>
    </row>
    <row r="30">
      <c r="B30" s="52"/>
      <c r="G30" s="53"/>
    </row>
    <row r="31">
      <c r="G31" s="53"/>
    </row>
    <row r="32">
      <c r="G32" s="53"/>
    </row>
    <row r="33">
      <c r="G33" s="53"/>
      <c r="I33" s="55">
        <v>1784.0</v>
      </c>
      <c r="J33" s="55">
        <v>1785.0</v>
      </c>
      <c r="K33" s="55">
        <v>1765.0</v>
      </c>
      <c r="L33" s="55">
        <v>1776.0</v>
      </c>
      <c r="M33" s="55">
        <v>1785.0</v>
      </c>
      <c r="N33" s="55">
        <v>1774.0</v>
      </c>
      <c r="O33" s="55">
        <v>1778.0</v>
      </c>
      <c r="P33" s="55">
        <v>1783.0</v>
      </c>
      <c r="Q33" s="55">
        <v>1785.0</v>
      </c>
      <c r="R33" s="55">
        <v>1786.0</v>
      </c>
      <c r="S33" s="55">
        <v>1790.0</v>
      </c>
      <c r="T33" s="55">
        <v>1793.0</v>
      </c>
      <c r="U33" s="55">
        <v>1804.0</v>
      </c>
      <c r="V33" s="55">
        <v>1816.0</v>
      </c>
      <c r="W33" s="55">
        <v>1829.0</v>
      </c>
      <c r="X33" s="55">
        <v>1836.0</v>
      </c>
      <c r="Y33" s="55">
        <v>1838.0</v>
      </c>
      <c r="Z33" s="55">
        <v>1825.0</v>
      </c>
      <c r="AA33" s="55">
        <v>1852.0</v>
      </c>
    </row>
    <row r="34">
      <c r="G34" s="53"/>
    </row>
    <row r="35">
      <c r="G35" s="53"/>
    </row>
    <row r="36">
      <c r="G36" s="53"/>
    </row>
    <row r="37">
      <c r="G37" s="53"/>
    </row>
    <row r="38">
      <c r="G38" s="53"/>
    </row>
    <row r="39">
      <c r="G39" s="53"/>
    </row>
    <row r="40">
      <c r="G40" s="53"/>
    </row>
    <row r="41">
      <c r="G41" s="53"/>
    </row>
    <row r="42">
      <c r="G42" s="53"/>
    </row>
    <row r="43">
      <c r="G43" s="53"/>
    </row>
    <row r="44">
      <c r="G44" s="53"/>
    </row>
    <row r="45">
      <c r="G45" s="53"/>
    </row>
    <row r="46">
      <c r="G46" s="53"/>
    </row>
    <row r="47">
      <c r="G47" s="53"/>
    </row>
    <row r="48">
      <c r="G48" s="53"/>
    </row>
    <row r="49">
      <c r="G49" s="53"/>
    </row>
    <row r="50">
      <c r="G50" s="53"/>
    </row>
    <row r="51">
      <c r="G51" s="53"/>
    </row>
    <row r="52">
      <c r="G52" s="53"/>
    </row>
    <row r="53">
      <c r="G53" s="53"/>
    </row>
    <row r="54">
      <c r="G54" s="53"/>
    </row>
    <row r="55">
      <c r="G55" s="53"/>
    </row>
    <row r="56">
      <c r="G56" s="53"/>
    </row>
    <row r="57">
      <c r="G57" s="53"/>
    </row>
    <row r="58">
      <c r="G58" s="53"/>
    </row>
    <row r="59">
      <c r="G59" s="53"/>
    </row>
    <row r="60">
      <c r="G60" s="53"/>
    </row>
    <row r="61">
      <c r="G61" s="53"/>
    </row>
    <row r="62">
      <c r="G62" s="53"/>
    </row>
    <row r="63">
      <c r="G63" s="53"/>
    </row>
    <row r="64">
      <c r="G64" s="53"/>
    </row>
    <row r="65">
      <c r="G65" s="53"/>
    </row>
    <row r="66">
      <c r="G66" s="53"/>
    </row>
    <row r="67">
      <c r="G67" s="53"/>
    </row>
    <row r="68">
      <c r="G68" s="53"/>
    </row>
    <row r="69">
      <c r="G69" s="53"/>
    </row>
    <row r="70">
      <c r="G70" s="53"/>
    </row>
    <row r="71">
      <c r="G71" s="53"/>
    </row>
    <row r="72">
      <c r="G72" s="53"/>
    </row>
    <row r="73">
      <c r="G73" s="53"/>
    </row>
    <row r="74">
      <c r="G74" s="53"/>
    </row>
    <row r="75">
      <c r="G75" s="53"/>
    </row>
    <row r="76">
      <c r="G76" s="53"/>
    </row>
    <row r="77">
      <c r="G77" s="53"/>
    </row>
    <row r="78">
      <c r="G78" s="53"/>
    </row>
    <row r="79">
      <c r="G79" s="53"/>
    </row>
    <row r="80">
      <c r="G80" s="53"/>
    </row>
    <row r="81">
      <c r="G81" s="53"/>
    </row>
    <row r="82">
      <c r="G82" s="53"/>
    </row>
    <row r="83">
      <c r="G83" s="53"/>
    </row>
    <row r="84">
      <c r="G84" s="53"/>
    </row>
    <row r="85">
      <c r="G85" s="53"/>
    </row>
    <row r="86">
      <c r="G86" s="53"/>
    </row>
    <row r="87">
      <c r="G87" s="53"/>
    </row>
    <row r="88">
      <c r="G88" s="53"/>
    </row>
    <row r="89">
      <c r="G89" s="53"/>
    </row>
    <row r="90">
      <c r="G90" s="53"/>
    </row>
    <row r="91">
      <c r="G91" s="53"/>
    </row>
    <row r="92">
      <c r="G92" s="53"/>
    </row>
    <row r="93">
      <c r="G93" s="53"/>
    </row>
    <row r="94">
      <c r="G94" s="53"/>
    </row>
    <row r="95">
      <c r="G95" s="53"/>
    </row>
    <row r="96">
      <c r="G96" s="53"/>
    </row>
    <row r="97">
      <c r="G97" s="53"/>
    </row>
    <row r="98">
      <c r="G98" s="53"/>
    </row>
    <row r="99">
      <c r="G99" s="53"/>
    </row>
    <row r="100">
      <c r="G100" s="53"/>
    </row>
    <row r="101">
      <c r="G101" s="53"/>
    </row>
    <row r="102">
      <c r="G102" s="53"/>
    </row>
    <row r="103">
      <c r="G103" s="53"/>
    </row>
    <row r="104">
      <c r="G104" s="53"/>
    </row>
    <row r="105">
      <c r="G105" s="53"/>
    </row>
    <row r="106">
      <c r="G106" s="53"/>
    </row>
    <row r="107">
      <c r="G107" s="53"/>
    </row>
    <row r="108">
      <c r="G108" s="53"/>
    </row>
    <row r="109">
      <c r="G109" s="53"/>
    </row>
    <row r="110">
      <c r="G110" s="53"/>
    </row>
    <row r="111">
      <c r="G111" s="53"/>
    </row>
    <row r="112">
      <c r="G112" s="53"/>
    </row>
    <row r="113">
      <c r="G113" s="53"/>
    </row>
    <row r="114">
      <c r="G114" s="53"/>
    </row>
    <row r="115">
      <c r="G115" s="53"/>
    </row>
    <row r="116">
      <c r="G116" s="53"/>
    </row>
    <row r="117">
      <c r="G117" s="53"/>
    </row>
    <row r="118">
      <c r="G118" s="53"/>
    </row>
    <row r="119">
      <c r="G119" s="53"/>
    </row>
    <row r="120">
      <c r="G120" s="53"/>
    </row>
    <row r="121">
      <c r="G121" s="53"/>
    </row>
    <row r="122">
      <c r="G122" s="53"/>
    </row>
    <row r="123">
      <c r="G123" s="53"/>
    </row>
    <row r="124">
      <c r="G124" s="53"/>
    </row>
    <row r="125">
      <c r="G125" s="53"/>
    </row>
    <row r="126">
      <c r="G126" s="53"/>
    </row>
    <row r="127">
      <c r="G127" s="53"/>
    </row>
    <row r="128">
      <c r="G128" s="53"/>
    </row>
    <row r="129">
      <c r="G129" s="53"/>
    </row>
    <row r="130">
      <c r="G130" s="53"/>
    </row>
    <row r="131">
      <c r="G131" s="53"/>
    </row>
    <row r="132">
      <c r="G132" s="53"/>
    </row>
    <row r="133">
      <c r="G133" s="53"/>
    </row>
    <row r="134">
      <c r="G134" s="53"/>
    </row>
    <row r="135">
      <c r="G135" s="53"/>
    </row>
    <row r="136">
      <c r="G136" s="53"/>
    </row>
    <row r="137">
      <c r="G137" s="53"/>
    </row>
    <row r="138">
      <c r="G138" s="53"/>
    </row>
    <row r="139">
      <c r="G139" s="53"/>
    </row>
    <row r="140">
      <c r="G140" s="53"/>
    </row>
    <row r="141">
      <c r="G141" s="53"/>
    </row>
    <row r="142">
      <c r="G142" s="53"/>
    </row>
    <row r="143">
      <c r="G143" s="53"/>
    </row>
    <row r="144">
      <c r="G144" s="53"/>
    </row>
    <row r="145">
      <c r="G145" s="53"/>
    </row>
    <row r="146">
      <c r="G146" s="53"/>
    </row>
    <row r="147">
      <c r="G147" s="53"/>
    </row>
    <row r="148">
      <c r="G148" s="53"/>
    </row>
    <row r="149">
      <c r="G149" s="53"/>
    </row>
    <row r="150">
      <c r="G150" s="53"/>
    </row>
    <row r="151">
      <c r="G151" s="53"/>
    </row>
    <row r="152">
      <c r="G152" s="53"/>
    </row>
    <row r="153">
      <c r="G153" s="53"/>
    </row>
    <row r="154">
      <c r="G154" s="53"/>
    </row>
    <row r="155">
      <c r="G155" s="53"/>
    </row>
    <row r="156">
      <c r="G156" s="53"/>
    </row>
    <row r="157">
      <c r="G157" s="53"/>
    </row>
    <row r="158">
      <c r="G158" s="53"/>
    </row>
    <row r="159">
      <c r="G159" s="53"/>
    </row>
    <row r="160">
      <c r="G160" s="53"/>
    </row>
    <row r="161">
      <c r="G161" s="53"/>
    </row>
    <row r="162">
      <c r="G162" s="53"/>
    </row>
    <row r="163">
      <c r="G163" s="53"/>
    </row>
    <row r="164">
      <c r="G164" s="53"/>
    </row>
    <row r="165">
      <c r="G165" s="53"/>
    </row>
    <row r="166">
      <c r="G166" s="53"/>
    </row>
    <row r="167">
      <c r="G167" s="53"/>
    </row>
    <row r="168">
      <c r="G168" s="53"/>
    </row>
    <row r="169">
      <c r="G169" s="53"/>
    </row>
    <row r="170">
      <c r="G170" s="53"/>
    </row>
    <row r="171">
      <c r="G171" s="53"/>
    </row>
    <row r="172">
      <c r="G172" s="53"/>
    </row>
    <row r="173">
      <c r="G173" s="53"/>
    </row>
    <row r="174">
      <c r="G174" s="53"/>
    </row>
    <row r="175">
      <c r="G175" s="53"/>
    </row>
    <row r="176">
      <c r="G176" s="53"/>
    </row>
    <row r="177">
      <c r="G177" s="53"/>
    </row>
    <row r="178">
      <c r="G178" s="53"/>
    </row>
    <row r="179">
      <c r="G179" s="53"/>
    </row>
    <row r="180">
      <c r="G180" s="53"/>
    </row>
    <row r="181">
      <c r="G181" s="53"/>
    </row>
    <row r="182">
      <c r="G182" s="53"/>
    </row>
    <row r="183">
      <c r="G183" s="53"/>
    </row>
    <row r="184">
      <c r="G184" s="53"/>
    </row>
    <row r="185">
      <c r="G185" s="53"/>
    </row>
    <row r="186">
      <c r="G186" s="53"/>
    </row>
    <row r="187">
      <c r="G187" s="53"/>
    </row>
    <row r="188">
      <c r="G188" s="53"/>
    </row>
    <row r="189">
      <c r="G189" s="53"/>
    </row>
    <row r="190">
      <c r="G190" s="53"/>
    </row>
    <row r="191">
      <c r="G191" s="53"/>
    </row>
    <row r="192">
      <c r="G192" s="53"/>
    </row>
    <row r="193">
      <c r="G193" s="53"/>
    </row>
    <row r="194">
      <c r="G194" s="53"/>
    </row>
    <row r="195">
      <c r="G195" s="53"/>
    </row>
    <row r="196">
      <c r="G196" s="53"/>
    </row>
    <row r="197">
      <c r="G197" s="53"/>
    </row>
    <row r="198">
      <c r="G198" s="53"/>
    </row>
    <row r="199">
      <c r="G199" s="53"/>
    </row>
    <row r="200">
      <c r="G200" s="53"/>
    </row>
    <row r="201">
      <c r="G201" s="53"/>
    </row>
    <row r="202">
      <c r="G202" s="53"/>
    </row>
    <row r="203">
      <c r="G203" s="53"/>
    </row>
    <row r="204">
      <c r="G204" s="53"/>
    </row>
    <row r="205">
      <c r="G205" s="53"/>
    </row>
    <row r="206">
      <c r="G206" s="53"/>
    </row>
    <row r="207">
      <c r="G207" s="53"/>
    </row>
    <row r="208">
      <c r="G208" s="53"/>
    </row>
    <row r="209">
      <c r="G209" s="53"/>
    </row>
    <row r="210">
      <c r="G210" s="53"/>
    </row>
    <row r="211">
      <c r="G211" s="53"/>
    </row>
    <row r="212">
      <c r="G212" s="53"/>
    </row>
    <row r="213">
      <c r="G213" s="53"/>
    </row>
    <row r="214">
      <c r="G214" s="53"/>
    </row>
    <row r="215">
      <c r="G215" s="53"/>
    </row>
    <row r="216">
      <c r="G216" s="53"/>
    </row>
    <row r="217">
      <c r="G217" s="53"/>
    </row>
    <row r="218">
      <c r="G218" s="53"/>
    </row>
    <row r="219">
      <c r="G219" s="53"/>
    </row>
    <row r="220">
      <c r="G220" s="53"/>
    </row>
    <row r="221">
      <c r="G221" s="53"/>
    </row>
    <row r="222">
      <c r="G222" s="53"/>
    </row>
    <row r="223">
      <c r="G223" s="53"/>
    </row>
    <row r="224">
      <c r="G224" s="53"/>
    </row>
    <row r="225">
      <c r="G225" s="53"/>
    </row>
    <row r="226">
      <c r="G226" s="53"/>
    </row>
    <row r="227">
      <c r="G227" s="53"/>
    </row>
    <row r="228">
      <c r="G228" s="53"/>
    </row>
    <row r="229">
      <c r="G229" s="53"/>
    </row>
    <row r="230">
      <c r="G230" s="53"/>
    </row>
    <row r="231">
      <c r="G231" s="53"/>
    </row>
    <row r="232">
      <c r="G232" s="53"/>
    </row>
    <row r="233">
      <c r="G233" s="53"/>
    </row>
    <row r="234">
      <c r="G234" s="53"/>
    </row>
    <row r="235">
      <c r="G235" s="53"/>
    </row>
    <row r="236">
      <c r="G236" s="53"/>
    </row>
    <row r="237">
      <c r="G237" s="53"/>
    </row>
    <row r="238">
      <c r="G238" s="53"/>
    </row>
    <row r="239">
      <c r="G239" s="53"/>
    </row>
    <row r="240">
      <c r="G240" s="53"/>
    </row>
    <row r="241">
      <c r="G241" s="53"/>
    </row>
    <row r="242">
      <c r="G242" s="53"/>
    </row>
    <row r="243">
      <c r="G243" s="53"/>
    </row>
    <row r="244">
      <c r="G244" s="53"/>
    </row>
    <row r="245">
      <c r="G245" s="53"/>
    </row>
    <row r="246">
      <c r="G246" s="53"/>
    </row>
    <row r="247">
      <c r="G247" s="53"/>
    </row>
    <row r="248">
      <c r="G248" s="53"/>
    </row>
    <row r="249">
      <c r="G249" s="53"/>
    </row>
    <row r="250">
      <c r="G250" s="53"/>
    </row>
    <row r="251">
      <c r="G251" s="53"/>
    </row>
    <row r="252">
      <c r="G252" s="53"/>
    </row>
    <row r="253">
      <c r="G253" s="53"/>
    </row>
    <row r="254">
      <c r="G254" s="53"/>
    </row>
    <row r="255">
      <c r="G255" s="53"/>
    </row>
    <row r="256">
      <c r="G256" s="53"/>
    </row>
    <row r="257">
      <c r="G257" s="53"/>
    </row>
    <row r="258">
      <c r="G258" s="53"/>
    </row>
    <row r="259">
      <c r="G259" s="53"/>
    </row>
    <row r="260">
      <c r="G260" s="53"/>
    </row>
    <row r="261">
      <c r="G261" s="53"/>
    </row>
    <row r="262">
      <c r="G262" s="53"/>
    </row>
    <row r="263">
      <c r="G263" s="53"/>
    </row>
    <row r="264">
      <c r="G264" s="53"/>
    </row>
    <row r="265">
      <c r="G265" s="53"/>
    </row>
    <row r="266">
      <c r="G266" s="53"/>
    </row>
    <row r="267">
      <c r="G267" s="53"/>
    </row>
    <row r="268">
      <c r="G268" s="53"/>
    </row>
    <row r="269">
      <c r="G269" s="53"/>
    </row>
    <row r="270">
      <c r="G270" s="53"/>
    </row>
    <row r="271">
      <c r="G271" s="53"/>
    </row>
    <row r="272">
      <c r="G272" s="53"/>
    </row>
    <row r="273">
      <c r="G273" s="53"/>
    </row>
    <row r="274">
      <c r="G274" s="53"/>
    </row>
    <row r="275">
      <c r="G275" s="53"/>
    </row>
    <row r="276">
      <c r="G276" s="53"/>
    </row>
    <row r="277">
      <c r="G277" s="53"/>
    </row>
    <row r="278">
      <c r="G278" s="53"/>
    </row>
    <row r="279">
      <c r="G279" s="53"/>
    </row>
    <row r="280">
      <c r="G280" s="53"/>
    </row>
    <row r="281">
      <c r="G281" s="53"/>
    </row>
    <row r="282">
      <c r="G282" s="53"/>
    </row>
    <row r="283">
      <c r="G283" s="53"/>
    </row>
    <row r="284">
      <c r="G284" s="53"/>
    </row>
    <row r="285">
      <c r="G285" s="53"/>
    </row>
    <row r="286">
      <c r="G286" s="53"/>
    </row>
    <row r="287">
      <c r="G287" s="53"/>
    </row>
    <row r="288">
      <c r="G288" s="53"/>
    </row>
    <row r="289">
      <c r="G289" s="53"/>
    </row>
    <row r="290">
      <c r="G290" s="53"/>
    </row>
    <row r="291">
      <c r="G291" s="53"/>
    </row>
    <row r="292">
      <c r="G292" s="53"/>
    </row>
    <row r="293">
      <c r="G293" s="53"/>
    </row>
    <row r="294">
      <c r="G294" s="53"/>
    </row>
    <row r="295">
      <c r="G295" s="53"/>
    </row>
    <row r="296">
      <c r="G296" s="53"/>
    </row>
    <row r="297">
      <c r="G297" s="53"/>
    </row>
    <row r="298">
      <c r="G298" s="53"/>
    </row>
    <row r="299">
      <c r="G299" s="53"/>
    </row>
    <row r="300">
      <c r="G300" s="53"/>
    </row>
    <row r="301">
      <c r="G301" s="53"/>
    </row>
    <row r="302">
      <c r="G302" s="53"/>
    </row>
    <row r="303">
      <c r="G303" s="53"/>
    </row>
    <row r="304">
      <c r="G304" s="53"/>
    </row>
    <row r="305">
      <c r="G305" s="53"/>
    </row>
    <row r="306">
      <c r="G306" s="53"/>
    </row>
    <row r="307">
      <c r="G307" s="53"/>
    </row>
    <row r="308">
      <c r="G308" s="53"/>
    </row>
    <row r="309">
      <c r="G309" s="53"/>
    </row>
    <row r="310">
      <c r="G310" s="53"/>
    </row>
    <row r="311">
      <c r="G311" s="53"/>
    </row>
    <row r="312">
      <c r="G312" s="53"/>
    </row>
    <row r="313">
      <c r="G313" s="53"/>
    </row>
    <row r="314">
      <c r="G314" s="53"/>
    </row>
    <row r="315">
      <c r="G315" s="53"/>
    </row>
    <row r="316">
      <c r="G316" s="53"/>
    </row>
    <row r="317">
      <c r="G317" s="53"/>
    </row>
    <row r="318">
      <c r="G318" s="53"/>
    </row>
    <row r="319">
      <c r="G319" s="53"/>
    </row>
    <row r="320">
      <c r="G320" s="53"/>
    </row>
    <row r="321">
      <c r="G321" s="53"/>
    </row>
    <row r="322">
      <c r="G322" s="53"/>
    </row>
    <row r="323">
      <c r="G323" s="53"/>
    </row>
    <row r="324">
      <c r="G324" s="53"/>
    </row>
    <row r="325">
      <c r="G325" s="53"/>
    </row>
    <row r="326">
      <c r="G326" s="53"/>
    </row>
    <row r="327">
      <c r="G327" s="53"/>
    </row>
    <row r="328">
      <c r="G328" s="53"/>
    </row>
    <row r="329">
      <c r="G329" s="53"/>
    </row>
    <row r="330">
      <c r="G330" s="53"/>
    </row>
    <row r="331">
      <c r="G331" s="53"/>
    </row>
    <row r="332">
      <c r="G332" s="53"/>
    </row>
    <row r="333">
      <c r="G333" s="53"/>
    </row>
    <row r="334">
      <c r="G334" s="53"/>
    </row>
    <row r="335">
      <c r="G335" s="53"/>
    </row>
    <row r="336">
      <c r="G336" s="53"/>
    </row>
    <row r="337">
      <c r="G337" s="53"/>
    </row>
    <row r="338">
      <c r="G338" s="53"/>
    </row>
    <row r="339">
      <c r="G339" s="53"/>
    </row>
    <row r="340">
      <c r="G340" s="53"/>
    </row>
    <row r="341">
      <c r="G341" s="53"/>
    </row>
    <row r="342">
      <c r="G342" s="53"/>
    </row>
    <row r="343">
      <c r="G343" s="53"/>
    </row>
    <row r="344">
      <c r="G344" s="53"/>
    </row>
    <row r="345">
      <c r="G345" s="53"/>
    </row>
    <row r="346">
      <c r="G346" s="53"/>
    </row>
    <row r="347">
      <c r="G347" s="53"/>
    </row>
    <row r="348">
      <c r="G348" s="53"/>
    </row>
    <row r="349">
      <c r="G349" s="53"/>
    </row>
    <row r="350">
      <c r="G350" s="53"/>
    </row>
    <row r="351">
      <c r="G351" s="53"/>
    </row>
    <row r="352">
      <c r="G352" s="53"/>
    </row>
    <row r="353">
      <c r="G353" s="53"/>
    </row>
    <row r="354">
      <c r="G354" s="53"/>
    </row>
    <row r="355">
      <c r="G355" s="53"/>
    </row>
    <row r="356">
      <c r="G356" s="53"/>
    </row>
    <row r="357">
      <c r="G357" s="53"/>
    </row>
    <row r="358">
      <c r="G358" s="53"/>
    </row>
    <row r="359">
      <c r="G359" s="53"/>
    </row>
    <row r="360">
      <c r="G360" s="53"/>
    </row>
    <row r="361">
      <c r="G361" s="53"/>
    </row>
    <row r="362">
      <c r="G362" s="53"/>
    </row>
    <row r="363">
      <c r="G363" s="53"/>
    </row>
    <row r="364">
      <c r="G364" s="53"/>
    </row>
    <row r="365">
      <c r="G365" s="53"/>
    </row>
    <row r="366">
      <c r="G366" s="53"/>
    </row>
    <row r="367">
      <c r="G367" s="53"/>
    </row>
    <row r="368">
      <c r="G368" s="53"/>
    </row>
    <row r="369">
      <c r="G369" s="53"/>
    </row>
    <row r="370">
      <c r="G370" s="53"/>
    </row>
    <row r="371">
      <c r="G371" s="53"/>
    </row>
    <row r="372">
      <c r="G372" s="53"/>
    </row>
    <row r="373">
      <c r="G373" s="53"/>
    </row>
    <row r="374">
      <c r="G374" s="53"/>
    </row>
    <row r="375">
      <c r="G375" s="53"/>
    </row>
    <row r="376">
      <c r="G376" s="53"/>
    </row>
    <row r="377">
      <c r="G377" s="53"/>
    </row>
    <row r="378">
      <c r="G378" s="53"/>
    </row>
    <row r="379">
      <c r="G379" s="53"/>
    </row>
    <row r="380">
      <c r="G380" s="53"/>
    </row>
    <row r="381">
      <c r="G381" s="53"/>
    </row>
    <row r="382">
      <c r="G382" s="53"/>
    </row>
    <row r="383">
      <c r="G383" s="53"/>
    </row>
    <row r="384">
      <c r="G384" s="53"/>
    </row>
    <row r="385">
      <c r="G385" s="53"/>
    </row>
    <row r="386">
      <c r="G386" s="53"/>
    </row>
    <row r="387">
      <c r="G387" s="53"/>
    </row>
    <row r="388">
      <c r="G388" s="53"/>
    </row>
    <row r="389">
      <c r="G389" s="53"/>
    </row>
    <row r="390">
      <c r="G390" s="53"/>
    </row>
    <row r="391">
      <c r="G391" s="53"/>
    </row>
    <row r="392">
      <c r="G392" s="53"/>
    </row>
    <row r="393">
      <c r="G393" s="53"/>
    </row>
    <row r="394">
      <c r="G394" s="53"/>
    </row>
    <row r="395">
      <c r="G395" s="53"/>
    </row>
    <row r="396">
      <c r="G396" s="53"/>
    </row>
    <row r="397">
      <c r="G397" s="53"/>
    </row>
    <row r="398">
      <c r="G398" s="53"/>
    </row>
    <row r="399">
      <c r="G399" s="53"/>
    </row>
    <row r="400">
      <c r="G400" s="53"/>
    </row>
    <row r="401">
      <c r="G401" s="53"/>
    </row>
    <row r="402">
      <c r="G402" s="53"/>
    </row>
    <row r="403">
      <c r="G403" s="53"/>
    </row>
    <row r="404">
      <c r="G404" s="53"/>
    </row>
    <row r="405">
      <c r="G405" s="53"/>
    </row>
    <row r="406">
      <c r="G406" s="53"/>
    </row>
    <row r="407">
      <c r="G407" s="53"/>
    </row>
    <row r="408">
      <c r="G408" s="53"/>
    </row>
    <row r="409">
      <c r="G409" s="53"/>
    </row>
    <row r="410">
      <c r="G410" s="53"/>
    </row>
    <row r="411">
      <c r="G411" s="53"/>
    </row>
    <row r="412">
      <c r="G412" s="53"/>
    </row>
    <row r="413">
      <c r="G413" s="53"/>
    </row>
    <row r="414">
      <c r="G414" s="53"/>
    </row>
    <row r="415">
      <c r="G415" s="53"/>
    </row>
    <row r="416">
      <c r="G416" s="53"/>
    </row>
    <row r="417">
      <c r="G417" s="53"/>
    </row>
    <row r="418">
      <c r="G418" s="53"/>
    </row>
    <row r="419">
      <c r="G419" s="53"/>
    </row>
    <row r="420">
      <c r="G420" s="53"/>
    </row>
    <row r="421">
      <c r="G421" s="53"/>
    </row>
    <row r="422">
      <c r="G422" s="53"/>
    </row>
    <row r="423">
      <c r="G423" s="53"/>
    </row>
    <row r="424">
      <c r="G424" s="53"/>
    </row>
    <row r="425">
      <c r="G425" s="53"/>
    </row>
    <row r="426">
      <c r="G426" s="53"/>
    </row>
    <row r="427">
      <c r="G427" s="53"/>
    </row>
    <row r="428">
      <c r="G428" s="53"/>
    </row>
    <row r="429">
      <c r="G429" s="53"/>
    </row>
    <row r="430">
      <c r="G430" s="53"/>
    </row>
    <row r="431">
      <c r="G431" s="53"/>
    </row>
    <row r="432">
      <c r="G432" s="53"/>
    </row>
    <row r="433">
      <c r="G433" s="53"/>
    </row>
    <row r="434">
      <c r="G434" s="53"/>
    </row>
    <row r="435">
      <c r="G435" s="53"/>
    </row>
    <row r="436">
      <c r="G436" s="53"/>
    </row>
    <row r="437">
      <c r="G437" s="53"/>
    </row>
    <row r="438">
      <c r="G438" s="53"/>
    </row>
    <row r="439">
      <c r="G439" s="53"/>
    </row>
    <row r="440">
      <c r="G440" s="53"/>
    </row>
    <row r="441">
      <c r="G441" s="53"/>
    </row>
    <row r="442">
      <c r="G442" s="53"/>
    </row>
    <row r="443">
      <c r="G443" s="53"/>
    </row>
    <row r="444">
      <c r="G444" s="53"/>
    </row>
    <row r="445">
      <c r="G445" s="53"/>
    </row>
    <row r="446">
      <c r="G446" s="53"/>
    </row>
    <row r="447">
      <c r="G447" s="53"/>
    </row>
    <row r="448">
      <c r="G448" s="53"/>
    </row>
    <row r="449">
      <c r="G449" s="53"/>
    </row>
    <row r="450">
      <c r="G450" s="53"/>
    </row>
    <row r="451">
      <c r="G451" s="53"/>
    </row>
    <row r="452">
      <c r="G452" s="53"/>
    </row>
    <row r="453">
      <c r="G453" s="53"/>
    </row>
    <row r="454">
      <c r="G454" s="53"/>
    </row>
    <row r="455">
      <c r="G455" s="53"/>
    </row>
    <row r="456">
      <c r="G456" s="53"/>
    </row>
    <row r="457">
      <c r="G457" s="53"/>
    </row>
    <row r="458">
      <c r="G458" s="53"/>
    </row>
    <row r="459">
      <c r="G459" s="53"/>
    </row>
    <row r="460">
      <c r="G460" s="53"/>
    </row>
    <row r="461">
      <c r="G461" s="53"/>
    </row>
    <row r="462">
      <c r="G462" s="53"/>
    </row>
    <row r="463">
      <c r="G463" s="53"/>
    </row>
    <row r="464">
      <c r="G464" s="53"/>
    </row>
    <row r="465">
      <c r="G465" s="53"/>
    </row>
    <row r="466">
      <c r="G466" s="53"/>
    </row>
    <row r="467">
      <c r="G467" s="53"/>
    </row>
    <row r="468">
      <c r="G468" s="53"/>
    </row>
    <row r="469">
      <c r="G469" s="53"/>
    </row>
    <row r="470">
      <c r="G470" s="53"/>
    </row>
    <row r="471">
      <c r="G471" s="53"/>
    </row>
    <row r="472">
      <c r="G472" s="53"/>
    </row>
    <row r="473">
      <c r="G473" s="53"/>
    </row>
    <row r="474">
      <c r="G474" s="53"/>
    </row>
    <row r="475">
      <c r="G475" s="53"/>
    </row>
    <row r="476">
      <c r="G476" s="53"/>
    </row>
    <row r="477">
      <c r="G477" s="53"/>
    </row>
    <row r="478">
      <c r="G478" s="53"/>
    </row>
    <row r="479">
      <c r="G479" s="53"/>
    </row>
    <row r="480">
      <c r="G480" s="53"/>
    </row>
    <row r="481">
      <c r="G481" s="53"/>
    </row>
    <row r="482">
      <c r="G482" s="53"/>
    </row>
    <row r="483">
      <c r="G483" s="53"/>
    </row>
    <row r="484">
      <c r="G484" s="53"/>
    </row>
    <row r="485">
      <c r="G485" s="53"/>
    </row>
    <row r="486">
      <c r="G486" s="53"/>
    </row>
    <row r="487">
      <c r="G487" s="53"/>
    </row>
    <row r="488">
      <c r="G488" s="53"/>
    </row>
    <row r="489">
      <c r="G489" s="53"/>
    </row>
    <row r="490">
      <c r="G490" s="53"/>
    </row>
    <row r="491">
      <c r="G491" s="53"/>
    </row>
    <row r="492">
      <c r="G492" s="53"/>
    </row>
    <row r="493">
      <c r="G493" s="53"/>
    </row>
    <row r="494">
      <c r="G494" s="53"/>
    </row>
    <row r="495">
      <c r="G495" s="53"/>
    </row>
    <row r="496">
      <c r="G496" s="53"/>
    </row>
    <row r="497">
      <c r="G497" s="53"/>
    </row>
    <row r="498">
      <c r="G498" s="53"/>
    </row>
    <row r="499">
      <c r="G499" s="53"/>
    </row>
    <row r="500">
      <c r="G500" s="53"/>
    </row>
    <row r="501">
      <c r="G501" s="53"/>
    </row>
    <row r="502">
      <c r="G502" s="53"/>
    </row>
    <row r="503">
      <c r="G503" s="53"/>
    </row>
    <row r="504">
      <c r="G504" s="53"/>
    </row>
    <row r="505">
      <c r="G505" s="53"/>
    </row>
    <row r="506">
      <c r="G506" s="53"/>
    </row>
    <row r="507">
      <c r="G507" s="53"/>
    </row>
    <row r="508">
      <c r="G508" s="53"/>
    </row>
    <row r="509">
      <c r="G509" s="53"/>
    </row>
    <row r="510">
      <c r="G510" s="53"/>
    </row>
    <row r="511">
      <c r="G511" s="53"/>
    </row>
    <row r="512">
      <c r="G512" s="53"/>
    </row>
    <row r="513">
      <c r="G513" s="53"/>
    </row>
    <row r="514">
      <c r="G514" s="53"/>
    </row>
    <row r="515">
      <c r="G515" s="53"/>
    </row>
    <row r="516">
      <c r="G516" s="53"/>
    </row>
    <row r="517">
      <c r="G517" s="53"/>
    </row>
    <row r="518">
      <c r="G518" s="53"/>
    </row>
    <row r="519">
      <c r="G519" s="53"/>
    </row>
    <row r="520">
      <c r="G520" s="53"/>
    </row>
    <row r="521">
      <c r="G521" s="53"/>
    </row>
    <row r="522">
      <c r="G522" s="53"/>
    </row>
    <row r="523">
      <c r="G523" s="53"/>
    </row>
    <row r="524">
      <c r="G524" s="53"/>
    </row>
    <row r="525">
      <c r="G525" s="53"/>
    </row>
    <row r="526">
      <c r="G526" s="53"/>
    </row>
    <row r="527">
      <c r="G527" s="53"/>
    </row>
    <row r="528">
      <c r="G528" s="53"/>
    </row>
    <row r="529">
      <c r="G529" s="53"/>
    </row>
    <row r="530">
      <c r="G530" s="53"/>
    </row>
    <row r="531">
      <c r="G531" s="53"/>
    </row>
    <row r="532">
      <c r="G532" s="53"/>
    </row>
    <row r="533">
      <c r="G533" s="53"/>
    </row>
    <row r="534">
      <c r="G534" s="53"/>
    </row>
    <row r="535">
      <c r="G535" s="53"/>
    </row>
    <row r="536">
      <c r="G536" s="53"/>
    </row>
    <row r="537">
      <c r="G537" s="53"/>
    </row>
    <row r="538">
      <c r="G538" s="53"/>
    </row>
    <row r="539">
      <c r="G539" s="53"/>
    </row>
    <row r="540">
      <c r="G540" s="53"/>
    </row>
    <row r="541">
      <c r="G541" s="53"/>
    </row>
    <row r="542">
      <c r="G542" s="53"/>
    </row>
    <row r="543">
      <c r="G543" s="53"/>
    </row>
    <row r="544">
      <c r="G544" s="53"/>
    </row>
    <row r="545">
      <c r="G545" s="53"/>
    </row>
    <row r="546">
      <c r="G546" s="53"/>
    </row>
    <row r="547">
      <c r="G547" s="53"/>
    </row>
    <row r="548">
      <c r="G548" s="53"/>
    </row>
    <row r="549">
      <c r="G549" s="53"/>
    </row>
    <row r="550">
      <c r="G550" s="53"/>
    </row>
    <row r="551">
      <c r="G551" s="53"/>
    </row>
    <row r="552">
      <c r="G552" s="53"/>
    </row>
    <row r="553">
      <c r="G553" s="53"/>
    </row>
    <row r="554">
      <c r="G554" s="53"/>
    </row>
    <row r="555">
      <c r="G555" s="53"/>
    </row>
    <row r="556">
      <c r="G556" s="53"/>
    </row>
    <row r="557">
      <c r="G557" s="53"/>
    </row>
    <row r="558">
      <c r="G558" s="53"/>
    </row>
    <row r="559">
      <c r="G559" s="53"/>
    </row>
    <row r="560">
      <c r="G560" s="53"/>
    </row>
    <row r="561">
      <c r="G561" s="53"/>
    </row>
    <row r="562">
      <c r="G562" s="53"/>
    </row>
    <row r="563">
      <c r="G563" s="53"/>
    </row>
    <row r="564">
      <c r="G564" s="53"/>
    </row>
    <row r="565">
      <c r="G565" s="53"/>
    </row>
    <row r="566">
      <c r="G566" s="53"/>
    </row>
    <row r="567">
      <c r="G567" s="53"/>
    </row>
    <row r="568">
      <c r="G568" s="53"/>
    </row>
    <row r="569">
      <c r="G569" s="53"/>
    </row>
    <row r="570">
      <c r="G570" s="53"/>
    </row>
    <row r="571">
      <c r="G571" s="53"/>
    </row>
    <row r="572">
      <c r="G572" s="53"/>
    </row>
    <row r="573">
      <c r="G573" s="53"/>
    </row>
    <row r="574">
      <c r="G574" s="53"/>
    </row>
    <row r="575">
      <c r="G575" s="53"/>
    </row>
    <row r="576">
      <c r="G576" s="53"/>
    </row>
    <row r="577">
      <c r="G577" s="53"/>
    </row>
    <row r="578">
      <c r="G578" s="53"/>
    </row>
    <row r="579">
      <c r="G579" s="53"/>
    </row>
    <row r="580">
      <c r="G580" s="53"/>
    </row>
    <row r="581">
      <c r="G581" s="53"/>
    </row>
    <row r="582">
      <c r="G582" s="53"/>
    </row>
    <row r="583">
      <c r="G583" s="53"/>
    </row>
    <row r="584">
      <c r="G584" s="53"/>
    </row>
    <row r="585">
      <c r="G585" s="53"/>
    </row>
    <row r="586">
      <c r="G586" s="53"/>
    </row>
    <row r="587">
      <c r="G587" s="53"/>
    </row>
    <row r="588">
      <c r="G588" s="53"/>
    </row>
    <row r="589">
      <c r="G589" s="53"/>
    </row>
    <row r="590">
      <c r="G590" s="53"/>
    </row>
    <row r="591">
      <c r="G591" s="53"/>
    </row>
    <row r="592">
      <c r="G592" s="53"/>
    </row>
    <row r="593">
      <c r="G593" s="53"/>
    </row>
    <row r="594">
      <c r="G594" s="53"/>
    </row>
    <row r="595">
      <c r="G595" s="53"/>
    </row>
    <row r="596">
      <c r="G596" s="53"/>
    </row>
    <row r="597">
      <c r="G597" s="53"/>
    </row>
    <row r="598">
      <c r="G598" s="53"/>
    </row>
    <row r="599">
      <c r="G599" s="53"/>
    </row>
    <row r="600">
      <c r="G600" s="53"/>
    </row>
    <row r="601">
      <c r="G601" s="53"/>
    </row>
    <row r="602">
      <c r="G602" s="53"/>
    </row>
    <row r="603">
      <c r="G603" s="53"/>
    </row>
    <row r="604">
      <c r="G604" s="53"/>
    </row>
    <row r="605">
      <c r="G605" s="53"/>
    </row>
    <row r="606">
      <c r="G606" s="53"/>
    </row>
    <row r="607">
      <c r="G607" s="53"/>
    </row>
    <row r="608">
      <c r="G608" s="53"/>
    </row>
    <row r="609">
      <c r="G609" s="53"/>
    </row>
    <row r="610">
      <c r="G610" s="53"/>
    </row>
    <row r="611">
      <c r="G611" s="53"/>
    </row>
    <row r="612">
      <c r="G612" s="53"/>
    </row>
    <row r="613">
      <c r="G613" s="53"/>
    </row>
    <row r="614">
      <c r="G614" s="53"/>
    </row>
    <row r="615">
      <c r="G615" s="53"/>
    </row>
    <row r="616">
      <c r="G616" s="53"/>
    </row>
    <row r="617">
      <c r="G617" s="53"/>
    </row>
    <row r="618">
      <c r="G618" s="53"/>
    </row>
    <row r="619">
      <c r="G619" s="53"/>
    </row>
    <row r="620">
      <c r="G620" s="53"/>
    </row>
    <row r="621">
      <c r="G621" s="53"/>
    </row>
    <row r="622">
      <c r="G622" s="53"/>
    </row>
    <row r="623">
      <c r="G623" s="53"/>
    </row>
    <row r="624">
      <c r="G624" s="53"/>
    </row>
    <row r="625">
      <c r="G625" s="53"/>
    </row>
    <row r="626">
      <c r="G626" s="53"/>
    </row>
    <row r="627">
      <c r="G627" s="53"/>
    </row>
    <row r="628">
      <c r="G628" s="53"/>
    </row>
    <row r="629">
      <c r="G629" s="53"/>
    </row>
    <row r="630">
      <c r="G630" s="53"/>
    </row>
    <row r="631">
      <c r="G631" s="53"/>
    </row>
    <row r="632">
      <c r="G632" s="53"/>
    </row>
    <row r="633">
      <c r="G633" s="53"/>
    </row>
    <row r="634">
      <c r="G634" s="53"/>
    </row>
    <row r="635">
      <c r="G635" s="53"/>
    </row>
    <row r="636">
      <c r="G636" s="53"/>
    </row>
    <row r="637">
      <c r="G637" s="53"/>
    </row>
    <row r="638">
      <c r="G638" s="53"/>
    </row>
    <row r="639">
      <c r="G639" s="53"/>
    </row>
    <row r="640">
      <c r="G640" s="53"/>
    </row>
    <row r="641">
      <c r="G641" s="53"/>
    </row>
    <row r="642">
      <c r="G642" s="53"/>
    </row>
    <row r="643">
      <c r="G643" s="53"/>
    </row>
    <row r="644">
      <c r="G644" s="53"/>
    </row>
    <row r="645">
      <c r="G645" s="53"/>
    </row>
    <row r="646">
      <c r="G646" s="53"/>
    </row>
    <row r="647">
      <c r="G647" s="53"/>
    </row>
    <row r="648">
      <c r="G648" s="53"/>
    </row>
    <row r="649">
      <c r="G649" s="53"/>
    </row>
    <row r="650">
      <c r="G650" s="53"/>
    </row>
    <row r="651">
      <c r="G651" s="53"/>
    </row>
    <row r="652">
      <c r="G652" s="53"/>
    </row>
    <row r="653">
      <c r="G653" s="53"/>
    </row>
    <row r="654">
      <c r="G654" s="53"/>
    </row>
    <row r="655">
      <c r="G655" s="53"/>
    </row>
    <row r="656">
      <c r="G656" s="53"/>
    </row>
    <row r="657">
      <c r="G657" s="53"/>
    </row>
    <row r="658">
      <c r="G658" s="53"/>
    </row>
    <row r="659">
      <c r="G659" s="53"/>
    </row>
    <row r="660">
      <c r="G660" s="53"/>
    </row>
    <row r="661">
      <c r="G661" s="53"/>
    </row>
    <row r="662">
      <c r="G662" s="53"/>
    </row>
    <row r="663">
      <c r="G663" s="53"/>
    </row>
    <row r="664">
      <c r="G664" s="53"/>
    </row>
    <row r="665">
      <c r="G665" s="53"/>
    </row>
    <row r="666">
      <c r="G666" s="53"/>
    </row>
    <row r="667">
      <c r="G667" s="53"/>
    </row>
    <row r="668">
      <c r="G668" s="53"/>
    </row>
    <row r="669">
      <c r="G669" s="53"/>
    </row>
    <row r="670">
      <c r="G670" s="53"/>
    </row>
    <row r="671">
      <c r="G671" s="53"/>
    </row>
    <row r="672">
      <c r="G672" s="53"/>
    </row>
    <row r="673">
      <c r="G673" s="53"/>
    </row>
    <row r="674">
      <c r="G674" s="53"/>
    </row>
    <row r="675">
      <c r="G675" s="53"/>
    </row>
    <row r="676">
      <c r="G676" s="53"/>
    </row>
    <row r="677">
      <c r="G677" s="53"/>
    </row>
    <row r="678">
      <c r="G678" s="53"/>
    </row>
    <row r="679">
      <c r="G679" s="53"/>
    </row>
    <row r="680">
      <c r="G680" s="53"/>
    </row>
    <row r="681">
      <c r="G681" s="53"/>
    </row>
    <row r="682">
      <c r="G682" s="53"/>
    </row>
    <row r="683">
      <c r="G683" s="53"/>
    </row>
    <row r="684">
      <c r="G684" s="53"/>
    </row>
    <row r="685">
      <c r="G685" s="53"/>
    </row>
    <row r="686">
      <c r="G686" s="53"/>
    </row>
    <row r="687">
      <c r="G687" s="53"/>
    </row>
    <row r="688">
      <c r="G688" s="53"/>
    </row>
    <row r="689">
      <c r="G689" s="53"/>
    </row>
    <row r="690">
      <c r="G690" s="53"/>
    </row>
    <row r="691">
      <c r="G691" s="53"/>
    </row>
    <row r="692">
      <c r="G692" s="53"/>
    </row>
    <row r="693">
      <c r="G693" s="53"/>
    </row>
    <row r="694">
      <c r="G694" s="53"/>
    </row>
    <row r="695">
      <c r="G695" s="53"/>
    </row>
    <row r="696">
      <c r="G696" s="53"/>
    </row>
    <row r="697">
      <c r="G697" s="53"/>
    </row>
    <row r="698">
      <c r="G698" s="53"/>
    </row>
    <row r="699">
      <c r="G699" s="53"/>
    </row>
    <row r="700">
      <c r="G700" s="53"/>
    </row>
    <row r="701">
      <c r="G701" s="53"/>
    </row>
    <row r="702">
      <c r="G702" s="53"/>
    </row>
    <row r="703">
      <c r="G703" s="53"/>
    </row>
    <row r="704">
      <c r="G704" s="53"/>
    </row>
    <row r="705">
      <c r="G705" s="53"/>
    </row>
    <row r="706">
      <c r="G706" s="53"/>
    </row>
    <row r="707">
      <c r="G707" s="53"/>
    </row>
    <row r="708">
      <c r="G708" s="53"/>
    </row>
    <row r="709">
      <c r="G709" s="53"/>
    </row>
    <row r="710">
      <c r="G710" s="53"/>
    </row>
    <row r="711">
      <c r="G711" s="53"/>
    </row>
    <row r="712">
      <c r="G712" s="53"/>
    </row>
    <row r="713">
      <c r="G713" s="53"/>
    </row>
    <row r="714">
      <c r="G714" s="53"/>
    </row>
    <row r="715">
      <c r="G715" s="53"/>
    </row>
    <row r="716">
      <c r="G716" s="53"/>
    </row>
    <row r="717">
      <c r="G717" s="53"/>
    </row>
    <row r="718">
      <c r="G718" s="53"/>
    </row>
    <row r="719">
      <c r="G719" s="53"/>
    </row>
    <row r="720">
      <c r="G720" s="53"/>
    </row>
    <row r="721">
      <c r="G721" s="53"/>
    </row>
    <row r="722">
      <c r="G722" s="53"/>
    </row>
    <row r="723">
      <c r="G723" s="53"/>
    </row>
    <row r="724">
      <c r="G724" s="53"/>
    </row>
    <row r="725">
      <c r="G725" s="53"/>
    </row>
    <row r="726">
      <c r="G726" s="53"/>
    </row>
    <row r="727">
      <c r="G727" s="53"/>
    </row>
    <row r="728">
      <c r="G728" s="53"/>
    </row>
    <row r="729">
      <c r="G729" s="53"/>
    </row>
    <row r="730">
      <c r="G730" s="53"/>
    </row>
    <row r="731">
      <c r="G731" s="53"/>
    </row>
    <row r="732">
      <c r="G732" s="53"/>
    </row>
    <row r="733">
      <c r="G733" s="53"/>
    </row>
    <row r="734">
      <c r="G734" s="53"/>
    </row>
    <row r="735">
      <c r="G735" s="53"/>
    </row>
    <row r="736">
      <c r="G736" s="53"/>
    </row>
    <row r="737">
      <c r="G737" s="53"/>
    </row>
    <row r="738">
      <c r="G738" s="53"/>
    </row>
    <row r="739">
      <c r="G739" s="53"/>
    </row>
    <row r="740">
      <c r="G740" s="53"/>
    </row>
    <row r="741">
      <c r="G741" s="53"/>
    </row>
    <row r="742">
      <c r="G742" s="53"/>
    </row>
    <row r="743">
      <c r="G743" s="53"/>
    </row>
    <row r="744">
      <c r="G744" s="53"/>
    </row>
    <row r="745">
      <c r="G745" s="53"/>
    </row>
    <row r="746">
      <c r="G746" s="53"/>
    </row>
    <row r="747">
      <c r="G747" s="53"/>
    </row>
    <row r="748">
      <c r="G748" s="53"/>
    </row>
    <row r="749">
      <c r="G749" s="53"/>
    </row>
    <row r="750">
      <c r="G750" s="53"/>
    </row>
    <row r="751">
      <c r="G751" s="53"/>
    </row>
    <row r="752">
      <c r="G752" s="53"/>
    </row>
    <row r="753">
      <c r="G753" s="53"/>
    </row>
    <row r="754">
      <c r="G754" s="53"/>
    </row>
    <row r="755">
      <c r="G755" s="53"/>
    </row>
    <row r="756">
      <c r="G756" s="53"/>
    </row>
    <row r="757">
      <c r="G757" s="53"/>
    </row>
    <row r="758">
      <c r="G758" s="53"/>
    </row>
    <row r="759">
      <c r="G759" s="53"/>
    </row>
    <row r="760">
      <c r="G760" s="53"/>
    </row>
    <row r="761">
      <c r="G761" s="53"/>
    </row>
    <row r="762">
      <c r="G762" s="53"/>
    </row>
    <row r="763">
      <c r="G763" s="53"/>
    </row>
    <row r="764">
      <c r="G764" s="53"/>
    </row>
    <row r="765">
      <c r="G765" s="53"/>
    </row>
    <row r="766">
      <c r="G766" s="53"/>
    </row>
    <row r="767">
      <c r="G767" s="53"/>
    </row>
    <row r="768">
      <c r="G768" s="53"/>
    </row>
    <row r="769">
      <c r="G769" s="53"/>
    </row>
    <row r="770">
      <c r="G770" s="53"/>
    </row>
    <row r="771">
      <c r="G771" s="53"/>
    </row>
    <row r="772">
      <c r="G772" s="53"/>
    </row>
    <row r="773">
      <c r="G773" s="53"/>
    </row>
    <row r="774">
      <c r="G774" s="53"/>
    </row>
    <row r="775">
      <c r="G775" s="53"/>
    </row>
    <row r="776">
      <c r="G776" s="53"/>
    </row>
    <row r="777">
      <c r="G777" s="53"/>
    </row>
    <row r="778">
      <c r="G778" s="53"/>
    </row>
    <row r="779">
      <c r="G779" s="53"/>
    </row>
    <row r="780">
      <c r="G780" s="53"/>
    </row>
    <row r="781">
      <c r="G781" s="53"/>
    </row>
    <row r="782">
      <c r="G782" s="53"/>
    </row>
    <row r="783">
      <c r="G783" s="53"/>
    </row>
    <row r="784">
      <c r="G784" s="53"/>
    </row>
    <row r="785">
      <c r="G785" s="53"/>
    </row>
    <row r="786">
      <c r="G786" s="53"/>
    </row>
    <row r="787">
      <c r="G787" s="53"/>
    </row>
    <row r="788">
      <c r="G788" s="53"/>
    </row>
    <row r="789">
      <c r="G789" s="53"/>
    </row>
    <row r="790">
      <c r="G790" s="53"/>
    </row>
    <row r="791">
      <c r="G791" s="53"/>
    </row>
    <row r="792">
      <c r="G792" s="53"/>
    </row>
    <row r="793">
      <c r="G793" s="53"/>
    </row>
    <row r="794">
      <c r="G794" s="53"/>
    </row>
    <row r="795">
      <c r="G795" s="53"/>
    </row>
    <row r="796">
      <c r="G796" s="53"/>
    </row>
    <row r="797">
      <c r="G797" s="53"/>
    </row>
    <row r="798">
      <c r="G798" s="53"/>
    </row>
    <row r="799">
      <c r="G799" s="53"/>
    </row>
    <row r="800">
      <c r="G800" s="53"/>
    </row>
    <row r="801">
      <c r="G801" s="53"/>
    </row>
    <row r="802">
      <c r="G802" s="53"/>
    </row>
    <row r="803">
      <c r="G803" s="53"/>
    </row>
    <row r="804">
      <c r="G804" s="53"/>
    </row>
    <row r="805">
      <c r="G805" s="53"/>
    </row>
    <row r="806">
      <c r="G806" s="53"/>
    </row>
    <row r="807">
      <c r="G807" s="53"/>
    </row>
    <row r="808">
      <c r="G808" s="53"/>
    </row>
    <row r="809">
      <c r="G809" s="53"/>
    </row>
    <row r="810">
      <c r="G810" s="53"/>
    </row>
    <row r="811">
      <c r="G811" s="53"/>
    </row>
    <row r="812">
      <c r="G812" s="53"/>
    </row>
    <row r="813">
      <c r="G813" s="53"/>
    </row>
    <row r="814">
      <c r="G814" s="53"/>
    </row>
    <row r="815">
      <c r="G815" s="53"/>
    </row>
    <row r="816">
      <c r="G816" s="53"/>
    </row>
    <row r="817">
      <c r="G817" s="53"/>
    </row>
    <row r="818">
      <c r="G818" s="53"/>
    </row>
    <row r="819">
      <c r="G819" s="53"/>
    </row>
    <row r="820">
      <c r="G820" s="53"/>
    </row>
    <row r="821">
      <c r="G821" s="53"/>
    </row>
    <row r="822">
      <c r="G822" s="53"/>
    </row>
    <row r="823">
      <c r="G823" s="53"/>
    </row>
    <row r="824">
      <c r="G824" s="53"/>
    </row>
    <row r="825">
      <c r="G825" s="53"/>
    </row>
    <row r="826">
      <c r="G826" s="53"/>
    </row>
    <row r="827">
      <c r="G827" s="53"/>
    </row>
    <row r="828">
      <c r="G828" s="53"/>
    </row>
    <row r="829">
      <c r="G829" s="53"/>
    </row>
    <row r="830">
      <c r="G830" s="53"/>
    </row>
    <row r="831">
      <c r="G831" s="53"/>
    </row>
    <row r="832">
      <c r="G832" s="53"/>
    </row>
    <row r="833">
      <c r="G833" s="53"/>
    </row>
    <row r="834">
      <c r="G834" s="53"/>
    </row>
    <row r="835">
      <c r="G835" s="53"/>
    </row>
    <row r="836">
      <c r="G836" s="53"/>
    </row>
    <row r="837">
      <c r="G837" s="53"/>
    </row>
    <row r="838">
      <c r="G838" s="53"/>
    </row>
    <row r="839">
      <c r="G839" s="53"/>
    </row>
    <row r="840">
      <c r="G840" s="53"/>
    </row>
    <row r="841">
      <c r="G841" s="53"/>
    </row>
    <row r="842">
      <c r="G842" s="53"/>
    </row>
    <row r="843">
      <c r="G843" s="53"/>
    </row>
    <row r="844">
      <c r="G844" s="53"/>
    </row>
    <row r="845">
      <c r="G845" s="53"/>
    </row>
    <row r="846">
      <c r="G846" s="53"/>
    </row>
    <row r="847">
      <c r="G847" s="53"/>
    </row>
    <row r="848">
      <c r="G848" s="53"/>
    </row>
    <row r="849">
      <c r="G849" s="53"/>
    </row>
    <row r="850">
      <c r="G850" s="53"/>
    </row>
    <row r="851">
      <c r="G851" s="53"/>
    </row>
    <row r="852">
      <c r="G852" s="53"/>
    </row>
    <row r="853">
      <c r="G853" s="53"/>
    </row>
    <row r="854">
      <c r="G854" s="53"/>
    </row>
    <row r="855">
      <c r="G855" s="53"/>
    </row>
    <row r="856">
      <c r="G856" s="53"/>
    </row>
    <row r="857">
      <c r="G857" s="53"/>
    </row>
    <row r="858">
      <c r="G858" s="53"/>
    </row>
    <row r="859">
      <c r="G859" s="53"/>
    </row>
    <row r="860">
      <c r="G860" s="53"/>
    </row>
    <row r="861">
      <c r="G861" s="53"/>
    </row>
    <row r="862">
      <c r="G862" s="53"/>
    </row>
    <row r="863">
      <c r="G863" s="53"/>
    </row>
    <row r="864">
      <c r="G864" s="53"/>
    </row>
    <row r="865">
      <c r="G865" s="53"/>
    </row>
    <row r="866">
      <c r="G866" s="53"/>
    </row>
    <row r="867">
      <c r="G867" s="53"/>
    </row>
    <row r="868">
      <c r="G868" s="53"/>
    </row>
    <row r="869">
      <c r="G869" s="53"/>
    </row>
    <row r="870">
      <c r="G870" s="53"/>
    </row>
    <row r="871">
      <c r="G871" s="53"/>
    </row>
    <row r="872">
      <c r="G872" s="53"/>
    </row>
    <row r="873">
      <c r="G873" s="53"/>
    </row>
    <row r="874">
      <c r="G874" s="53"/>
    </row>
    <row r="875">
      <c r="G875" s="53"/>
    </row>
    <row r="876">
      <c r="G876" s="53"/>
    </row>
    <row r="877">
      <c r="G877" s="53"/>
    </row>
    <row r="878">
      <c r="G878" s="53"/>
    </row>
    <row r="879">
      <c r="G879" s="53"/>
    </row>
    <row r="880">
      <c r="G880" s="53"/>
    </row>
    <row r="881">
      <c r="G881" s="53"/>
    </row>
    <row r="882">
      <c r="G882" s="53"/>
    </row>
    <row r="883">
      <c r="G883" s="53"/>
    </row>
    <row r="884">
      <c r="G884" s="53"/>
    </row>
    <row r="885">
      <c r="G885" s="53"/>
    </row>
    <row r="886">
      <c r="G886" s="53"/>
    </row>
    <row r="887">
      <c r="G887" s="53"/>
    </row>
    <row r="888">
      <c r="G888" s="53"/>
    </row>
    <row r="889">
      <c r="G889" s="53"/>
    </row>
    <row r="890">
      <c r="G890" s="53"/>
    </row>
    <row r="891">
      <c r="G891" s="53"/>
    </row>
    <row r="892">
      <c r="G892" s="53"/>
    </row>
    <row r="893">
      <c r="G893" s="53"/>
    </row>
    <row r="894">
      <c r="G894" s="53"/>
    </row>
    <row r="895">
      <c r="G895" s="53"/>
    </row>
    <row r="896">
      <c r="G896" s="53"/>
    </row>
    <row r="897">
      <c r="G897" s="53"/>
    </row>
    <row r="898">
      <c r="G898" s="53"/>
    </row>
    <row r="899">
      <c r="G899" s="53"/>
    </row>
    <row r="900">
      <c r="G900" s="53"/>
    </row>
    <row r="901">
      <c r="G901" s="53"/>
    </row>
    <row r="902">
      <c r="G902" s="53"/>
    </row>
    <row r="903">
      <c r="G903" s="53"/>
    </row>
    <row r="904">
      <c r="G904" s="53"/>
    </row>
    <row r="905">
      <c r="G905" s="53"/>
    </row>
    <row r="906">
      <c r="G906" s="53"/>
    </row>
    <row r="907">
      <c r="G907" s="53"/>
    </row>
    <row r="908">
      <c r="G908" s="53"/>
    </row>
    <row r="909">
      <c r="G909" s="53"/>
    </row>
    <row r="910">
      <c r="G910" s="53"/>
    </row>
    <row r="911">
      <c r="G911" s="53"/>
    </row>
    <row r="912">
      <c r="G912" s="53"/>
    </row>
    <row r="913">
      <c r="G913" s="53"/>
    </row>
    <row r="914">
      <c r="G914" s="53"/>
    </row>
    <row r="915">
      <c r="G915" s="53"/>
    </row>
    <row r="916">
      <c r="G916" s="53"/>
    </row>
    <row r="917">
      <c r="G917" s="53"/>
    </row>
    <row r="918">
      <c r="G918" s="53"/>
    </row>
    <row r="919">
      <c r="G919" s="53"/>
    </row>
    <row r="920">
      <c r="G920" s="53"/>
    </row>
    <row r="921">
      <c r="G921" s="53"/>
    </row>
    <row r="922">
      <c r="G922" s="53"/>
    </row>
    <row r="923">
      <c r="G923" s="53"/>
    </row>
    <row r="924">
      <c r="G924" s="53"/>
    </row>
    <row r="925">
      <c r="G925" s="53"/>
    </row>
    <row r="926">
      <c r="G926" s="53"/>
    </row>
    <row r="927">
      <c r="G927" s="53"/>
    </row>
    <row r="928">
      <c r="G928" s="53"/>
    </row>
    <row r="929">
      <c r="G929" s="53"/>
    </row>
    <row r="930">
      <c r="G930" s="53"/>
    </row>
    <row r="931">
      <c r="G931" s="53"/>
    </row>
    <row r="932">
      <c r="G932" s="53"/>
    </row>
    <row r="933">
      <c r="G933" s="53"/>
    </row>
    <row r="934">
      <c r="G934" s="53"/>
    </row>
    <row r="935">
      <c r="G935" s="53"/>
    </row>
    <row r="936">
      <c r="G936" s="53"/>
    </row>
    <row r="937">
      <c r="G937" s="53"/>
    </row>
    <row r="938">
      <c r="G938" s="53"/>
    </row>
    <row r="939">
      <c r="G939" s="53"/>
    </row>
    <row r="940">
      <c r="G940" s="53"/>
    </row>
    <row r="941">
      <c r="G941" s="53"/>
    </row>
    <row r="942">
      <c r="G942" s="53"/>
    </row>
    <row r="943">
      <c r="G943" s="53"/>
    </row>
    <row r="944">
      <c r="G944" s="53"/>
    </row>
    <row r="945">
      <c r="G945" s="53"/>
    </row>
    <row r="946">
      <c r="G946" s="53"/>
    </row>
    <row r="947">
      <c r="G947" s="53"/>
    </row>
    <row r="948">
      <c r="G948" s="53"/>
    </row>
    <row r="949">
      <c r="G949" s="53"/>
    </row>
    <row r="950">
      <c r="G950" s="53"/>
    </row>
    <row r="951">
      <c r="G951" s="53"/>
    </row>
    <row r="952">
      <c r="G952" s="53"/>
    </row>
    <row r="953">
      <c r="G953" s="53"/>
    </row>
    <row r="954">
      <c r="G954" s="53"/>
    </row>
    <row r="955">
      <c r="G955" s="53"/>
    </row>
    <row r="956">
      <c r="G956" s="53"/>
    </row>
    <row r="957">
      <c r="G957" s="53"/>
    </row>
    <row r="958">
      <c r="G958" s="53"/>
    </row>
    <row r="959">
      <c r="G959" s="53"/>
    </row>
    <row r="960">
      <c r="G960" s="53"/>
    </row>
    <row r="961">
      <c r="G961" s="53"/>
    </row>
    <row r="962">
      <c r="G962" s="53"/>
    </row>
    <row r="963">
      <c r="G963" s="53"/>
    </row>
    <row r="964">
      <c r="G964" s="53"/>
    </row>
    <row r="965">
      <c r="G965" s="53"/>
    </row>
    <row r="966">
      <c r="G966" s="53"/>
    </row>
    <row r="967">
      <c r="G967" s="53"/>
    </row>
    <row r="968">
      <c r="G968" s="53"/>
    </row>
    <row r="969">
      <c r="G969" s="53"/>
    </row>
    <row r="970">
      <c r="G970" s="53"/>
    </row>
    <row r="971">
      <c r="G971" s="53"/>
    </row>
    <row r="972">
      <c r="G972" s="53"/>
    </row>
    <row r="973">
      <c r="G973" s="53"/>
    </row>
    <row r="974">
      <c r="G974" s="53"/>
    </row>
    <row r="975">
      <c r="G975" s="53"/>
    </row>
    <row r="976">
      <c r="G976" s="53"/>
    </row>
    <row r="977">
      <c r="G977" s="53"/>
    </row>
    <row r="978">
      <c r="G978" s="53"/>
    </row>
    <row r="979">
      <c r="G979" s="53"/>
    </row>
    <row r="980">
      <c r="G980" s="53"/>
    </row>
    <row r="981">
      <c r="G981" s="53"/>
    </row>
    <row r="982">
      <c r="G982" s="53"/>
    </row>
    <row r="983">
      <c r="G983" s="53"/>
    </row>
    <row r="984">
      <c r="G984" s="53"/>
    </row>
    <row r="985">
      <c r="G985" s="53"/>
    </row>
    <row r="986">
      <c r="G986" s="53"/>
    </row>
    <row r="987">
      <c r="G987" s="53"/>
    </row>
    <row r="988">
      <c r="G988" s="53"/>
    </row>
    <row r="989">
      <c r="G989" s="53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</cols>
  <sheetData>
    <row r="1">
      <c r="A1" s="6" t="s">
        <v>8</v>
      </c>
      <c r="B1" s="6" t="s">
        <v>1254</v>
      </c>
    </row>
    <row r="2">
      <c r="A2" s="6">
        <v>2005.0</v>
      </c>
      <c r="B2" s="52">
        <v>1.03909796E8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>
      <c r="A3" s="6">
        <v>2006.0</v>
      </c>
      <c r="B3" s="52">
        <v>1.08958151E8</v>
      </c>
    </row>
    <row r="4">
      <c r="A4" s="6">
        <v>2007.0</v>
      </c>
      <c r="B4" s="52">
        <v>1.14768161E8</v>
      </c>
    </row>
    <row r="5">
      <c r="A5" s="6">
        <v>2008.0</v>
      </c>
      <c r="B5" s="52">
        <v>1.14843687E8</v>
      </c>
    </row>
    <row r="6">
      <c r="A6" s="6">
        <v>2009.0</v>
      </c>
      <c r="B6" s="52">
        <v>1.19414609E8</v>
      </c>
    </row>
    <row r="7">
      <c r="A7" s="6">
        <v>2010.0</v>
      </c>
      <c r="B7" s="52">
        <v>1.19952472E8</v>
      </c>
    </row>
    <row r="8">
      <c r="A8" s="6">
        <v>2011.0</v>
      </c>
      <c r="B8" s="52">
        <v>1.24126862E8</v>
      </c>
    </row>
    <row r="9">
      <c r="A9" s="6">
        <v>2012.0</v>
      </c>
      <c r="B9" s="52">
        <v>1.28887971E8</v>
      </c>
    </row>
    <row r="10">
      <c r="A10" s="6">
        <v>2013.0</v>
      </c>
      <c r="B10" s="52">
        <v>1.29515875E8</v>
      </c>
    </row>
    <row r="11">
      <c r="A11" s="6">
        <v>2014.0</v>
      </c>
      <c r="B11" s="52">
        <v>1.28659487E8</v>
      </c>
    </row>
    <row r="12">
      <c r="A12" s="6">
        <v>2015.0</v>
      </c>
      <c r="B12" s="52">
        <v>1.27569711E8</v>
      </c>
    </row>
    <row r="13">
      <c r="A13" s="6">
        <v>2016.0</v>
      </c>
      <c r="B13" s="52">
        <v>1.26709702E8</v>
      </c>
    </row>
    <row r="14">
      <c r="A14" s="6">
        <v>2017.0</v>
      </c>
      <c r="B14" s="52">
        <v>1.26545295E8</v>
      </c>
    </row>
    <row r="15">
      <c r="A15" s="6">
        <v>2018.0</v>
      </c>
      <c r="B15" s="52">
        <v>1.29992196E8</v>
      </c>
    </row>
    <row r="16">
      <c r="A16" s="6">
        <v>2019.0</v>
      </c>
      <c r="B16" s="52">
        <v>1.33410592E8</v>
      </c>
    </row>
    <row r="17">
      <c r="A17" s="6">
        <v>2020.0</v>
      </c>
      <c r="B17" s="52">
        <v>9.078368E7</v>
      </c>
    </row>
    <row r="18">
      <c r="A18" s="6">
        <v>2021.0</v>
      </c>
      <c r="B18" s="52">
        <v>1.10547623E8</v>
      </c>
    </row>
    <row r="19">
      <c r="A19" s="6">
        <v>2022.0</v>
      </c>
      <c r="B19" s="52">
        <v>1.32317774E8</v>
      </c>
    </row>
    <row r="20">
      <c r="A20" s="6">
        <v>2023.0</v>
      </c>
      <c r="B20" s="52">
        <v>1.38959973E8</v>
      </c>
    </row>
    <row r="21">
      <c r="A21" s="6">
        <v>2024.0</v>
      </c>
      <c r="B21" s="52">
        <v>1.44073739E8</v>
      </c>
    </row>
    <row r="22">
      <c r="A22" s="6">
        <v>2025.0</v>
      </c>
      <c r="B22" s="52">
        <v>1.58037603E8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25"/>
    <col customWidth="1" min="3" max="3" width="19.0"/>
  </cols>
  <sheetData>
    <row r="1">
      <c r="A1" s="1" t="s">
        <v>1407</v>
      </c>
    </row>
    <row r="2">
      <c r="A2" s="6" t="s">
        <v>1408</v>
      </c>
      <c r="B2" s="6" t="s">
        <v>1410</v>
      </c>
      <c r="C2" s="6" t="s">
        <v>1411</v>
      </c>
    </row>
    <row r="3">
      <c r="A3" s="6">
        <v>2009.0</v>
      </c>
      <c r="B3" s="56">
        <v>0.04</v>
      </c>
      <c r="C3" s="56">
        <v>0.044994974589475156</v>
      </c>
      <c r="D3" s="8"/>
      <c r="E3" s="38"/>
    </row>
    <row r="4">
      <c r="A4" s="6">
        <v>2010.0</v>
      </c>
      <c r="B4" s="56">
        <v>0.039</v>
      </c>
      <c r="C4" s="56">
        <v>0.04024537850325373</v>
      </c>
      <c r="D4" s="8"/>
      <c r="E4" s="38"/>
    </row>
    <row r="5">
      <c r="A5" s="6">
        <v>2011.0</v>
      </c>
      <c r="B5" s="56">
        <v>0.03</v>
      </c>
      <c r="C5" s="56">
        <v>0.03195647165699564</v>
      </c>
      <c r="D5" s="8"/>
      <c r="E5" s="38"/>
    </row>
    <row r="6">
      <c r="A6" s="6">
        <v>2012.0</v>
      </c>
      <c r="B6" s="56">
        <v>0.04</v>
      </c>
      <c r="C6" s="56">
        <v>0.045960947728566424</v>
      </c>
      <c r="D6" s="8"/>
      <c r="E6" s="38"/>
    </row>
    <row r="7">
      <c r="A7" s="6">
        <v>2013.0</v>
      </c>
      <c r="B7" s="56">
        <v>0.038</v>
      </c>
      <c r="C7" s="56">
        <v>0.03359114849963732</v>
      </c>
      <c r="D7" s="8"/>
      <c r="E7" s="38"/>
    </row>
    <row r="8">
      <c r="A8" s="6">
        <v>2014.0</v>
      </c>
      <c r="B8" s="56">
        <v>0.034</v>
      </c>
      <c r="C8" s="56">
        <v>0.042977568764287606</v>
      </c>
      <c r="D8" s="8"/>
      <c r="E8" s="38"/>
    </row>
    <row r="9">
      <c r="A9" s="6">
        <v>2015.0</v>
      </c>
      <c r="B9" s="56">
        <v>0.033</v>
      </c>
      <c r="C9" s="56">
        <v>0.024797283421667465</v>
      </c>
      <c r="D9" s="8"/>
      <c r="E9" s="38"/>
    </row>
    <row r="10">
      <c r="A10" s="6">
        <v>2016.0</v>
      </c>
      <c r="B10" s="56">
        <v>0.0305</v>
      </c>
      <c r="C10" s="56">
        <v>0.03063623188124009</v>
      </c>
      <c r="D10" s="8"/>
      <c r="E10" s="38"/>
    </row>
    <row r="11">
      <c r="A11" s="6">
        <v>2017.0</v>
      </c>
      <c r="B11" s="56">
        <v>0.0305</v>
      </c>
      <c r="C11" s="56">
        <v>0.06371532214702359</v>
      </c>
      <c r="D11" s="8"/>
      <c r="E11" s="38"/>
    </row>
    <row r="12">
      <c r="A12" s="6">
        <v>2018.0</v>
      </c>
      <c r="B12" s="56">
        <v>0.0335</v>
      </c>
      <c r="C12" s="56">
        <v>0.04903635757012731</v>
      </c>
      <c r="D12" s="8"/>
      <c r="E12" s="38"/>
    </row>
    <row r="13">
      <c r="A13" s="6">
        <v>2019.0</v>
      </c>
      <c r="B13" s="56">
        <v>0.035</v>
      </c>
      <c r="C13" s="56">
        <v>0.030195189274447972</v>
      </c>
      <c r="D13" s="8"/>
      <c r="E13" s="38"/>
    </row>
    <row r="14">
      <c r="A14" s="6">
        <v>2020.0</v>
      </c>
      <c r="B14" s="56">
        <v>0.036000000000000004</v>
      </c>
      <c r="C14" s="56">
        <v>0.04086964010602567</v>
      </c>
      <c r="D14" s="8"/>
      <c r="E14" s="38"/>
    </row>
    <row r="15">
      <c r="A15" s="6">
        <v>2021.0</v>
      </c>
      <c r="B15" s="56">
        <v>0.037000000000000005</v>
      </c>
      <c r="C15" s="56">
        <v>0.062395425377388035</v>
      </c>
      <c r="D15" s="8"/>
      <c r="E15" s="38"/>
    </row>
    <row r="16">
      <c r="A16" s="6">
        <v>2022.0</v>
      </c>
      <c r="B16" s="56">
        <v>0.035</v>
      </c>
      <c r="C16" s="56">
        <v>0.084068154481183</v>
      </c>
      <c r="D16" s="8"/>
      <c r="E16" s="38"/>
    </row>
    <row r="17">
      <c r="A17" s="6">
        <v>2023.0</v>
      </c>
      <c r="B17" s="56">
        <v>0.04</v>
      </c>
      <c r="C17" s="56">
        <v>0.04257000542801505</v>
      </c>
      <c r="D17" s="8"/>
      <c r="E17" s="38"/>
    </row>
    <row r="18">
      <c r="A18" s="6">
        <v>2024.0</v>
      </c>
      <c r="B18" s="56">
        <v>0.03</v>
      </c>
      <c r="C18" s="56">
        <v>0.04761540169513581</v>
      </c>
      <c r="D18" s="8"/>
      <c r="E18" s="38"/>
    </row>
    <row r="19">
      <c r="A19" s="6">
        <v>2025.0</v>
      </c>
      <c r="B19" s="56">
        <v>0.031</v>
      </c>
      <c r="C19" s="56">
        <v>0.03566521472213286</v>
      </c>
      <c r="D19" s="8"/>
      <c r="E19" s="38"/>
    </row>
    <row r="20">
      <c r="A20" s="6">
        <v>2026.0</v>
      </c>
      <c r="B20" s="56">
        <v>0.028999999999999998</v>
      </c>
      <c r="D20" s="8"/>
      <c r="E20" s="3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38"/>
  </cols>
  <sheetData>
    <row r="1">
      <c r="A1" s="1" t="s">
        <v>1465</v>
      </c>
      <c r="B1" s="1" t="s">
        <v>1466</v>
      </c>
    </row>
    <row r="2">
      <c r="A2" s="1">
        <v>1999.0</v>
      </c>
      <c r="B2" s="57">
        <v>-1672223.0</v>
      </c>
    </row>
    <row r="3">
      <c r="A3" s="1">
        <v>2000.0</v>
      </c>
      <c r="B3" s="57">
        <v>-799524.0</v>
      </c>
    </row>
    <row r="4">
      <c r="A4" s="1">
        <v>2001.0</v>
      </c>
      <c r="B4" s="57">
        <v>-3788480.0</v>
      </c>
    </row>
    <row r="5">
      <c r="A5" s="1">
        <v>2002.0</v>
      </c>
      <c r="B5" s="57">
        <v>-8293302.0</v>
      </c>
    </row>
    <row r="6">
      <c r="A6" s="1">
        <v>2003.0</v>
      </c>
      <c r="B6" s="57">
        <v>-1.4039862E7</v>
      </c>
    </row>
    <row r="7">
      <c r="A7" s="1">
        <v>2004.0</v>
      </c>
      <c r="B7" s="57">
        <v>-1.4270399E7</v>
      </c>
    </row>
    <row r="8">
      <c r="A8" s="1">
        <v>2005.0</v>
      </c>
      <c r="B8" s="57">
        <v>-1.5081355E7</v>
      </c>
    </row>
    <row r="9">
      <c r="A9" s="1">
        <v>2006.0</v>
      </c>
      <c r="B9" s="57">
        <v>-2.5325598E7</v>
      </c>
    </row>
    <row r="10">
      <c r="A10" s="1">
        <v>2007.0</v>
      </c>
      <c r="B10" s="57">
        <v>-3.3438425E7</v>
      </c>
    </row>
    <row r="11">
      <c r="A11" s="1">
        <v>2008.0</v>
      </c>
      <c r="B11" s="57">
        <v>-3.0015397E7</v>
      </c>
    </row>
    <row r="12">
      <c r="A12" s="1">
        <v>2009.0</v>
      </c>
      <c r="B12" s="57">
        <v>-2.9606011E7</v>
      </c>
    </row>
    <row r="13">
      <c r="A13" s="1">
        <v>2010.0</v>
      </c>
      <c r="B13" s="57">
        <v>-3.0382979E7</v>
      </c>
    </row>
    <row r="14">
      <c r="A14" s="1">
        <v>2011.0</v>
      </c>
      <c r="B14" s="57">
        <v>-9.4236156E7</v>
      </c>
    </row>
    <row r="15">
      <c r="A15" s="1">
        <v>2012.0</v>
      </c>
      <c r="B15" s="57">
        <v>-4.0779162E7</v>
      </c>
    </row>
    <row r="16">
      <c r="A16" s="1">
        <v>2013.0</v>
      </c>
      <c r="B16" s="57">
        <v>-4.8045878E7</v>
      </c>
    </row>
    <row r="17">
      <c r="A17" s="1">
        <v>2014.0</v>
      </c>
      <c r="B17" s="57">
        <v>-4.4332119E7</v>
      </c>
    </row>
    <row r="18">
      <c r="A18" s="1">
        <v>2015.0</v>
      </c>
      <c r="B18" s="57">
        <v>-3.8386243E7</v>
      </c>
    </row>
    <row r="19">
      <c r="A19" s="1">
        <v>2016.0</v>
      </c>
      <c r="B19" s="57">
        <v>-4.806032E7</v>
      </c>
    </row>
    <row r="20">
      <c r="A20" s="1">
        <v>2017.0</v>
      </c>
      <c r="B20" s="57">
        <v>-4.6675139E7</v>
      </c>
    </row>
    <row r="21">
      <c r="A21" s="1">
        <v>2018.0</v>
      </c>
      <c r="B21" s="57">
        <v>-4.3932457E7</v>
      </c>
    </row>
    <row r="22">
      <c r="A22" s="1">
        <v>2019.0</v>
      </c>
      <c r="B22" s="57">
        <v>-5.9337982E7</v>
      </c>
    </row>
    <row r="23">
      <c r="A23" s="1">
        <v>2020.0</v>
      </c>
      <c r="B23" s="57">
        <v>-8.2281144E7</v>
      </c>
    </row>
    <row r="24">
      <c r="A24" s="1">
        <v>2021.0</v>
      </c>
      <c r="B24" s="57">
        <v>-9.0197735E7</v>
      </c>
    </row>
    <row r="25">
      <c r="A25" s="1">
        <v>2022.0</v>
      </c>
      <c r="B25" s="57">
        <v>-7.5361515E7</v>
      </c>
    </row>
    <row r="26">
      <c r="A26" s="1">
        <v>2023.0</v>
      </c>
      <c r="B26" s="57">
        <v>-9.1230058E7</v>
      </c>
    </row>
    <row r="27">
      <c r="A27" s="1">
        <v>2024.0</v>
      </c>
      <c r="B27" s="2">
        <v>-1.10378871E8</v>
      </c>
    </row>
    <row r="28">
      <c r="A28" s="1">
        <v>2025.0</v>
      </c>
      <c r="B28" s="2">
        <v>-1.51126771E8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</cols>
  <sheetData>
    <row r="1">
      <c r="A1" s="58" t="s">
        <v>8</v>
      </c>
      <c r="B1" s="58">
        <v>1995.0</v>
      </c>
      <c r="C1" s="58">
        <v>1996.0</v>
      </c>
      <c r="D1" s="58">
        <v>1997.0</v>
      </c>
      <c r="E1" s="58">
        <v>1998.0</v>
      </c>
      <c r="F1" s="58">
        <v>1999.0</v>
      </c>
      <c r="G1" s="1">
        <v>2001.0</v>
      </c>
      <c r="H1" s="1">
        <v>2002.0</v>
      </c>
      <c r="I1" s="1">
        <v>2003.0</v>
      </c>
      <c r="J1" s="1">
        <v>2004.0</v>
      </c>
      <c r="K1" s="1">
        <v>2005.0</v>
      </c>
      <c r="L1" s="1">
        <v>2006.0</v>
      </c>
      <c r="M1" s="1">
        <v>2007.0</v>
      </c>
      <c r="N1" s="1">
        <v>2008.0</v>
      </c>
      <c r="O1" s="1">
        <v>2009.0</v>
      </c>
      <c r="P1" s="1">
        <v>2010.0</v>
      </c>
      <c r="Q1" s="1">
        <v>2011.0</v>
      </c>
      <c r="R1" s="1">
        <v>2012.0</v>
      </c>
      <c r="S1" s="1">
        <v>2013.0</v>
      </c>
      <c r="T1" s="1">
        <v>2014.0</v>
      </c>
      <c r="U1" s="1">
        <v>2015.0</v>
      </c>
      <c r="V1" s="58">
        <v>2016.0</v>
      </c>
      <c r="W1" s="58">
        <v>2017.0</v>
      </c>
      <c r="X1" s="58">
        <v>2018.0</v>
      </c>
      <c r="Y1" s="58">
        <v>2019.0</v>
      </c>
      <c r="Z1" s="58">
        <v>2020.0</v>
      </c>
      <c r="AA1" s="58">
        <v>2021.0</v>
      </c>
      <c r="AB1" s="58">
        <v>2022.0</v>
      </c>
      <c r="AC1" s="58">
        <v>2023.0</v>
      </c>
      <c r="AD1" s="58">
        <v>2024.0</v>
      </c>
    </row>
    <row r="2">
      <c r="A2" s="58" t="s">
        <v>1500</v>
      </c>
      <c r="B2" s="59">
        <v>47420.0</v>
      </c>
      <c r="C2" s="59">
        <v>47935.0</v>
      </c>
      <c r="D2" s="59">
        <v>48818.0</v>
      </c>
      <c r="E2" s="59">
        <v>50185.0</v>
      </c>
      <c r="F2" s="59">
        <v>50927.0</v>
      </c>
      <c r="G2" s="2">
        <v>54025.0</v>
      </c>
      <c r="H2" s="2">
        <v>53362.0</v>
      </c>
      <c r="I2" s="2">
        <v>54756.0</v>
      </c>
      <c r="J2" s="2">
        <v>53512.0</v>
      </c>
      <c r="K2" s="2">
        <v>56508.0</v>
      </c>
      <c r="L2" s="2">
        <v>60204.0</v>
      </c>
      <c r="M2" s="2">
        <v>61571.0</v>
      </c>
      <c r="N2" s="2">
        <v>63268.0</v>
      </c>
      <c r="O2" s="2">
        <v>65288.0</v>
      </c>
      <c r="P2" s="2">
        <v>67405.0</v>
      </c>
      <c r="Q2" s="2">
        <v>69603.0</v>
      </c>
      <c r="R2" s="2">
        <v>72478.0</v>
      </c>
      <c r="S2" s="2">
        <v>73773.0</v>
      </c>
      <c r="T2" s="2">
        <v>75951.0</v>
      </c>
      <c r="U2" s="2">
        <v>83693.0</v>
      </c>
      <c r="V2" s="60">
        <v>73369.0</v>
      </c>
      <c r="W2" s="60">
        <v>74679.0</v>
      </c>
      <c r="X2" s="60">
        <v>77469.0</v>
      </c>
      <c r="Y2" s="60">
        <v>80113.0</v>
      </c>
      <c r="Z2" s="60">
        <v>84371.0</v>
      </c>
      <c r="AA2" s="60">
        <v>89502.0</v>
      </c>
      <c r="AB2" s="60">
        <v>95358.0</v>
      </c>
      <c r="AC2" s="60">
        <v>98831.0</v>
      </c>
      <c r="AD2" s="60">
        <v>104512.0</v>
      </c>
    </row>
    <row r="3">
      <c r="A3" s="58" t="s">
        <v>1503</v>
      </c>
      <c r="B3" s="60">
        <v>13266.0</v>
      </c>
      <c r="C3" s="60">
        <v>13356.0</v>
      </c>
      <c r="D3" s="60">
        <v>13503.0</v>
      </c>
      <c r="E3" s="60">
        <v>13797.0</v>
      </c>
      <c r="F3" s="60">
        <v>13978.0</v>
      </c>
      <c r="G3" s="2">
        <v>15278.0</v>
      </c>
      <c r="H3" s="2">
        <v>14996.0</v>
      </c>
      <c r="I3" s="2">
        <v>15190.0</v>
      </c>
      <c r="J3" s="2">
        <v>13844.0</v>
      </c>
      <c r="K3" s="2">
        <v>15436.0</v>
      </c>
      <c r="L3" s="2">
        <v>16070.0</v>
      </c>
      <c r="M3" s="2">
        <v>16173.0</v>
      </c>
      <c r="N3" s="2">
        <v>16046.0</v>
      </c>
      <c r="O3" s="2">
        <v>16108.0</v>
      </c>
      <c r="P3" s="2">
        <v>16305.0</v>
      </c>
      <c r="Q3" s="2">
        <v>16673.0</v>
      </c>
      <c r="R3" s="2">
        <v>16984.0</v>
      </c>
      <c r="S3" s="2">
        <v>16713.0</v>
      </c>
      <c r="T3" s="2">
        <v>17218.0</v>
      </c>
      <c r="U3" s="2">
        <v>16872.0</v>
      </c>
      <c r="V3" s="60">
        <v>17355.0</v>
      </c>
      <c r="W3" s="60">
        <v>17159.0</v>
      </c>
      <c r="X3" s="60">
        <v>17637.0</v>
      </c>
      <c r="Y3" s="60">
        <v>18277.0</v>
      </c>
      <c r="Z3" s="60">
        <v>18431.0</v>
      </c>
      <c r="AA3" s="60">
        <v>19110.0</v>
      </c>
      <c r="AB3" s="60">
        <v>19613.0</v>
      </c>
      <c r="AC3" s="60">
        <v>19967.0</v>
      </c>
      <c r="AD3" s="60">
        <v>21705.0</v>
      </c>
    </row>
    <row r="4">
      <c r="A4" s="58" t="s">
        <v>1505</v>
      </c>
      <c r="B4" s="60">
        <v>14075.0</v>
      </c>
      <c r="C4" s="60">
        <v>14322.0</v>
      </c>
      <c r="D4" s="60">
        <v>14552.0</v>
      </c>
      <c r="E4" s="60">
        <v>15253.0</v>
      </c>
      <c r="F4" s="60">
        <v>15464.0</v>
      </c>
      <c r="G4" s="2">
        <v>16811.0</v>
      </c>
      <c r="H4" s="2">
        <v>17212.0</v>
      </c>
      <c r="I4" s="2">
        <v>17898.0</v>
      </c>
      <c r="J4" s="2">
        <v>18103.0</v>
      </c>
      <c r="K4" s="2">
        <v>18280.0</v>
      </c>
      <c r="L4" s="2">
        <v>19695.0</v>
      </c>
      <c r="M4" s="2">
        <v>20036.0</v>
      </c>
      <c r="N4" s="2">
        <v>20402.0</v>
      </c>
      <c r="O4" s="2">
        <v>20951.0</v>
      </c>
      <c r="P4" s="2">
        <v>21609.0</v>
      </c>
      <c r="Q4" s="2">
        <v>22265.0</v>
      </c>
      <c r="R4" s="2">
        <v>23054.0</v>
      </c>
      <c r="S4" s="2">
        <v>23356.0</v>
      </c>
      <c r="T4" s="2">
        <v>23839.0</v>
      </c>
      <c r="U4" s="2">
        <v>24373.0</v>
      </c>
      <c r="V4" s="60">
        <v>24638.0</v>
      </c>
      <c r="W4" s="60">
        <v>24924.0</v>
      </c>
      <c r="X4" s="60">
        <v>25292.0</v>
      </c>
      <c r="Y4" s="60">
        <v>25577.0</v>
      </c>
      <c r="Z4" s="60">
        <v>26669.0</v>
      </c>
      <c r="AA4" s="60">
        <v>27053.0</v>
      </c>
      <c r="AB4" s="60">
        <v>27876.0</v>
      </c>
      <c r="AC4" s="60">
        <v>28317.0</v>
      </c>
      <c r="AD4" s="60">
        <v>28951.0</v>
      </c>
    </row>
    <row r="5">
      <c r="A5" s="58" t="s">
        <v>1507</v>
      </c>
      <c r="B5" s="59">
        <v>72793.0</v>
      </c>
      <c r="C5" s="59">
        <v>73722.0</v>
      </c>
      <c r="D5" s="59">
        <v>74697.0</v>
      </c>
      <c r="E5" s="59">
        <v>76166.0</v>
      </c>
      <c r="F5" s="59">
        <v>76519.0</v>
      </c>
      <c r="G5" s="2">
        <v>79715.0</v>
      </c>
      <c r="H5" s="2">
        <v>80346.0</v>
      </c>
      <c r="I5" s="2">
        <v>82198.0</v>
      </c>
      <c r="J5" s="2">
        <v>82694.0</v>
      </c>
      <c r="K5" s="2">
        <v>82599.0</v>
      </c>
      <c r="L5" s="2">
        <v>87660.0</v>
      </c>
      <c r="M5" s="2">
        <v>88689.0</v>
      </c>
      <c r="N5" s="2">
        <v>90113.0</v>
      </c>
      <c r="O5" s="2">
        <v>92917.0</v>
      </c>
      <c r="P5" s="2">
        <v>96594.0</v>
      </c>
      <c r="Q5" s="2">
        <v>99007.0</v>
      </c>
      <c r="R5" s="2">
        <v>103564.0</v>
      </c>
      <c r="S5" s="2">
        <v>104463.0</v>
      </c>
      <c r="T5" s="2">
        <v>107374.0</v>
      </c>
      <c r="U5" s="2">
        <v>107768.0</v>
      </c>
      <c r="V5" s="60">
        <v>108491.0</v>
      </c>
      <c r="W5" s="60">
        <v>109227.0</v>
      </c>
      <c r="X5" s="60">
        <v>110686.0</v>
      </c>
      <c r="Y5" s="60">
        <v>111612.0</v>
      </c>
      <c r="Z5" s="60">
        <v>113076.0</v>
      </c>
      <c r="AA5" s="60">
        <v>114779.0</v>
      </c>
      <c r="AB5" s="60">
        <v>116904.0</v>
      </c>
      <c r="AC5" s="60">
        <v>120355.0</v>
      </c>
      <c r="AD5" s="60">
        <v>124191.0</v>
      </c>
    </row>
    <row r="6">
      <c r="A6" s="58" t="s">
        <v>1511</v>
      </c>
      <c r="B6" s="61"/>
      <c r="C6" s="61"/>
      <c r="D6" s="61"/>
      <c r="E6" s="61"/>
      <c r="F6" s="61"/>
      <c r="G6" s="61"/>
    </row>
    <row r="7">
      <c r="A7" s="1" t="s">
        <v>1512</v>
      </c>
    </row>
    <row r="8">
      <c r="A8" s="58" t="s">
        <v>1513</v>
      </c>
      <c r="B8" s="61"/>
      <c r="C8" s="61"/>
      <c r="D8" s="61"/>
      <c r="E8" s="61"/>
      <c r="F8" s="61"/>
      <c r="G8" s="61"/>
      <c r="H8" s="61"/>
      <c r="I8" s="61"/>
      <c r="J8" s="61"/>
      <c r="K8" s="61"/>
    </row>
    <row r="11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>
      <c r="A12" s="1"/>
      <c r="B12" s="2">
        <v>54025.0</v>
      </c>
      <c r="C12" s="2">
        <v>53362.0</v>
      </c>
      <c r="D12" s="2">
        <v>54756.0</v>
      </c>
      <c r="E12" s="2">
        <v>53512.0</v>
      </c>
      <c r="F12" s="2">
        <v>56508.0</v>
      </c>
      <c r="G12" s="2">
        <v>60204.0</v>
      </c>
      <c r="H12" s="2">
        <v>61571.0</v>
      </c>
      <c r="I12" s="2">
        <v>63268.0</v>
      </c>
      <c r="J12" s="2">
        <v>65288.0</v>
      </c>
      <c r="K12" s="2">
        <v>67405.0</v>
      </c>
      <c r="L12" s="2">
        <v>69603.0</v>
      </c>
      <c r="M12" s="2">
        <v>72478.0</v>
      </c>
      <c r="N12" s="2">
        <v>73773.0</v>
      </c>
      <c r="O12" s="2">
        <v>75951.0</v>
      </c>
      <c r="P12" s="2">
        <v>83693.0</v>
      </c>
    </row>
    <row r="13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</row>
    <row r="16">
      <c r="A16" s="1"/>
      <c r="B16" s="2"/>
      <c r="C16" s="2"/>
      <c r="D16" s="2"/>
      <c r="E16" s="2"/>
      <c r="F16" s="2"/>
      <c r="G16" s="2"/>
      <c r="H16" s="2"/>
      <c r="I16" s="2"/>
      <c r="J16" s="2"/>
    </row>
    <row r="17">
      <c r="A17" s="1"/>
      <c r="B17" s="2"/>
      <c r="C17" s="2"/>
      <c r="D17" s="2"/>
      <c r="E17" s="2"/>
      <c r="F17" s="2"/>
      <c r="G17" s="2"/>
      <c r="H17" s="2"/>
      <c r="I17" s="2"/>
      <c r="J17" s="2"/>
    </row>
    <row r="18">
      <c r="A18" s="1"/>
      <c r="B18" s="2"/>
      <c r="C18" s="2"/>
      <c r="D18" s="2"/>
      <c r="E18" s="2"/>
      <c r="F18" s="2"/>
      <c r="G18" s="2"/>
      <c r="H18" s="2"/>
      <c r="I18" s="2"/>
      <c r="J18" s="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8</v>
      </c>
      <c r="B1" s="1" t="s">
        <v>1549</v>
      </c>
      <c r="C1" s="62" t="s">
        <v>1551</v>
      </c>
    </row>
    <row r="2">
      <c r="A2" s="1">
        <v>1980.0</v>
      </c>
      <c r="B2" s="1">
        <v>3.4</v>
      </c>
      <c r="D2" s="1" t="s">
        <v>1557</v>
      </c>
      <c r="E2" s="1" t="s">
        <v>1557</v>
      </c>
      <c r="F2" s="1" t="s">
        <v>1557</v>
      </c>
      <c r="G2" s="1" t="s">
        <v>1557</v>
      </c>
      <c r="H2" s="1" t="s">
        <v>1557</v>
      </c>
      <c r="I2" s="1" t="s">
        <v>1557</v>
      </c>
      <c r="J2" s="1" t="s">
        <v>1557</v>
      </c>
      <c r="K2" s="1" t="s">
        <v>1557</v>
      </c>
      <c r="L2" s="1" t="s">
        <v>1557</v>
      </c>
      <c r="M2" s="1" t="s">
        <v>1557</v>
      </c>
      <c r="N2" s="1" t="s">
        <v>1557</v>
      </c>
      <c r="O2" s="1" t="s">
        <v>1557</v>
      </c>
      <c r="P2" s="1" t="s">
        <v>1557</v>
      </c>
      <c r="Q2" s="1" t="s">
        <v>1557</v>
      </c>
      <c r="R2" s="1">
        <v>3.4</v>
      </c>
      <c r="S2" s="1" t="s">
        <v>1557</v>
      </c>
      <c r="T2" s="1" t="s">
        <v>1557</v>
      </c>
      <c r="U2" s="1" t="s">
        <v>1557</v>
      </c>
      <c r="V2" s="1" t="s">
        <v>1557</v>
      </c>
      <c r="W2" s="1" t="s">
        <v>1557</v>
      </c>
      <c r="X2" s="1" t="s">
        <v>1557</v>
      </c>
      <c r="Y2" s="1" t="s">
        <v>1557</v>
      </c>
      <c r="Z2" s="1" t="s">
        <v>1557</v>
      </c>
      <c r="AA2" s="1" t="s">
        <v>1557</v>
      </c>
      <c r="AB2" s="1" t="s">
        <v>1557</v>
      </c>
      <c r="AC2" s="1" t="s">
        <v>1557</v>
      </c>
      <c r="AD2" s="1" t="s">
        <v>1557</v>
      </c>
      <c r="AE2" s="1" t="s">
        <v>1557</v>
      </c>
      <c r="AF2" s="1" t="s">
        <v>1557</v>
      </c>
      <c r="AG2" s="1" t="s">
        <v>1557</v>
      </c>
      <c r="AH2" s="1" t="s">
        <v>1557</v>
      </c>
      <c r="AI2" s="1" t="s">
        <v>1557</v>
      </c>
      <c r="AJ2" s="1" t="s">
        <v>1557</v>
      </c>
      <c r="AK2" s="1">
        <v>2.8</v>
      </c>
      <c r="AL2" s="1" t="s">
        <v>1557</v>
      </c>
      <c r="AM2" s="1" t="s">
        <v>1557</v>
      </c>
      <c r="AN2" s="1" t="s">
        <v>1557</v>
      </c>
      <c r="AO2" s="1" t="s">
        <v>1557</v>
      </c>
      <c r="AP2" s="1" t="s">
        <v>1557</v>
      </c>
      <c r="AQ2" s="1" t="s">
        <v>1557</v>
      </c>
      <c r="AR2" s="1" t="s">
        <v>1557</v>
      </c>
      <c r="AS2" s="1" t="s">
        <v>1557</v>
      </c>
      <c r="AT2" s="1" t="s">
        <v>1557</v>
      </c>
      <c r="AU2" s="1" t="s">
        <v>1557</v>
      </c>
      <c r="AV2" s="1" t="s">
        <v>1557</v>
      </c>
      <c r="AW2" s="1" t="s">
        <v>1557</v>
      </c>
      <c r="AX2" s="1" t="s">
        <v>1557</v>
      </c>
      <c r="AY2" s="1" t="s">
        <v>1557</v>
      </c>
      <c r="AZ2" s="1" t="s">
        <v>1557</v>
      </c>
      <c r="BA2" s="1" t="s">
        <v>1557</v>
      </c>
      <c r="BB2" s="1">
        <v>2.6</v>
      </c>
      <c r="BC2" s="1" t="s">
        <v>1557</v>
      </c>
      <c r="BD2" s="1" t="s">
        <v>1557</v>
      </c>
      <c r="BE2" s="1" t="s">
        <v>1557</v>
      </c>
      <c r="BF2" s="1" t="s">
        <v>1557</v>
      </c>
      <c r="BG2" s="1" t="s">
        <v>1557</v>
      </c>
      <c r="BH2" s="1" t="s">
        <v>1557</v>
      </c>
      <c r="BI2" s="1" t="s">
        <v>1557</v>
      </c>
      <c r="BJ2" s="1" t="s">
        <v>1557</v>
      </c>
      <c r="BK2" s="1" t="s">
        <v>1557</v>
      </c>
      <c r="BL2" s="1" t="s">
        <v>1557</v>
      </c>
      <c r="BM2" s="1" t="s">
        <v>1557</v>
      </c>
      <c r="BN2" s="1" t="s">
        <v>1557</v>
      </c>
      <c r="BO2" s="1" t="s">
        <v>1557</v>
      </c>
      <c r="BP2" s="1" t="s">
        <v>1557</v>
      </c>
      <c r="BQ2" s="1" t="s">
        <v>1557</v>
      </c>
      <c r="BR2" s="1" t="s">
        <v>1557</v>
      </c>
      <c r="BS2" s="1" t="s">
        <v>1557</v>
      </c>
      <c r="BT2" s="1" t="s">
        <v>1557</v>
      </c>
      <c r="BU2" s="1" t="s">
        <v>1557</v>
      </c>
      <c r="BV2" s="1" t="s">
        <v>1557</v>
      </c>
      <c r="BW2" s="1">
        <v>2.6</v>
      </c>
      <c r="BX2" s="1" t="s">
        <v>1557</v>
      </c>
      <c r="BY2" s="1" t="s">
        <v>1557</v>
      </c>
      <c r="BZ2" s="1" t="s">
        <v>1557</v>
      </c>
      <c r="CA2" s="1" t="s">
        <v>1557</v>
      </c>
      <c r="CB2" s="1" t="s">
        <v>1557</v>
      </c>
      <c r="CC2" s="1" t="s">
        <v>1557</v>
      </c>
      <c r="CD2" s="1" t="s">
        <v>1557</v>
      </c>
      <c r="CE2" s="1" t="s">
        <v>1557</v>
      </c>
      <c r="CF2" s="1" t="s">
        <v>1557</v>
      </c>
      <c r="CG2" s="1" t="s">
        <v>1557</v>
      </c>
      <c r="CH2" s="1" t="s">
        <v>1557</v>
      </c>
      <c r="CI2" s="1" t="s">
        <v>1557</v>
      </c>
      <c r="CJ2" s="1" t="s">
        <v>1557</v>
      </c>
      <c r="CK2" s="1" t="s">
        <v>1557</v>
      </c>
      <c r="CL2" s="1">
        <v>2.8</v>
      </c>
      <c r="CM2" s="1" t="s">
        <v>1557</v>
      </c>
      <c r="CN2" s="1" t="s">
        <v>1557</v>
      </c>
      <c r="CO2" s="1" t="s">
        <v>1557</v>
      </c>
      <c r="CP2" s="1" t="s">
        <v>1557</v>
      </c>
      <c r="CQ2" s="1" t="s">
        <v>1557</v>
      </c>
      <c r="CR2" s="1" t="s">
        <v>1557</v>
      </c>
      <c r="CS2" s="1" t="s">
        <v>1557</v>
      </c>
      <c r="CT2" s="1" t="s">
        <v>1557</v>
      </c>
      <c r="CU2" s="1" t="s">
        <v>1557</v>
      </c>
      <c r="CV2" s="1" t="s">
        <v>1557</v>
      </c>
      <c r="CW2" s="1" t="s">
        <v>1557</v>
      </c>
      <c r="CX2" s="1" t="s">
        <v>1557</v>
      </c>
      <c r="CY2" s="1" t="s">
        <v>1557</v>
      </c>
      <c r="CZ2" s="1" t="s">
        <v>1557</v>
      </c>
      <c r="DA2" s="1" t="s">
        <v>1557</v>
      </c>
      <c r="DB2" s="1" t="s">
        <v>1557</v>
      </c>
      <c r="DC2" s="1" t="s">
        <v>1557</v>
      </c>
      <c r="DD2" s="1" t="s">
        <v>1557</v>
      </c>
      <c r="DE2" s="1" t="s">
        <v>1557</v>
      </c>
      <c r="DF2" s="1" t="s">
        <v>1557</v>
      </c>
      <c r="DG2" s="1">
        <v>2.5</v>
      </c>
      <c r="DH2" s="1" t="s">
        <v>1557</v>
      </c>
      <c r="DI2" s="1" t="s">
        <v>1557</v>
      </c>
      <c r="DJ2" s="1" t="s">
        <v>1557</v>
      </c>
      <c r="DK2" s="1" t="s">
        <v>1557</v>
      </c>
      <c r="DL2" s="1" t="s">
        <v>1557</v>
      </c>
      <c r="DM2" s="1" t="s">
        <v>1557</v>
      </c>
      <c r="DN2" s="1" t="s">
        <v>1557</v>
      </c>
      <c r="DO2" s="1" t="s">
        <v>1557</v>
      </c>
      <c r="DP2" s="1" t="s">
        <v>1557</v>
      </c>
      <c r="DQ2" s="1" t="s">
        <v>1557</v>
      </c>
      <c r="DR2" s="1" t="s">
        <v>1557</v>
      </c>
      <c r="DS2" s="1" t="s">
        <v>1557</v>
      </c>
      <c r="DT2" s="1" t="s">
        <v>1557</v>
      </c>
      <c r="DU2" s="1" t="s">
        <v>1557</v>
      </c>
      <c r="DV2" s="1" t="s">
        <v>1557</v>
      </c>
      <c r="DW2" s="1">
        <v>2.6</v>
      </c>
      <c r="DX2" s="1" t="s">
        <v>1557</v>
      </c>
      <c r="DY2" s="1" t="s">
        <v>1557</v>
      </c>
      <c r="DZ2" s="1" t="s">
        <v>1557</v>
      </c>
      <c r="EA2" s="1" t="s">
        <v>1557</v>
      </c>
      <c r="EB2" s="1" t="s">
        <v>1557</v>
      </c>
      <c r="EC2" s="1" t="s">
        <v>1557</v>
      </c>
      <c r="ED2" s="1" t="s">
        <v>1557</v>
      </c>
      <c r="EE2" s="1" t="s">
        <v>1557</v>
      </c>
      <c r="EF2" s="1" t="s">
        <v>1557</v>
      </c>
      <c r="EG2" s="1" t="s">
        <v>1557</v>
      </c>
      <c r="EH2" s="1" t="s">
        <v>1557</v>
      </c>
      <c r="EI2" s="1" t="s">
        <v>1557</v>
      </c>
      <c r="EJ2" s="1" t="s">
        <v>1557</v>
      </c>
      <c r="EK2" s="1" t="s">
        <v>1557</v>
      </c>
      <c r="EL2" s="1" t="s">
        <v>1557</v>
      </c>
      <c r="EM2" s="1" t="s">
        <v>1557</v>
      </c>
      <c r="EN2" s="1">
        <v>2.7</v>
      </c>
      <c r="EO2" s="1" t="s">
        <v>1557</v>
      </c>
      <c r="EP2" s="1" t="s">
        <v>1557</v>
      </c>
      <c r="EQ2" s="1" t="s">
        <v>1557</v>
      </c>
      <c r="ER2" s="1" t="s">
        <v>1557</v>
      </c>
      <c r="ES2" s="1" t="s">
        <v>1557</v>
      </c>
      <c r="ET2" s="1" t="s">
        <v>1557</v>
      </c>
      <c r="EU2" s="1" t="s">
        <v>1557</v>
      </c>
      <c r="EV2" s="1" t="s">
        <v>1557</v>
      </c>
      <c r="EW2" s="1" t="s">
        <v>1557</v>
      </c>
      <c r="EX2" s="1" t="s">
        <v>1557</v>
      </c>
      <c r="EY2" s="1" t="s">
        <v>1557</v>
      </c>
      <c r="EZ2" s="1" t="s">
        <v>1557</v>
      </c>
      <c r="FA2" s="1" t="s">
        <v>1557</v>
      </c>
      <c r="FB2" s="1" t="s">
        <v>1557</v>
      </c>
      <c r="FC2" s="1" t="s">
        <v>1557</v>
      </c>
      <c r="FD2" s="1">
        <v>2.8</v>
      </c>
      <c r="FE2" s="1" t="s">
        <v>1557</v>
      </c>
      <c r="FF2" s="1" t="s">
        <v>1557</v>
      </c>
      <c r="FG2" s="1" t="s">
        <v>1557</v>
      </c>
      <c r="FH2" s="1" t="s">
        <v>1557</v>
      </c>
      <c r="FI2" s="1" t="s">
        <v>1557</v>
      </c>
      <c r="FJ2" s="1" t="s">
        <v>1557</v>
      </c>
      <c r="FK2" s="1" t="s">
        <v>1557</v>
      </c>
      <c r="FL2" s="1" t="s">
        <v>1557</v>
      </c>
      <c r="FM2" s="1" t="s">
        <v>1557</v>
      </c>
      <c r="FN2" s="1" t="s">
        <v>1557</v>
      </c>
      <c r="FO2" s="1" t="s">
        <v>1557</v>
      </c>
      <c r="FP2" s="1" t="s">
        <v>1557</v>
      </c>
      <c r="FQ2" s="1" t="s">
        <v>1557</v>
      </c>
      <c r="FR2" s="1" t="s">
        <v>1557</v>
      </c>
      <c r="FS2" s="1" t="s">
        <v>1557</v>
      </c>
      <c r="FT2" s="1">
        <v>3.2</v>
      </c>
      <c r="FU2" s="1" t="s">
        <v>1557</v>
      </c>
      <c r="FV2" s="1" t="s">
        <v>1557</v>
      </c>
      <c r="FW2" s="1" t="s">
        <v>1557</v>
      </c>
      <c r="FX2" s="1" t="s">
        <v>1557</v>
      </c>
      <c r="FY2" s="1" t="s">
        <v>1557</v>
      </c>
      <c r="FZ2" s="1" t="s">
        <v>1557</v>
      </c>
      <c r="GA2" s="1" t="s">
        <v>1557</v>
      </c>
      <c r="GB2" s="1" t="s">
        <v>1557</v>
      </c>
      <c r="GC2" s="1" t="s">
        <v>1557</v>
      </c>
      <c r="GD2" s="1" t="s">
        <v>1557</v>
      </c>
      <c r="GE2" s="1" t="s">
        <v>1557</v>
      </c>
      <c r="GF2" s="1" t="s">
        <v>1557</v>
      </c>
      <c r="GG2" s="1" t="s">
        <v>1557</v>
      </c>
      <c r="GH2" s="1" t="s">
        <v>1557</v>
      </c>
      <c r="GI2" s="1">
        <v>3.2</v>
      </c>
    </row>
    <row r="3">
      <c r="A3" s="1">
        <v>1981.0</v>
      </c>
      <c r="B3" s="1">
        <v>3.2</v>
      </c>
    </row>
    <row r="4">
      <c r="A4" s="1">
        <v>1982.0</v>
      </c>
      <c r="B4" s="1">
        <v>3.4</v>
      </c>
    </row>
    <row r="5">
      <c r="A5" s="1">
        <v>1983.0</v>
      </c>
      <c r="B5" s="1">
        <v>2.8</v>
      </c>
    </row>
    <row r="6">
      <c r="A6" s="1">
        <v>1984.0</v>
      </c>
      <c r="B6" s="1">
        <v>2.6</v>
      </c>
    </row>
    <row r="7">
      <c r="A7" s="1">
        <v>1985.0</v>
      </c>
      <c r="B7" s="1">
        <v>2.6</v>
      </c>
    </row>
    <row r="8">
      <c r="A8" s="1">
        <v>1986.0</v>
      </c>
      <c r="B8" s="1">
        <v>2.8</v>
      </c>
    </row>
    <row r="9">
      <c r="A9" s="1">
        <v>1987.0</v>
      </c>
      <c r="B9" s="1">
        <v>2.5</v>
      </c>
    </row>
    <row r="10">
      <c r="A10" s="1">
        <v>1988.0</v>
      </c>
      <c r="B10" s="1">
        <v>2.6</v>
      </c>
    </row>
    <row r="11">
      <c r="A11" s="1">
        <v>1989.0</v>
      </c>
      <c r="B11" s="1">
        <v>2.7</v>
      </c>
    </row>
    <row r="12">
      <c r="A12" s="1">
        <v>1990.0</v>
      </c>
      <c r="B12" s="1">
        <v>2.8</v>
      </c>
    </row>
    <row r="13">
      <c r="A13" s="1">
        <v>1991.0</v>
      </c>
      <c r="B13" s="1">
        <v>3.2</v>
      </c>
    </row>
    <row r="14">
      <c r="A14" s="1">
        <v>1992.0</v>
      </c>
      <c r="B14" s="1">
        <v>3.2</v>
      </c>
    </row>
    <row r="15">
      <c r="A15" s="1">
        <v>1993.0</v>
      </c>
      <c r="B15" s="1">
        <v>3.5</v>
      </c>
    </row>
    <row r="16">
      <c r="A16" s="1">
        <v>1994.0</v>
      </c>
      <c r="B16" s="1">
        <v>3.6</v>
      </c>
    </row>
    <row r="17">
      <c r="A17" s="1">
        <v>1995.0</v>
      </c>
      <c r="B17" s="1">
        <v>3.3</v>
      </c>
    </row>
    <row r="18">
      <c r="A18" s="1">
        <v>1996.0</v>
      </c>
      <c r="B18" s="1">
        <v>3.1</v>
      </c>
    </row>
    <row r="19">
      <c r="A19" s="1">
        <v>1997.0</v>
      </c>
      <c r="B19" s="1">
        <v>3.4</v>
      </c>
    </row>
    <row r="20">
      <c r="A20" s="1">
        <v>1998.0</v>
      </c>
      <c r="B20" s="1">
        <v>3.6</v>
      </c>
    </row>
    <row r="21">
      <c r="A21" s="1">
        <v>1999.0</v>
      </c>
      <c r="B21" s="1">
        <v>3.9</v>
      </c>
    </row>
    <row r="22">
      <c r="A22" s="1">
        <v>2000.0</v>
      </c>
      <c r="B22" s="1">
        <v>4.1</v>
      </c>
    </row>
    <row r="23">
      <c r="A23" s="1">
        <v>2001.0</v>
      </c>
      <c r="B23" s="1">
        <v>4.3</v>
      </c>
    </row>
    <row r="24">
      <c r="A24" s="1">
        <v>2002.0</v>
      </c>
      <c r="B24" s="1">
        <v>4.3</v>
      </c>
    </row>
    <row r="25">
      <c r="A25" s="1">
        <v>2003.0</v>
      </c>
      <c r="B25" s="1">
        <v>4.2</v>
      </c>
    </row>
    <row r="26">
      <c r="A26" s="1">
        <v>2004.0</v>
      </c>
      <c r="B26" s="1">
        <v>4.1</v>
      </c>
    </row>
    <row r="27">
      <c r="A27" s="1">
        <v>2005.0</v>
      </c>
      <c r="B27" s="1">
        <v>4.3</v>
      </c>
    </row>
    <row r="28">
      <c r="A28" s="1">
        <v>2006.0</v>
      </c>
      <c r="B28" s="1">
        <v>4.3</v>
      </c>
    </row>
    <row r="29">
      <c r="A29" s="1">
        <v>2007.0</v>
      </c>
      <c r="B29" s="1">
        <v>4.2</v>
      </c>
    </row>
    <row r="30">
      <c r="A30" s="1">
        <v>2008.0</v>
      </c>
      <c r="B30" s="1">
        <v>4.3</v>
      </c>
    </row>
    <row r="31">
      <c r="A31" s="1">
        <v>2009.0</v>
      </c>
    </row>
    <row r="32">
      <c r="A32" s="1">
        <v>2010.0</v>
      </c>
    </row>
    <row r="33">
      <c r="A33" s="1">
        <v>2011.0</v>
      </c>
    </row>
    <row r="34">
      <c r="A34" s="1">
        <v>2012.0</v>
      </c>
    </row>
    <row r="35">
      <c r="A35" s="1">
        <v>2013.0</v>
      </c>
    </row>
    <row r="36">
      <c r="A36" s="1">
        <v>2014.0</v>
      </c>
    </row>
    <row r="37">
      <c r="A37" s="1">
        <v>2015.0</v>
      </c>
    </row>
    <row r="38">
      <c r="A38" s="1">
        <v>2016.0</v>
      </c>
    </row>
    <row r="39">
      <c r="A39" s="1">
        <v>2017.0</v>
      </c>
    </row>
    <row r="40">
      <c r="A40" s="1">
        <v>2018.0</v>
      </c>
    </row>
    <row r="41">
      <c r="A41" s="1">
        <v>2019.0</v>
      </c>
    </row>
    <row r="42">
      <c r="A42" s="1">
        <v>2020.0</v>
      </c>
    </row>
    <row r="43">
      <c r="A43" s="1">
        <v>2021.0</v>
      </c>
    </row>
    <row r="44">
      <c r="A44" s="1">
        <v>2022.0</v>
      </c>
    </row>
    <row r="45">
      <c r="A45" s="1">
        <v>2023.0</v>
      </c>
    </row>
    <row r="46">
      <c r="A46" s="1">
        <v>2024.0</v>
      </c>
    </row>
    <row r="47">
      <c r="A47" s="1">
        <v>2025.0</v>
      </c>
    </row>
    <row r="48">
      <c r="A48" s="1">
        <v>2026.0</v>
      </c>
    </row>
    <row r="49">
      <c r="A49" s="1">
        <v>2027.0</v>
      </c>
    </row>
  </sheetData>
  <hyperlinks>
    <hyperlink r:id="rId1" ref="C1"/>
  </hyperlin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>
        <v>1990.0</v>
      </c>
    </row>
    <row r="2">
      <c r="A2" s="1">
        <v>1991.0</v>
      </c>
    </row>
    <row r="3">
      <c r="A3" s="1">
        <v>1992.0</v>
      </c>
      <c r="B3" s="1">
        <v>0.0</v>
      </c>
    </row>
    <row r="4">
      <c r="A4" s="1">
        <v>1993.0</v>
      </c>
      <c r="B4" s="1">
        <v>2.36</v>
      </c>
    </row>
    <row r="5">
      <c r="A5" s="1">
        <v>1994.0</v>
      </c>
      <c r="B5" s="1">
        <v>2.49</v>
      </c>
    </row>
    <row r="6">
      <c r="A6" s="1">
        <v>1995.0</v>
      </c>
      <c r="B6" s="1">
        <v>2.28</v>
      </c>
    </row>
    <row r="7">
      <c r="A7" s="1">
        <v>1996.0</v>
      </c>
      <c r="B7" s="1">
        <v>1.99</v>
      </c>
    </row>
    <row r="8">
      <c r="A8" s="1">
        <v>1997.0</v>
      </c>
      <c r="B8" s="1">
        <v>2.14</v>
      </c>
    </row>
    <row r="9">
      <c r="A9" s="1">
        <v>1998.0</v>
      </c>
      <c r="B9" s="1">
        <v>2.32</v>
      </c>
    </row>
    <row r="10">
      <c r="A10" s="1">
        <v>1999.0</v>
      </c>
      <c r="B10" s="1">
        <v>2.76</v>
      </c>
    </row>
    <row r="11">
      <c r="A11" s="1">
        <v>2000.0</v>
      </c>
      <c r="B11" s="1">
        <v>2.46</v>
      </c>
    </row>
    <row r="12">
      <c r="A12" s="1">
        <v>2001.0</v>
      </c>
      <c r="B12" s="1">
        <v>2.64</v>
      </c>
    </row>
    <row r="13">
      <c r="A13" s="1">
        <v>2002.0</v>
      </c>
      <c r="B13" s="1">
        <v>2.56</v>
      </c>
    </row>
    <row r="14">
      <c r="A14" s="1">
        <v>2003.0</v>
      </c>
      <c r="B14" s="1">
        <v>2.87</v>
      </c>
    </row>
    <row r="15">
      <c r="A15" s="1">
        <v>2004.0</v>
      </c>
      <c r="B15" s="1">
        <v>3.01</v>
      </c>
    </row>
    <row r="16">
      <c r="A16" s="1">
        <v>2005.0</v>
      </c>
      <c r="B16" s="1">
        <v>2.88</v>
      </c>
    </row>
    <row r="17">
      <c r="A17" s="1">
        <v>2006.0</v>
      </c>
      <c r="B17" s="1">
        <v>2.78</v>
      </c>
    </row>
    <row r="18">
      <c r="A18" s="1">
        <v>2007.0</v>
      </c>
      <c r="B18" s="1">
        <v>2.67</v>
      </c>
    </row>
    <row r="19">
      <c r="A19" s="1">
        <v>2008.0</v>
      </c>
      <c r="B19" s="1">
        <v>2.82</v>
      </c>
    </row>
    <row r="20">
      <c r="A20" s="1">
        <v>2009.0</v>
      </c>
      <c r="B20" s="1">
        <v>3.4</v>
      </c>
    </row>
    <row r="21">
      <c r="A21" s="1">
        <v>2010.0</v>
      </c>
      <c r="B21" s="1">
        <v>3.14</v>
      </c>
    </row>
    <row r="22">
      <c r="A22" s="1">
        <v>2011.0</v>
      </c>
      <c r="B22" s="1">
        <v>3.31</v>
      </c>
    </row>
    <row r="23">
      <c r="A23" s="1">
        <v>2012.0</v>
      </c>
      <c r="B23" s="1">
        <v>3.32</v>
      </c>
    </row>
    <row r="24">
      <c r="A24" s="1">
        <v>2013.0</v>
      </c>
      <c r="B24" s="1">
        <v>3.49</v>
      </c>
    </row>
    <row r="25">
      <c r="A25" s="1">
        <v>2014.0</v>
      </c>
      <c r="B25" s="1">
        <v>2.98</v>
      </c>
    </row>
    <row r="26">
      <c r="A26" s="1">
        <v>2015.0</v>
      </c>
      <c r="B26" s="1">
        <v>3.0</v>
      </c>
    </row>
    <row r="27">
      <c r="A27" s="1">
        <v>2016.0</v>
      </c>
      <c r="B27" s="1">
        <v>2.71</v>
      </c>
    </row>
    <row r="28">
      <c r="A28" s="1">
        <v>2017.0</v>
      </c>
      <c r="B28" s="1">
        <v>2.69</v>
      </c>
    </row>
    <row r="29">
      <c r="A29" s="1">
        <v>2018.0</v>
      </c>
      <c r="B29" s="1">
        <v>2.53</v>
      </c>
    </row>
    <row r="30">
      <c r="A30" s="1">
        <v>2019.0</v>
      </c>
      <c r="B30" s="1">
        <v>2.64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  <col customWidth="1" min="2" max="2" width="18.13"/>
    <col customWidth="1" min="3" max="3" width="14.88"/>
    <col customWidth="1" min="4" max="4" width="15.88"/>
    <col customWidth="1" min="5" max="5" width="17.25"/>
    <col customWidth="1" min="6" max="6" width="15.88"/>
    <col customWidth="1" min="8" max="8" width="15.88"/>
  </cols>
  <sheetData>
    <row r="1">
      <c r="A1" s="1" t="s">
        <v>957</v>
      </c>
      <c r="B1" s="6" t="s">
        <v>1730</v>
      </c>
      <c r="C1" s="6" t="s">
        <v>960</v>
      </c>
      <c r="D1" s="52" t="s">
        <v>961</v>
      </c>
      <c r="E1" s="6" t="s">
        <v>962</v>
      </c>
      <c r="F1" s="6" t="s">
        <v>963</v>
      </c>
      <c r="G1" s="6" t="s">
        <v>964</v>
      </c>
      <c r="H1" s="6" t="s">
        <v>1731</v>
      </c>
    </row>
    <row r="2">
      <c r="A2" s="1">
        <v>2006.0</v>
      </c>
      <c r="B2" s="49">
        <f t="shared" ref="B2:B23" si="1">sum(C2:F2)</f>
        <v>325678906035</v>
      </c>
      <c r="C2" s="63">
        <v>4.2355506035E10</v>
      </c>
      <c r="D2" s="49"/>
      <c r="E2" s="63">
        <v>2.091946E11</v>
      </c>
      <c r="F2" s="63">
        <v>7.41288E10</v>
      </c>
      <c r="G2" s="48">
        <v>61.23867495</v>
      </c>
      <c r="H2" s="49">
        <f t="shared" ref="H2:H22" si="2">B2*($G$21/G2)</f>
        <v>747429939155</v>
      </c>
    </row>
    <row r="3">
      <c r="A3" s="1">
        <v>2007.0</v>
      </c>
      <c r="B3" s="49">
        <f t="shared" si="1"/>
        <v>374304955867</v>
      </c>
      <c r="C3" s="63">
        <v>5.5583155867E10</v>
      </c>
      <c r="D3" s="49"/>
      <c r="E3" s="63">
        <v>2.378019E11</v>
      </c>
      <c r="F3" s="63">
        <v>8.09199E10</v>
      </c>
      <c r="G3" s="48">
        <v>63.6679211</v>
      </c>
      <c r="H3" s="49">
        <f t="shared" si="2"/>
        <v>826250152082</v>
      </c>
    </row>
    <row r="4">
      <c r="A4" s="1">
        <v>2008.0</v>
      </c>
      <c r="B4" s="49">
        <f t="shared" si="1"/>
        <v>420733600000</v>
      </c>
      <c r="C4" s="63">
        <v>6.94261E10</v>
      </c>
      <c r="D4" s="49"/>
      <c r="E4" s="63">
        <v>2.720887E11</v>
      </c>
      <c r="F4" s="63">
        <v>7.92188E10</v>
      </c>
      <c r="G4" s="48">
        <v>66.93089041666668</v>
      </c>
      <c r="H4" s="49">
        <f t="shared" si="2"/>
        <v>883460706489</v>
      </c>
    </row>
    <row r="5">
      <c r="A5" s="1">
        <v>2009.0</v>
      </c>
      <c r="B5" s="49">
        <f t="shared" si="1"/>
        <v>472394468164</v>
      </c>
      <c r="C5" s="63">
        <v>8.5036468164E10</v>
      </c>
      <c r="D5" s="49"/>
      <c r="E5" s="63">
        <v>2.99E11</v>
      </c>
      <c r="F5" s="63">
        <v>8.8358E10</v>
      </c>
      <c r="G5" s="48">
        <v>70.4764587</v>
      </c>
      <c r="H5" s="49">
        <f t="shared" si="2"/>
        <v>942035727983</v>
      </c>
    </row>
    <row r="6">
      <c r="A6" s="1">
        <v>2010.0</v>
      </c>
      <c r="B6" s="49">
        <f t="shared" si="1"/>
        <v>517338159860</v>
      </c>
      <c r="C6" s="63">
        <v>8.9892930927E10</v>
      </c>
      <c r="D6" s="49"/>
      <c r="E6" s="63">
        <v>3.203796E11</v>
      </c>
      <c r="F6" s="63">
        <v>1.07065628933E11</v>
      </c>
      <c r="G6" s="48">
        <v>73.405973275</v>
      </c>
      <c r="H6" s="49">
        <f t="shared" si="2"/>
        <v>990489229176</v>
      </c>
    </row>
    <row r="7">
      <c r="A7" s="1">
        <v>2011.0</v>
      </c>
      <c r="B7" s="49">
        <f t="shared" si="1"/>
        <v>556102296605</v>
      </c>
      <c r="C7" s="63">
        <v>1.05313896605E11</v>
      </c>
      <c r="D7" s="49"/>
      <c r="E7" s="63">
        <v>3.3824E11</v>
      </c>
      <c r="F7" s="63">
        <v>1.125484E11</v>
      </c>
      <c r="G7" s="48">
        <v>75.907193425</v>
      </c>
      <c r="H7" s="49">
        <f t="shared" si="2"/>
        <v>1029623387807</v>
      </c>
    </row>
    <row r="8">
      <c r="A8" s="1">
        <v>2012.0</v>
      </c>
      <c r="B8" s="49">
        <f t="shared" si="1"/>
        <v>649424481809</v>
      </c>
      <c r="C8" s="63">
        <v>1.13479679217E11</v>
      </c>
      <c r="D8" s="49"/>
      <c r="E8" s="63">
        <v>3.94492697982E11</v>
      </c>
      <c r="F8" s="63">
        <v>1.4145210461E11</v>
      </c>
      <c r="G8" s="48">
        <v>79.02812418333333</v>
      </c>
      <c r="H8" s="49">
        <f t="shared" si="2"/>
        <v>1154924587962</v>
      </c>
    </row>
    <row r="9">
      <c r="A9" s="1">
        <v>2013.0</v>
      </c>
      <c r="B9" s="49">
        <f t="shared" si="1"/>
        <v>704779156455</v>
      </c>
      <c r="C9" s="63">
        <v>1.21856567399E11</v>
      </c>
      <c r="D9" s="49"/>
      <c r="E9" s="63">
        <v>4.21565167209E11</v>
      </c>
      <c r="F9" s="63">
        <v>1.61357421847E11</v>
      </c>
      <c r="G9" s="48">
        <v>82.03624265833332</v>
      </c>
      <c r="H9" s="49">
        <f t="shared" si="2"/>
        <v>1207407682995</v>
      </c>
    </row>
    <row r="10">
      <c r="A10" s="1">
        <v>2014.0</v>
      </c>
      <c r="B10" s="49">
        <f t="shared" si="1"/>
        <v>812684377603</v>
      </c>
      <c r="C10" s="63">
        <v>1.30264761743E11</v>
      </c>
      <c r="D10" s="49"/>
      <c r="E10" s="63">
        <v>4.76960996089E11</v>
      </c>
      <c r="F10" s="63">
        <v>2.05458619771E11</v>
      </c>
      <c r="G10" s="48">
        <v>85.33296521666666</v>
      </c>
      <c r="H10" s="49">
        <f t="shared" si="2"/>
        <v>1338479483919</v>
      </c>
    </row>
    <row r="11">
      <c r="A11" s="1">
        <v>2015.0</v>
      </c>
      <c r="B11" s="49">
        <f t="shared" si="1"/>
        <v>841301529964</v>
      </c>
      <c r="C11" s="63">
        <v>1.34847592069E11</v>
      </c>
      <c r="D11" s="49"/>
      <c r="E11" s="63">
        <v>4.97695318114E11</v>
      </c>
      <c r="F11" s="63">
        <v>2.08758619781E11</v>
      </c>
      <c r="G11" s="48">
        <v>87.65456909166666</v>
      </c>
      <c r="H11" s="49">
        <f t="shared" si="2"/>
        <v>1348912453354</v>
      </c>
    </row>
    <row r="12">
      <c r="A12" s="1">
        <v>2016.0</v>
      </c>
      <c r="B12" s="49">
        <f t="shared" si="1"/>
        <v>906454018723</v>
      </c>
      <c r="C12" s="63">
        <v>1.32216881794E11</v>
      </c>
      <c r="D12" s="49"/>
      <c r="E12" s="63">
        <v>5.4432103479E11</v>
      </c>
      <c r="F12" s="63">
        <v>2.29916102139E11</v>
      </c>
      <c r="G12" s="48">
        <v>90.12792485833332</v>
      </c>
      <c r="H12" s="49">
        <f t="shared" si="2"/>
        <v>1413491012639</v>
      </c>
    </row>
    <row r="13">
      <c r="A13" s="1">
        <v>2017.0</v>
      </c>
      <c r="B13" s="49">
        <f t="shared" si="1"/>
        <v>1008089391384</v>
      </c>
      <c r="C13" s="63">
        <v>1.21817532748E11</v>
      </c>
      <c r="D13" s="49"/>
      <c r="E13" s="63">
        <v>6.22682563457E11</v>
      </c>
      <c r="F13" s="63">
        <v>2.63589295179E11</v>
      </c>
      <c r="G13" s="48">
        <v>95.5729636</v>
      </c>
      <c r="H13" s="49">
        <f t="shared" si="2"/>
        <v>1482417850426</v>
      </c>
    </row>
    <row r="14">
      <c r="A14" s="1">
        <v>2018.0</v>
      </c>
      <c r="B14" s="49">
        <f t="shared" si="1"/>
        <v>1084474181087</v>
      </c>
      <c r="C14" s="63">
        <v>1.2255733732E11</v>
      </c>
      <c r="D14" s="49"/>
      <c r="E14" s="63">
        <v>6.79284281924E11</v>
      </c>
      <c r="F14" s="63">
        <v>2.82632561843E11</v>
      </c>
      <c r="G14" s="48">
        <v>100.25541853333334</v>
      </c>
      <c r="H14" s="49">
        <f t="shared" si="2"/>
        <v>1520260484009</v>
      </c>
    </row>
    <row r="15">
      <c r="A15" s="1">
        <v>2019.0</v>
      </c>
      <c r="B15" s="49">
        <f t="shared" si="1"/>
        <v>1194327955895</v>
      </c>
      <c r="C15" s="63">
        <v>1.24266865116E11</v>
      </c>
      <c r="D15" s="49"/>
      <c r="E15" s="63">
        <v>7.46738895682E11</v>
      </c>
      <c r="F15" s="63">
        <v>3.23322195097E11</v>
      </c>
      <c r="G15" s="48">
        <v>103.90066666666667</v>
      </c>
      <c r="H15" s="49">
        <f t="shared" si="2"/>
        <v>1615518398651</v>
      </c>
    </row>
    <row r="16">
      <c r="A16" s="1">
        <v>2020.0</v>
      </c>
      <c r="B16" s="49">
        <f t="shared" si="1"/>
        <v>1303331702397</v>
      </c>
      <c r="C16" s="63">
        <v>1.28826414373E11</v>
      </c>
      <c r="D16" s="49"/>
      <c r="E16" s="63">
        <v>8.2506288228E11</v>
      </c>
      <c r="F16" s="63">
        <v>3.49442405744E11</v>
      </c>
      <c r="G16" s="48">
        <v>107.42999999999999</v>
      </c>
      <c r="H16" s="49">
        <f t="shared" si="2"/>
        <v>1705045716655</v>
      </c>
    </row>
    <row r="17">
      <c r="A17" s="1">
        <v>2021.0</v>
      </c>
      <c r="B17" s="49">
        <f t="shared" si="1"/>
        <v>1420626967531</v>
      </c>
      <c r="C17" s="63">
        <v>1.45414570947E11</v>
      </c>
      <c r="D17" s="49"/>
      <c r="E17" s="63">
        <v>9.01687110152E11</v>
      </c>
      <c r="F17" s="63">
        <v>3.73525286432E11</v>
      </c>
      <c r="G17" s="48">
        <v>113.54191666666667</v>
      </c>
      <c r="H17" s="49">
        <f t="shared" si="2"/>
        <v>1758451837906</v>
      </c>
    </row>
    <row r="18">
      <c r="A18" s="1">
        <v>2022.0</v>
      </c>
      <c r="B18" s="49">
        <f t="shared" si="1"/>
        <v>1601737723504</v>
      </c>
      <c r="C18" s="63">
        <v>1.93948336401E11</v>
      </c>
      <c r="D18" s="49"/>
      <c r="E18" s="63">
        <v>1.010840765109E12</v>
      </c>
      <c r="F18" s="63">
        <v>3.96948621994E11</v>
      </c>
      <c r="G18" s="48">
        <v>122.50750000000001</v>
      </c>
      <c r="H18" s="49">
        <f t="shared" si="2"/>
        <v>1837533947660</v>
      </c>
    </row>
    <row r="19">
      <c r="A19" s="1">
        <v>2023.0</v>
      </c>
      <c r="B19" s="49">
        <f t="shared" si="1"/>
        <v>1814359649207</v>
      </c>
      <c r="C19" s="63">
        <v>2.09616460086E11</v>
      </c>
      <c r="D19" s="49"/>
      <c r="E19" s="63">
        <v>1.165698799075E12</v>
      </c>
      <c r="F19" s="63">
        <v>4.39044390046E11</v>
      </c>
      <c r="G19" s="48">
        <v>129.27966666666666</v>
      </c>
      <c r="H19" s="49">
        <f t="shared" si="2"/>
        <v>1972421826161</v>
      </c>
    </row>
    <row r="20">
      <c r="A20" s="1">
        <v>2024.0</v>
      </c>
      <c r="B20" s="49">
        <f t="shared" si="1"/>
        <v>2047393652977</v>
      </c>
      <c r="C20" s="63">
        <v>9.6989997562E10</v>
      </c>
      <c r="D20" s="63">
        <v>1.28623931279E11</v>
      </c>
      <c r="E20" s="37">
        <v>1.345950717395E12</v>
      </c>
      <c r="F20" s="63">
        <v>4.75829006741E11</v>
      </c>
      <c r="G20" s="48">
        <v>135.38458333333332</v>
      </c>
      <c r="H20" s="49">
        <f t="shared" si="2"/>
        <v>2125390741873</v>
      </c>
    </row>
    <row r="21">
      <c r="A21" s="1">
        <v>2025.0</v>
      </c>
      <c r="B21" s="49">
        <f t="shared" si="1"/>
        <v>2227281576880</v>
      </c>
      <c r="C21" s="63">
        <v>6.6693191547E10</v>
      </c>
      <c r="D21" s="63">
        <v>1.65562605439E11</v>
      </c>
      <c r="E21" s="63">
        <v>1.469410379894E12</v>
      </c>
      <c r="F21" s="63">
        <v>5.256154E11</v>
      </c>
      <c r="G21" s="48">
        <v>140.54216666666665</v>
      </c>
      <c r="H21" s="49">
        <f t="shared" si="2"/>
        <v>2227281576880</v>
      </c>
    </row>
    <row r="22">
      <c r="A22" s="1">
        <v>2026.0</v>
      </c>
      <c r="B22" s="49">
        <f t="shared" si="1"/>
        <v>2368647616429</v>
      </c>
      <c r="C22" s="63">
        <v>6.6825756831E10</v>
      </c>
      <c r="D22" s="63">
        <v>1.72492400589E11</v>
      </c>
      <c r="E22" s="63">
        <v>1.590308696623E12</v>
      </c>
      <c r="F22" s="63">
        <v>5.39020762386E11</v>
      </c>
      <c r="G22" s="48">
        <v>144.50241666666668</v>
      </c>
      <c r="H22" s="49">
        <f t="shared" si="2"/>
        <v>2303732184983</v>
      </c>
    </row>
    <row r="23">
      <c r="A23" s="1">
        <v>2027.0</v>
      </c>
      <c r="B23" s="49">
        <f t="shared" si="1"/>
        <v>2640894056183</v>
      </c>
      <c r="C23" s="63">
        <v>7.230546894E10</v>
      </c>
      <c r="D23" s="63">
        <v>1.93987199999E11</v>
      </c>
      <c r="E23" s="63">
        <v>1.803009097244E12</v>
      </c>
      <c r="F23" s="63">
        <v>5.7159229E11</v>
      </c>
      <c r="H23" s="50"/>
    </row>
    <row r="24">
      <c r="B24" s="64"/>
      <c r="C24" s="64"/>
      <c r="D24" s="64"/>
      <c r="E24" s="64"/>
      <c r="F24" s="64"/>
    </row>
    <row r="25">
      <c r="B25" s="64"/>
      <c r="C25" s="64"/>
      <c r="D25" s="64"/>
      <c r="E25" s="64"/>
      <c r="F25" s="64"/>
    </row>
    <row r="26">
      <c r="B26" s="64"/>
      <c r="C26" s="64"/>
      <c r="D26" s="64"/>
      <c r="E26" s="64"/>
      <c r="F26" s="64"/>
    </row>
    <row r="27">
      <c r="B27" s="64"/>
      <c r="C27" s="64"/>
      <c r="D27" s="64"/>
      <c r="E27" s="64"/>
      <c r="F27" s="64"/>
    </row>
    <row r="28">
      <c r="B28" s="64"/>
      <c r="C28" s="64"/>
      <c r="D28" s="64"/>
      <c r="E28" s="64"/>
      <c r="F28" s="64"/>
    </row>
    <row r="29">
      <c r="B29" s="64"/>
      <c r="C29" s="64"/>
      <c r="D29" s="64"/>
      <c r="E29" s="64"/>
      <c r="F29" s="64"/>
    </row>
    <row r="30">
      <c r="B30" s="64"/>
      <c r="C30" s="64"/>
      <c r="D30" s="64"/>
      <c r="E30" s="64"/>
      <c r="F30" s="64"/>
    </row>
    <row r="31">
      <c r="B31" s="64"/>
      <c r="C31" s="64"/>
      <c r="D31" s="64"/>
      <c r="E31" s="64"/>
      <c r="F31" s="64"/>
    </row>
    <row r="32">
      <c r="B32" s="64"/>
      <c r="C32" s="64"/>
      <c r="D32" s="64"/>
      <c r="E32" s="64"/>
      <c r="F32" s="64"/>
    </row>
    <row r="33">
      <c r="B33" s="64"/>
      <c r="C33" s="64"/>
      <c r="D33" s="64"/>
      <c r="E33" s="64"/>
      <c r="F33" s="64"/>
    </row>
    <row r="34">
      <c r="B34" s="64"/>
      <c r="C34" s="64"/>
      <c r="D34" s="64"/>
      <c r="E34" s="64"/>
      <c r="F34" s="64"/>
    </row>
    <row r="35">
      <c r="B35" s="64"/>
      <c r="C35" s="64"/>
      <c r="D35" s="64"/>
      <c r="E35" s="64"/>
      <c r="F35" s="64"/>
    </row>
    <row r="36">
      <c r="B36" s="64"/>
      <c r="C36" s="64"/>
      <c r="D36" s="64"/>
      <c r="E36" s="64"/>
      <c r="F36" s="64"/>
    </row>
    <row r="37">
      <c r="B37" s="64"/>
      <c r="C37" s="64"/>
      <c r="D37" s="64"/>
      <c r="E37" s="64"/>
      <c r="F37" s="64"/>
    </row>
    <row r="38">
      <c r="B38" s="64"/>
      <c r="C38" s="64"/>
      <c r="D38" s="64"/>
      <c r="E38" s="64"/>
      <c r="F38" s="64"/>
    </row>
    <row r="39">
      <c r="B39" s="64"/>
      <c r="C39" s="64"/>
      <c r="D39" s="64"/>
      <c r="E39" s="64"/>
      <c r="F39" s="64"/>
    </row>
    <row r="40">
      <c r="B40" s="64"/>
      <c r="C40" s="64"/>
      <c r="D40" s="64"/>
      <c r="E40" s="64"/>
      <c r="F40" s="64"/>
    </row>
    <row r="41">
      <c r="B41" s="64"/>
      <c r="C41" s="64"/>
      <c r="D41" s="64"/>
      <c r="E41" s="64"/>
      <c r="F41" s="64"/>
    </row>
    <row r="42">
      <c r="B42" s="64"/>
      <c r="C42" s="64"/>
      <c r="D42" s="64"/>
      <c r="E42" s="64"/>
      <c r="F42" s="64"/>
    </row>
    <row r="43">
      <c r="B43" s="64"/>
      <c r="C43" s="64"/>
      <c r="D43" s="64"/>
      <c r="E43" s="64"/>
      <c r="F43" s="64"/>
    </row>
    <row r="44">
      <c r="B44" s="64"/>
      <c r="C44" s="64"/>
      <c r="D44" s="64"/>
      <c r="E44" s="64"/>
      <c r="F44" s="64"/>
    </row>
    <row r="45">
      <c r="B45" s="64"/>
      <c r="C45" s="64"/>
      <c r="D45" s="64"/>
      <c r="E45" s="64"/>
      <c r="F45" s="64"/>
    </row>
    <row r="46">
      <c r="B46" s="64"/>
      <c r="C46" s="64"/>
      <c r="D46" s="64"/>
      <c r="E46" s="64"/>
      <c r="F46" s="64"/>
    </row>
    <row r="47">
      <c r="B47" s="64"/>
      <c r="C47" s="64"/>
      <c r="D47" s="64"/>
      <c r="E47" s="64"/>
      <c r="F47" s="64"/>
    </row>
    <row r="48">
      <c r="B48" s="64"/>
      <c r="C48" s="64"/>
      <c r="D48" s="64"/>
      <c r="E48" s="64"/>
      <c r="F48" s="64"/>
    </row>
    <row r="49">
      <c r="B49" s="64"/>
      <c r="C49" s="64"/>
      <c r="D49" s="64"/>
      <c r="E49" s="64"/>
      <c r="F49" s="64"/>
    </row>
    <row r="50">
      <c r="B50" s="64"/>
      <c r="C50" s="64"/>
      <c r="D50" s="64"/>
      <c r="E50" s="64"/>
      <c r="F50" s="64"/>
    </row>
    <row r="51">
      <c r="B51" s="64"/>
      <c r="C51" s="64"/>
      <c r="D51" s="64"/>
      <c r="E51" s="64"/>
      <c r="F51" s="64"/>
    </row>
    <row r="52">
      <c r="B52" s="64"/>
      <c r="C52" s="64"/>
      <c r="D52" s="64"/>
      <c r="E52" s="64"/>
      <c r="F52" s="64"/>
    </row>
    <row r="53">
      <c r="B53" s="64"/>
      <c r="C53" s="64"/>
      <c r="D53" s="64"/>
      <c r="E53" s="64"/>
      <c r="F53" s="64"/>
    </row>
    <row r="54">
      <c r="B54" s="64"/>
      <c r="C54" s="64"/>
      <c r="D54" s="64"/>
      <c r="E54" s="64"/>
      <c r="F54" s="64"/>
    </row>
    <row r="55">
      <c r="B55" s="64"/>
      <c r="C55" s="64"/>
      <c r="D55" s="64"/>
      <c r="E55" s="64"/>
      <c r="F55" s="64"/>
    </row>
    <row r="56">
      <c r="B56" s="64"/>
      <c r="C56" s="64"/>
      <c r="D56" s="64"/>
      <c r="E56" s="64"/>
      <c r="F56" s="64"/>
    </row>
    <row r="57">
      <c r="B57" s="64"/>
      <c r="C57" s="64"/>
      <c r="D57" s="64"/>
      <c r="E57" s="64"/>
      <c r="F57" s="64"/>
    </row>
    <row r="58">
      <c r="B58" s="64"/>
      <c r="C58" s="64"/>
      <c r="D58" s="64"/>
      <c r="E58" s="64"/>
      <c r="F58" s="64"/>
    </row>
    <row r="59">
      <c r="B59" s="64"/>
      <c r="C59" s="64"/>
      <c r="D59" s="64"/>
      <c r="E59" s="64"/>
      <c r="F59" s="64"/>
    </row>
    <row r="60">
      <c r="B60" s="64"/>
      <c r="C60" s="64"/>
      <c r="D60" s="64"/>
      <c r="E60" s="64"/>
      <c r="F60" s="64"/>
    </row>
    <row r="61">
      <c r="B61" s="64"/>
      <c r="C61" s="64"/>
      <c r="D61" s="64"/>
      <c r="E61" s="64"/>
      <c r="F61" s="64"/>
    </row>
    <row r="62">
      <c r="B62" s="64"/>
      <c r="C62" s="64"/>
      <c r="D62" s="64"/>
      <c r="E62" s="64"/>
      <c r="F62" s="64"/>
    </row>
    <row r="63">
      <c r="B63" s="64"/>
      <c r="C63" s="64"/>
      <c r="D63" s="64"/>
      <c r="E63" s="64"/>
      <c r="F63" s="64"/>
    </row>
    <row r="64">
      <c r="B64" s="64"/>
      <c r="C64" s="64"/>
      <c r="D64" s="64"/>
      <c r="E64" s="64"/>
      <c r="F64" s="64"/>
    </row>
    <row r="65">
      <c r="B65" s="64"/>
      <c r="C65" s="64"/>
      <c r="D65" s="64"/>
      <c r="E65" s="64"/>
      <c r="F65" s="64"/>
    </row>
    <row r="66">
      <c r="B66" s="64"/>
      <c r="C66" s="64"/>
      <c r="D66" s="64"/>
      <c r="E66" s="64"/>
      <c r="F66" s="64"/>
    </row>
    <row r="67">
      <c r="B67" s="64"/>
      <c r="C67" s="64"/>
      <c r="D67" s="64"/>
      <c r="E67" s="64"/>
      <c r="F67" s="64"/>
    </row>
    <row r="68">
      <c r="B68" s="64"/>
      <c r="C68" s="64"/>
      <c r="D68" s="64"/>
      <c r="E68" s="64"/>
      <c r="F68" s="64"/>
    </row>
    <row r="69">
      <c r="B69" s="64"/>
      <c r="C69" s="64"/>
      <c r="D69" s="64"/>
      <c r="E69" s="64"/>
      <c r="F69" s="64"/>
    </row>
    <row r="70">
      <c r="B70" s="64"/>
      <c r="C70" s="64"/>
      <c r="D70" s="64"/>
      <c r="E70" s="64"/>
      <c r="F70" s="64"/>
    </row>
    <row r="71">
      <c r="B71" s="64"/>
      <c r="C71" s="64"/>
      <c r="D71" s="64"/>
      <c r="E71" s="64"/>
      <c r="F71" s="64"/>
    </row>
    <row r="72">
      <c r="B72" s="64"/>
      <c r="C72" s="64"/>
      <c r="D72" s="64"/>
      <c r="E72" s="64"/>
      <c r="F72" s="64"/>
    </row>
    <row r="73">
      <c r="B73" s="64"/>
      <c r="C73" s="64"/>
      <c r="D73" s="64"/>
      <c r="E73" s="64"/>
      <c r="F73" s="64"/>
    </row>
    <row r="74">
      <c r="B74" s="64"/>
      <c r="C74" s="64"/>
      <c r="D74" s="64"/>
      <c r="E74" s="64"/>
      <c r="F74" s="64"/>
    </row>
    <row r="75">
      <c r="B75" s="64"/>
      <c r="C75" s="64"/>
      <c r="D75" s="64"/>
      <c r="E75" s="64"/>
      <c r="F75" s="64"/>
    </row>
    <row r="76">
      <c r="B76" s="64"/>
      <c r="C76" s="64"/>
      <c r="D76" s="64"/>
      <c r="E76" s="64"/>
      <c r="F76" s="64"/>
    </row>
    <row r="77">
      <c r="B77" s="64"/>
      <c r="C77" s="64"/>
      <c r="D77" s="64"/>
      <c r="E77" s="64"/>
      <c r="F77" s="64"/>
    </row>
    <row r="78">
      <c r="B78" s="64"/>
      <c r="C78" s="64"/>
      <c r="D78" s="64"/>
      <c r="E78" s="64"/>
      <c r="F78" s="64"/>
    </row>
    <row r="79">
      <c r="B79" s="64"/>
      <c r="C79" s="64"/>
      <c r="D79" s="64"/>
      <c r="E79" s="64"/>
      <c r="F79" s="64"/>
    </row>
    <row r="80">
      <c r="B80" s="64"/>
      <c r="C80" s="64"/>
      <c r="D80" s="64"/>
      <c r="E80" s="64"/>
      <c r="F80" s="64"/>
    </row>
    <row r="81">
      <c r="B81" s="64"/>
      <c r="C81" s="64"/>
      <c r="D81" s="64"/>
      <c r="E81" s="64"/>
      <c r="F81" s="64"/>
    </row>
    <row r="82">
      <c r="B82" s="64"/>
      <c r="C82" s="64"/>
      <c r="D82" s="64"/>
      <c r="E82" s="64"/>
      <c r="F82" s="64"/>
    </row>
    <row r="83">
      <c r="B83" s="64"/>
      <c r="C83" s="64"/>
      <c r="D83" s="64"/>
      <c r="E83" s="64"/>
      <c r="F83" s="64"/>
    </row>
    <row r="84">
      <c r="B84" s="64"/>
      <c r="C84" s="64"/>
      <c r="D84" s="64"/>
      <c r="E84" s="64"/>
      <c r="F84" s="64"/>
    </row>
    <row r="85">
      <c r="B85" s="64"/>
      <c r="C85" s="64"/>
      <c r="D85" s="64"/>
      <c r="E85" s="64"/>
      <c r="F85" s="64"/>
    </row>
    <row r="86">
      <c r="B86" s="64"/>
      <c r="C86" s="64"/>
      <c r="D86" s="64"/>
      <c r="E86" s="64"/>
      <c r="F86" s="64"/>
    </row>
    <row r="87">
      <c r="B87" s="64"/>
      <c r="C87" s="64"/>
      <c r="D87" s="64"/>
      <c r="E87" s="64"/>
      <c r="F87" s="64"/>
    </row>
    <row r="88">
      <c r="B88" s="64"/>
      <c r="C88" s="64"/>
      <c r="D88" s="64"/>
      <c r="E88" s="64"/>
      <c r="F88" s="64"/>
    </row>
    <row r="89">
      <c r="B89" s="64"/>
      <c r="C89" s="64"/>
      <c r="D89" s="64"/>
      <c r="E89" s="64"/>
      <c r="F89" s="64"/>
    </row>
    <row r="90">
      <c r="B90" s="64"/>
      <c r="C90" s="64"/>
      <c r="D90" s="64"/>
      <c r="E90" s="64"/>
      <c r="F90" s="64"/>
    </row>
    <row r="91">
      <c r="B91" s="64"/>
      <c r="C91" s="64"/>
      <c r="D91" s="64"/>
      <c r="E91" s="64"/>
      <c r="F91" s="64"/>
    </row>
    <row r="92">
      <c r="B92" s="64"/>
      <c r="C92" s="64"/>
      <c r="D92" s="64"/>
      <c r="E92" s="64"/>
      <c r="F92" s="64"/>
    </row>
    <row r="93">
      <c r="B93" s="64"/>
      <c r="C93" s="64"/>
      <c r="D93" s="64"/>
      <c r="E93" s="64"/>
      <c r="F93" s="64"/>
    </row>
    <row r="94">
      <c r="B94" s="64"/>
      <c r="C94" s="64"/>
      <c r="D94" s="64"/>
      <c r="E94" s="64"/>
      <c r="F94" s="64"/>
    </row>
    <row r="95">
      <c r="B95" s="64"/>
      <c r="C95" s="64"/>
      <c r="D95" s="64"/>
      <c r="E95" s="64"/>
      <c r="F95" s="64"/>
    </row>
    <row r="96">
      <c r="B96" s="64"/>
      <c r="C96" s="64"/>
      <c r="D96" s="64"/>
      <c r="E96" s="64"/>
      <c r="F96" s="64"/>
    </row>
    <row r="97">
      <c r="B97" s="64"/>
      <c r="C97" s="64"/>
      <c r="D97" s="64"/>
      <c r="E97" s="64"/>
      <c r="F97" s="64"/>
    </row>
    <row r="98">
      <c r="B98" s="64"/>
      <c r="C98" s="64"/>
      <c r="D98" s="64"/>
      <c r="E98" s="64"/>
      <c r="F98" s="64"/>
    </row>
    <row r="99">
      <c r="B99" s="64"/>
      <c r="C99" s="64"/>
      <c r="D99" s="64"/>
      <c r="E99" s="64"/>
      <c r="F99" s="64"/>
    </row>
    <row r="100">
      <c r="B100" s="64"/>
      <c r="C100" s="64"/>
      <c r="D100" s="64"/>
      <c r="E100" s="64"/>
      <c r="F100" s="64"/>
    </row>
    <row r="101">
      <c r="B101" s="64"/>
      <c r="C101" s="64"/>
      <c r="D101" s="64"/>
      <c r="E101" s="64"/>
      <c r="F101" s="64"/>
    </row>
    <row r="102">
      <c r="B102" s="64"/>
      <c r="C102" s="64"/>
      <c r="D102" s="64"/>
      <c r="E102" s="64"/>
      <c r="F102" s="64"/>
    </row>
    <row r="103">
      <c r="B103" s="64"/>
      <c r="C103" s="64"/>
      <c r="D103" s="64"/>
      <c r="E103" s="64"/>
      <c r="F103" s="64"/>
    </row>
    <row r="104">
      <c r="B104" s="64"/>
      <c r="C104" s="64"/>
      <c r="D104" s="64"/>
      <c r="E104" s="64"/>
      <c r="F104" s="64"/>
    </row>
    <row r="105">
      <c r="B105" s="64"/>
      <c r="C105" s="64"/>
      <c r="D105" s="64"/>
      <c r="E105" s="64"/>
      <c r="F105" s="64"/>
    </row>
    <row r="106">
      <c r="B106" s="64"/>
      <c r="C106" s="64"/>
      <c r="D106" s="64"/>
      <c r="E106" s="64"/>
      <c r="F106" s="64"/>
    </row>
    <row r="107">
      <c r="B107" s="64"/>
      <c r="C107" s="64"/>
      <c r="D107" s="64"/>
      <c r="E107" s="64"/>
      <c r="F107" s="64"/>
    </row>
    <row r="108">
      <c r="B108" s="64"/>
      <c r="C108" s="64"/>
      <c r="D108" s="64"/>
      <c r="E108" s="64"/>
      <c r="F108" s="64"/>
    </row>
    <row r="109">
      <c r="B109" s="64"/>
      <c r="C109" s="64"/>
      <c r="D109" s="64"/>
      <c r="E109" s="64"/>
      <c r="F109" s="64"/>
    </row>
    <row r="110">
      <c r="B110" s="64"/>
      <c r="C110" s="64"/>
      <c r="D110" s="64"/>
      <c r="E110" s="64"/>
      <c r="F110" s="64"/>
    </row>
    <row r="111">
      <c r="B111" s="64"/>
      <c r="C111" s="64"/>
      <c r="D111" s="64"/>
      <c r="E111" s="64"/>
      <c r="F111" s="64"/>
    </row>
    <row r="112">
      <c r="B112" s="64"/>
      <c r="C112" s="64"/>
      <c r="D112" s="64"/>
      <c r="E112" s="64"/>
      <c r="F112" s="64"/>
    </row>
    <row r="113">
      <c r="B113" s="64"/>
      <c r="C113" s="64"/>
      <c r="D113" s="64"/>
      <c r="E113" s="64"/>
      <c r="F113" s="64"/>
    </row>
    <row r="114">
      <c r="B114" s="64"/>
      <c r="C114" s="64"/>
      <c r="D114" s="64"/>
      <c r="E114" s="64"/>
      <c r="F114" s="64"/>
    </row>
    <row r="115">
      <c r="B115" s="64"/>
      <c r="C115" s="64"/>
      <c r="D115" s="64"/>
      <c r="E115" s="64"/>
      <c r="F115" s="64"/>
    </row>
    <row r="116">
      <c r="B116" s="64"/>
      <c r="C116" s="64"/>
      <c r="D116" s="64"/>
      <c r="E116" s="64"/>
      <c r="F116" s="64"/>
    </row>
    <row r="117">
      <c r="B117" s="64"/>
      <c r="C117" s="64"/>
      <c r="D117" s="64"/>
      <c r="E117" s="64"/>
      <c r="F117" s="64"/>
    </row>
    <row r="118">
      <c r="B118" s="64"/>
      <c r="C118" s="64"/>
      <c r="D118" s="64"/>
      <c r="E118" s="64"/>
      <c r="F118" s="64"/>
    </row>
    <row r="119">
      <c r="B119" s="64"/>
      <c r="C119" s="64"/>
      <c r="D119" s="64"/>
      <c r="E119" s="64"/>
      <c r="F119" s="64"/>
    </row>
    <row r="120">
      <c r="B120" s="64"/>
      <c r="C120" s="64"/>
      <c r="D120" s="64"/>
      <c r="E120" s="64"/>
      <c r="F120" s="64"/>
    </row>
    <row r="121">
      <c r="B121" s="64"/>
      <c r="C121" s="64"/>
      <c r="D121" s="64"/>
      <c r="E121" s="64"/>
      <c r="F121" s="64"/>
    </row>
    <row r="122">
      <c r="B122" s="64"/>
      <c r="C122" s="64"/>
      <c r="D122" s="64"/>
      <c r="E122" s="64"/>
      <c r="F122" s="64"/>
    </row>
    <row r="123">
      <c r="B123" s="64"/>
      <c r="C123" s="64"/>
      <c r="D123" s="64"/>
      <c r="E123" s="64"/>
      <c r="F123" s="64"/>
    </row>
    <row r="124">
      <c r="B124" s="64"/>
      <c r="C124" s="64"/>
      <c r="D124" s="64"/>
      <c r="E124" s="64"/>
      <c r="F124" s="64"/>
    </row>
    <row r="125">
      <c r="B125" s="64"/>
      <c r="C125" s="64"/>
      <c r="D125" s="64"/>
      <c r="E125" s="64"/>
      <c r="F125" s="64"/>
    </row>
    <row r="126">
      <c r="B126" s="64"/>
      <c r="C126" s="64"/>
      <c r="D126" s="64"/>
      <c r="E126" s="64"/>
      <c r="F126" s="64"/>
    </row>
    <row r="127">
      <c r="B127" s="64"/>
      <c r="C127" s="64"/>
      <c r="D127" s="64"/>
      <c r="E127" s="64"/>
      <c r="F127" s="64"/>
    </row>
    <row r="128">
      <c r="B128" s="64"/>
      <c r="C128" s="64"/>
      <c r="D128" s="64"/>
      <c r="E128" s="64"/>
      <c r="F128" s="64"/>
    </row>
    <row r="129">
      <c r="B129" s="64"/>
      <c r="C129" s="64"/>
      <c r="D129" s="64"/>
      <c r="E129" s="64"/>
      <c r="F129" s="64"/>
    </row>
    <row r="130">
      <c r="B130" s="64"/>
      <c r="C130" s="64"/>
      <c r="D130" s="64"/>
      <c r="E130" s="64"/>
      <c r="F130" s="64"/>
    </row>
    <row r="131">
      <c r="B131" s="64"/>
      <c r="C131" s="64"/>
      <c r="D131" s="64"/>
      <c r="E131" s="64"/>
      <c r="F131" s="64"/>
    </row>
    <row r="132">
      <c r="B132" s="64"/>
      <c r="C132" s="64"/>
      <c r="D132" s="64"/>
      <c r="E132" s="64"/>
      <c r="F132" s="64"/>
    </row>
    <row r="133">
      <c r="B133" s="64"/>
      <c r="C133" s="64"/>
      <c r="D133" s="64"/>
      <c r="E133" s="64"/>
      <c r="F133" s="64"/>
    </row>
    <row r="134">
      <c r="B134" s="64"/>
      <c r="C134" s="64"/>
      <c r="D134" s="64"/>
      <c r="E134" s="64"/>
      <c r="F134" s="64"/>
    </row>
    <row r="135">
      <c r="B135" s="64"/>
      <c r="C135" s="64"/>
      <c r="D135" s="64"/>
      <c r="E135" s="64"/>
      <c r="F135" s="64"/>
    </row>
    <row r="136">
      <c r="B136" s="64"/>
      <c r="C136" s="64"/>
      <c r="D136" s="64"/>
      <c r="E136" s="64"/>
      <c r="F136" s="64"/>
    </row>
    <row r="137">
      <c r="B137" s="64"/>
      <c r="C137" s="64"/>
      <c r="D137" s="64"/>
      <c r="E137" s="64"/>
      <c r="F137" s="64"/>
    </row>
    <row r="138">
      <c r="B138" s="64"/>
      <c r="C138" s="64"/>
      <c r="D138" s="64"/>
      <c r="E138" s="64"/>
      <c r="F138" s="64"/>
    </row>
    <row r="139">
      <c r="B139" s="64"/>
      <c r="C139" s="64"/>
      <c r="D139" s="64"/>
      <c r="E139" s="64"/>
      <c r="F139" s="64"/>
    </row>
    <row r="140">
      <c r="B140" s="64"/>
      <c r="C140" s="64"/>
      <c r="D140" s="64"/>
      <c r="E140" s="64"/>
      <c r="F140" s="64"/>
    </row>
    <row r="141">
      <c r="B141" s="64"/>
      <c r="C141" s="64"/>
      <c r="D141" s="64"/>
      <c r="E141" s="64"/>
      <c r="F141" s="64"/>
    </row>
    <row r="142">
      <c r="B142" s="64"/>
      <c r="C142" s="64"/>
      <c r="D142" s="64"/>
      <c r="E142" s="64"/>
      <c r="F142" s="64"/>
    </row>
    <row r="143">
      <c r="B143" s="64"/>
      <c r="C143" s="64"/>
      <c r="D143" s="64"/>
      <c r="E143" s="64"/>
      <c r="F143" s="64"/>
    </row>
    <row r="144">
      <c r="B144" s="64"/>
      <c r="C144" s="64"/>
      <c r="D144" s="64"/>
      <c r="E144" s="64"/>
      <c r="F144" s="64"/>
    </row>
    <row r="145">
      <c r="B145" s="64"/>
      <c r="C145" s="64"/>
      <c r="D145" s="64"/>
      <c r="E145" s="64"/>
      <c r="F145" s="64"/>
    </row>
    <row r="146">
      <c r="B146" s="64"/>
      <c r="C146" s="64"/>
      <c r="D146" s="64"/>
      <c r="E146" s="64"/>
      <c r="F146" s="64"/>
    </row>
    <row r="147">
      <c r="B147" s="64"/>
      <c r="C147" s="64"/>
      <c r="D147" s="64"/>
      <c r="E147" s="64"/>
      <c r="F147" s="64"/>
    </row>
    <row r="148">
      <c r="B148" s="64"/>
      <c r="C148" s="64"/>
      <c r="D148" s="64"/>
      <c r="E148" s="64"/>
      <c r="F148" s="64"/>
    </row>
    <row r="149">
      <c r="B149" s="64"/>
      <c r="C149" s="64"/>
      <c r="D149" s="64"/>
      <c r="E149" s="64"/>
      <c r="F149" s="64"/>
    </row>
    <row r="150">
      <c r="B150" s="64"/>
      <c r="C150" s="64"/>
      <c r="D150" s="64"/>
      <c r="E150" s="64"/>
      <c r="F150" s="64"/>
    </row>
    <row r="151">
      <c r="B151" s="64"/>
      <c r="C151" s="64"/>
      <c r="D151" s="64"/>
      <c r="E151" s="64"/>
      <c r="F151" s="64"/>
    </row>
    <row r="152">
      <c r="B152" s="64"/>
      <c r="C152" s="64"/>
      <c r="D152" s="64"/>
      <c r="E152" s="64"/>
      <c r="F152" s="64"/>
    </row>
    <row r="153">
      <c r="B153" s="64"/>
      <c r="C153" s="64"/>
      <c r="D153" s="64"/>
      <c r="E153" s="64"/>
      <c r="F153" s="64"/>
    </row>
    <row r="154">
      <c r="B154" s="64"/>
      <c r="C154" s="64"/>
      <c r="D154" s="64"/>
      <c r="E154" s="64"/>
      <c r="F154" s="64"/>
    </row>
    <row r="155">
      <c r="B155" s="64"/>
      <c r="C155" s="64"/>
      <c r="D155" s="64"/>
      <c r="E155" s="64"/>
      <c r="F155" s="64"/>
    </row>
    <row r="156">
      <c r="B156" s="64"/>
      <c r="C156" s="64"/>
      <c r="D156" s="64"/>
      <c r="E156" s="64"/>
      <c r="F156" s="64"/>
    </row>
    <row r="157">
      <c r="B157" s="64"/>
      <c r="C157" s="64"/>
      <c r="D157" s="64"/>
      <c r="E157" s="64"/>
      <c r="F157" s="64"/>
    </row>
    <row r="158">
      <c r="B158" s="64"/>
      <c r="C158" s="64"/>
      <c r="D158" s="64"/>
      <c r="E158" s="64"/>
      <c r="F158" s="64"/>
    </row>
    <row r="159">
      <c r="B159" s="64"/>
      <c r="C159" s="64"/>
      <c r="D159" s="64"/>
      <c r="E159" s="64"/>
      <c r="F159" s="64"/>
    </row>
    <row r="160">
      <c r="B160" s="64"/>
      <c r="C160" s="64"/>
      <c r="D160" s="64"/>
      <c r="E160" s="64"/>
      <c r="F160" s="64"/>
    </row>
    <row r="161">
      <c r="B161" s="64"/>
      <c r="C161" s="64"/>
      <c r="D161" s="64"/>
      <c r="E161" s="64"/>
      <c r="F161" s="64"/>
    </row>
    <row r="162">
      <c r="B162" s="64"/>
      <c r="C162" s="64"/>
      <c r="D162" s="64"/>
      <c r="E162" s="64"/>
      <c r="F162" s="64"/>
    </row>
    <row r="163">
      <c r="B163" s="64"/>
      <c r="C163" s="64"/>
      <c r="D163" s="64"/>
      <c r="E163" s="64"/>
      <c r="F163" s="64"/>
    </row>
    <row r="164">
      <c r="B164" s="64"/>
      <c r="C164" s="64"/>
      <c r="D164" s="64"/>
      <c r="E164" s="64"/>
      <c r="F164" s="64"/>
    </row>
    <row r="165">
      <c r="B165" s="64"/>
      <c r="C165" s="64"/>
      <c r="D165" s="64"/>
      <c r="E165" s="64"/>
      <c r="F165" s="64"/>
    </row>
    <row r="166">
      <c r="B166" s="64"/>
      <c r="C166" s="64"/>
      <c r="D166" s="64"/>
      <c r="E166" s="64"/>
      <c r="F166" s="64"/>
    </row>
    <row r="167">
      <c r="B167" s="64"/>
      <c r="C167" s="64"/>
      <c r="D167" s="64"/>
      <c r="E167" s="64"/>
      <c r="F167" s="64"/>
    </row>
    <row r="168">
      <c r="B168" s="64"/>
      <c r="C168" s="64"/>
      <c r="D168" s="64"/>
      <c r="E168" s="64"/>
      <c r="F168" s="64"/>
    </row>
    <row r="169">
      <c r="B169" s="64"/>
      <c r="C169" s="64"/>
      <c r="D169" s="64"/>
      <c r="E169" s="64"/>
      <c r="F169" s="64"/>
    </row>
    <row r="170">
      <c r="B170" s="64"/>
      <c r="C170" s="64"/>
      <c r="D170" s="64"/>
      <c r="E170" s="64"/>
      <c r="F170" s="64"/>
    </row>
    <row r="171">
      <c r="B171" s="64"/>
      <c r="C171" s="64"/>
      <c r="D171" s="64"/>
      <c r="E171" s="64"/>
      <c r="F171" s="64"/>
    </row>
    <row r="172">
      <c r="B172" s="64"/>
      <c r="C172" s="64"/>
      <c r="D172" s="64"/>
      <c r="E172" s="64"/>
      <c r="F172" s="64"/>
    </row>
    <row r="173">
      <c r="B173" s="64"/>
      <c r="C173" s="64"/>
      <c r="D173" s="64"/>
      <c r="E173" s="64"/>
      <c r="F173" s="64"/>
    </row>
    <row r="174">
      <c r="B174" s="64"/>
      <c r="C174" s="64"/>
      <c r="D174" s="64"/>
      <c r="E174" s="64"/>
      <c r="F174" s="64"/>
    </row>
    <row r="175">
      <c r="B175" s="64"/>
      <c r="C175" s="64"/>
      <c r="D175" s="64"/>
      <c r="E175" s="64"/>
      <c r="F175" s="64"/>
    </row>
    <row r="176">
      <c r="B176" s="64"/>
      <c r="C176" s="64"/>
      <c r="D176" s="64"/>
      <c r="E176" s="64"/>
      <c r="F176" s="64"/>
    </row>
    <row r="177">
      <c r="B177" s="64"/>
      <c r="C177" s="64"/>
      <c r="D177" s="64"/>
      <c r="E177" s="64"/>
      <c r="F177" s="64"/>
    </row>
    <row r="178">
      <c r="B178" s="64"/>
      <c r="C178" s="64"/>
      <c r="D178" s="64"/>
      <c r="E178" s="64"/>
      <c r="F178" s="64"/>
    </row>
    <row r="179">
      <c r="B179" s="64"/>
      <c r="C179" s="64"/>
      <c r="D179" s="64"/>
      <c r="E179" s="64"/>
      <c r="F179" s="64"/>
    </row>
    <row r="180">
      <c r="B180" s="64"/>
      <c r="C180" s="64"/>
      <c r="D180" s="64"/>
      <c r="E180" s="64"/>
      <c r="F180" s="64"/>
    </row>
    <row r="181">
      <c r="B181" s="64"/>
      <c r="C181" s="64"/>
      <c r="D181" s="64"/>
      <c r="E181" s="64"/>
      <c r="F181" s="64"/>
    </row>
    <row r="182">
      <c r="B182" s="64"/>
      <c r="C182" s="64"/>
      <c r="D182" s="64"/>
      <c r="E182" s="64"/>
      <c r="F182" s="64"/>
    </row>
    <row r="183">
      <c r="B183" s="64"/>
      <c r="C183" s="64"/>
      <c r="D183" s="64"/>
      <c r="E183" s="64"/>
      <c r="F183" s="64"/>
    </row>
    <row r="184">
      <c r="B184" s="64"/>
      <c r="C184" s="64"/>
      <c r="D184" s="64"/>
      <c r="E184" s="64"/>
      <c r="F184" s="64"/>
    </row>
    <row r="185">
      <c r="B185" s="64"/>
      <c r="C185" s="64"/>
      <c r="D185" s="64"/>
      <c r="E185" s="64"/>
      <c r="F185" s="64"/>
    </row>
    <row r="186">
      <c r="B186" s="64"/>
      <c r="C186" s="64"/>
      <c r="D186" s="64"/>
      <c r="E186" s="64"/>
      <c r="F186" s="64"/>
    </row>
    <row r="187">
      <c r="B187" s="64"/>
      <c r="C187" s="64"/>
      <c r="D187" s="64"/>
      <c r="E187" s="64"/>
      <c r="F187" s="64"/>
    </row>
    <row r="188">
      <c r="B188" s="64"/>
      <c r="C188" s="64"/>
      <c r="D188" s="64"/>
      <c r="E188" s="64"/>
      <c r="F188" s="64"/>
    </row>
    <row r="189">
      <c r="B189" s="64"/>
      <c r="C189" s="64"/>
      <c r="D189" s="64"/>
      <c r="E189" s="64"/>
      <c r="F189" s="64"/>
    </row>
    <row r="190">
      <c r="B190" s="64"/>
      <c r="C190" s="64"/>
      <c r="D190" s="64"/>
      <c r="E190" s="64"/>
      <c r="F190" s="64"/>
    </row>
    <row r="191">
      <c r="B191" s="64"/>
      <c r="C191" s="64"/>
      <c r="D191" s="64"/>
      <c r="E191" s="64"/>
      <c r="F191" s="64"/>
    </row>
    <row r="192">
      <c r="B192" s="64"/>
      <c r="C192" s="64"/>
      <c r="D192" s="64"/>
      <c r="E192" s="64"/>
      <c r="F192" s="64"/>
    </row>
    <row r="193">
      <c r="B193" s="64"/>
      <c r="C193" s="64"/>
      <c r="D193" s="64"/>
      <c r="E193" s="64"/>
      <c r="F193" s="64"/>
    </row>
    <row r="194">
      <c r="B194" s="64"/>
      <c r="C194" s="64"/>
      <c r="D194" s="64"/>
      <c r="E194" s="64"/>
      <c r="F194" s="64"/>
    </row>
    <row r="195">
      <c r="B195" s="64"/>
      <c r="C195" s="64"/>
      <c r="D195" s="64"/>
      <c r="E195" s="64"/>
      <c r="F195" s="64"/>
    </row>
    <row r="196">
      <c r="B196" s="64"/>
      <c r="C196" s="64"/>
      <c r="D196" s="64"/>
      <c r="E196" s="64"/>
      <c r="F196" s="64"/>
    </row>
    <row r="197">
      <c r="B197" s="64"/>
      <c r="C197" s="64"/>
      <c r="D197" s="64"/>
      <c r="E197" s="64"/>
      <c r="F197" s="64"/>
    </row>
    <row r="198">
      <c r="B198" s="64"/>
      <c r="C198" s="64"/>
      <c r="D198" s="64"/>
      <c r="E198" s="64"/>
      <c r="F198" s="64"/>
    </row>
    <row r="199">
      <c r="B199" s="64"/>
      <c r="C199" s="64"/>
      <c r="D199" s="64"/>
      <c r="E199" s="64"/>
      <c r="F199" s="64"/>
    </row>
    <row r="200">
      <c r="B200" s="64"/>
      <c r="C200" s="64"/>
      <c r="D200" s="64"/>
      <c r="E200" s="64"/>
      <c r="F200" s="64"/>
    </row>
    <row r="201">
      <c r="B201" s="64"/>
      <c r="C201" s="64"/>
      <c r="D201" s="64"/>
      <c r="E201" s="64"/>
      <c r="F201" s="64"/>
    </row>
    <row r="202">
      <c r="B202" s="64"/>
      <c r="C202" s="64"/>
      <c r="D202" s="64"/>
      <c r="E202" s="64"/>
      <c r="F202" s="64"/>
    </row>
    <row r="203">
      <c r="B203" s="64"/>
      <c r="C203" s="64"/>
      <c r="D203" s="64"/>
      <c r="E203" s="64"/>
      <c r="F203" s="64"/>
    </row>
    <row r="204">
      <c r="B204" s="64"/>
      <c r="C204" s="64"/>
      <c r="D204" s="64"/>
      <c r="E204" s="64"/>
      <c r="F204" s="64"/>
    </row>
    <row r="205">
      <c r="B205" s="64"/>
      <c r="C205" s="64"/>
      <c r="D205" s="64"/>
      <c r="E205" s="64"/>
      <c r="F205" s="64"/>
    </row>
    <row r="206">
      <c r="B206" s="64"/>
      <c r="C206" s="64"/>
      <c r="D206" s="64"/>
      <c r="E206" s="64"/>
      <c r="F206" s="64"/>
    </row>
    <row r="207">
      <c r="B207" s="64"/>
      <c r="C207" s="64"/>
      <c r="D207" s="64"/>
      <c r="E207" s="64"/>
      <c r="F207" s="64"/>
    </row>
    <row r="208">
      <c r="B208" s="64"/>
      <c r="C208" s="64"/>
      <c r="D208" s="64"/>
      <c r="E208" s="64"/>
      <c r="F208" s="64"/>
    </row>
    <row r="209">
      <c r="B209" s="64"/>
      <c r="C209" s="64"/>
      <c r="D209" s="64"/>
      <c r="E209" s="64"/>
      <c r="F209" s="64"/>
    </row>
    <row r="210">
      <c r="B210" s="64"/>
      <c r="C210" s="64"/>
      <c r="D210" s="64"/>
      <c r="E210" s="64"/>
      <c r="F210" s="64"/>
    </row>
    <row r="211">
      <c r="B211" s="64"/>
      <c r="C211" s="64"/>
      <c r="D211" s="64"/>
      <c r="E211" s="64"/>
      <c r="F211" s="64"/>
    </row>
    <row r="212">
      <c r="B212" s="64"/>
      <c r="C212" s="64"/>
      <c r="D212" s="64"/>
      <c r="E212" s="64"/>
      <c r="F212" s="64"/>
    </row>
    <row r="213">
      <c r="B213" s="64"/>
      <c r="C213" s="64"/>
      <c r="D213" s="64"/>
      <c r="E213" s="64"/>
      <c r="F213" s="64"/>
    </row>
    <row r="214">
      <c r="B214" s="64"/>
      <c r="C214" s="64"/>
      <c r="D214" s="64"/>
      <c r="E214" s="64"/>
      <c r="F214" s="64"/>
    </row>
    <row r="215">
      <c r="B215" s="64"/>
      <c r="C215" s="64"/>
      <c r="D215" s="64"/>
      <c r="E215" s="64"/>
      <c r="F215" s="64"/>
    </row>
    <row r="216">
      <c r="B216" s="64"/>
      <c r="C216" s="64"/>
      <c r="D216" s="64"/>
      <c r="E216" s="64"/>
      <c r="F216" s="64"/>
    </row>
    <row r="217">
      <c r="B217" s="64"/>
      <c r="C217" s="64"/>
      <c r="D217" s="64"/>
      <c r="E217" s="64"/>
      <c r="F217" s="64"/>
    </row>
    <row r="218">
      <c r="B218" s="64"/>
      <c r="C218" s="64"/>
      <c r="D218" s="64"/>
      <c r="E218" s="64"/>
      <c r="F218" s="64"/>
    </row>
    <row r="219">
      <c r="B219" s="64"/>
      <c r="C219" s="64"/>
      <c r="D219" s="64"/>
      <c r="E219" s="64"/>
      <c r="F219" s="64"/>
    </row>
    <row r="220">
      <c r="B220" s="64"/>
      <c r="C220" s="64"/>
      <c r="D220" s="64"/>
      <c r="E220" s="64"/>
      <c r="F220" s="64"/>
    </row>
    <row r="221">
      <c r="B221" s="64"/>
      <c r="C221" s="64"/>
      <c r="D221" s="64"/>
      <c r="E221" s="64"/>
      <c r="F221" s="64"/>
    </row>
    <row r="222">
      <c r="B222" s="64"/>
      <c r="C222" s="64"/>
      <c r="D222" s="64"/>
      <c r="E222" s="64"/>
      <c r="F222" s="64"/>
    </row>
    <row r="223">
      <c r="B223" s="64"/>
      <c r="C223" s="64"/>
      <c r="D223" s="64"/>
      <c r="E223" s="64"/>
      <c r="F223" s="64"/>
    </row>
    <row r="224">
      <c r="B224" s="64"/>
      <c r="C224" s="64"/>
      <c r="D224" s="64"/>
      <c r="E224" s="64"/>
      <c r="F224" s="64"/>
    </row>
    <row r="225">
      <c r="B225" s="64"/>
      <c r="C225" s="64"/>
      <c r="D225" s="64"/>
      <c r="E225" s="64"/>
      <c r="F225" s="64"/>
    </row>
    <row r="226">
      <c r="B226" s="64"/>
      <c r="C226" s="64"/>
      <c r="D226" s="64"/>
      <c r="E226" s="64"/>
      <c r="F226" s="64"/>
    </row>
    <row r="227">
      <c r="B227" s="64"/>
      <c r="C227" s="64"/>
      <c r="D227" s="64"/>
      <c r="E227" s="64"/>
      <c r="F227" s="64"/>
    </row>
    <row r="228">
      <c r="B228" s="64"/>
      <c r="C228" s="64"/>
      <c r="D228" s="64"/>
      <c r="E228" s="64"/>
      <c r="F228" s="64"/>
    </row>
    <row r="229">
      <c r="B229" s="64"/>
      <c r="C229" s="64"/>
      <c r="D229" s="64"/>
      <c r="E229" s="64"/>
      <c r="F229" s="64"/>
    </row>
    <row r="230">
      <c r="B230" s="64"/>
      <c r="C230" s="64"/>
      <c r="D230" s="64"/>
      <c r="E230" s="64"/>
      <c r="F230" s="64"/>
    </row>
    <row r="231">
      <c r="B231" s="64"/>
      <c r="C231" s="64"/>
      <c r="D231" s="64"/>
      <c r="E231" s="64"/>
      <c r="F231" s="64"/>
    </row>
    <row r="232">
      <c r="B232" s="64"/>
      <c r="C232" s="64"/>
      <c r="D232" s="64"/>
      <c r="E232" s="64"/>
      <c r="F232" s="64"/>
    </row>
    <row r="233">
      <c r="B233" s="64"/>
      <c r="C233" s="64"/>
      <c r="D233" s="64"/>
      <c r="E233" s="64"/>
      <c r="F233" s="64"/>
    </row>
    <row r="234">
      <c r="B234" s="64"/>
      <c r="C234" s="64"/>
      <c r="D234" s="64"/>
      <c r="E234" s="64"/>
      <c r="F234" s="64"/>
    </row>
    <row r="235">
      <c r="B235" s="64"/>
      <c r="C235" s="64"/>
      <c r="D235" s="64"/>
      <c r="E235" s="64"/>
      <c r="F235" s="64"/>
    </row>
    <row r="236">
      <c r="B236" s="64"/>
      <c r="C236" s="64"/>
      <c r="D236" s="64"/>
      <c r="E236" s="64"/>
      <c r="F236" s="64"/>
    </row>
    <row r="237">
      <c r="B237" s="64"/>
      <c r="C237" s="64"/>
      <c r="D237" s="64"/>
      <c r="E237" s="64"/>
      <c r="F237" s="64"/>
    </row>
    <row r="238">
      <c r="B238" s="64"/>
      <c r="C238" s="64"/>
      <c r="D238" s="64"/>
      <c r="E238" s="64"/>
      <c r="F238" s="64"/>
    </row>
    <row r="239">
      <c r="B239" s="64"/>
      <c r="C239" s="64"/>
      <c r="D239" s="64"/>
      <c r="E239" s="64"/>
      <c r="F239" s="64"/>
    </row>
    <row r="240">
      <c r="B240" s="64"/>
      <c r="C240" s="64"/>
      <c r="D240" s="64"/>
      <c r="E240" s="64"/>
      <c r="F240" s="64"/>
    </row>
    <row r="241">
      <c r="B241" s="64"/>
      <c r="C241" s="64"/>
      <c r="D241" s="64"/>
      <c r="E241" s="64"/>
      <c r="F241" s="64"/>
    </row>
    <row r="242">
      <c r="B242" s="64"/>
      <c r="C242" s="64"/>
      <c r="D242" s="64"/>
      <c r="E242" s="64"/>
      <c r="F242" s="64"/>
    </row>
    <row r="243">
      <c r="B243" s="64"/>
      <c r="C243" s="64"/>
      <c r="D243" s="64"/>
      <c r="E243" s="64"/>
      <c r="F243" s="64"/>
    </row>
    <row r="244">
      <c r="B244" s="64"/>
      <c r="C244" s="64"/>
      <c r="D244" s="64"/>
      <c r="E244" s="64"/>
      <c r="F244" s="64"/>
    </row>
    <row r="245">
      <c r="B245" s="64"/>
      <c r="C245" s="64"/>
      <c r="D245" s="64"/>
      <c r="E245" s="64"/>
      <c r="F245" s="64"/>
    </row>
    <row r="246">
      <c r="B246" s="64"/>
      <c r="C246" s="64"/>
      <c r="D246" s="64"/>
      <c r="E246" s="64"/>
      <c r="F246" s="64"/>
    </row>
    <row r="247">
      <c r="B247" s="64"/>
      <c r="C247" s="64"/>
      <c r="D247" s="64"/>
      <c r="E247" s="64"/>
      <c r="F247" s="64"/>
    </row>
    <row r="248">
      <c r="B248" s="64"/>
      <c r="C248" s="64"/>
      <c r="D248" s="64"/>
      <c r="E248" s="64"/>
      <c r="F248" s="64"/>
    </row>
    <row r="249">
      <c r="B249" s="64"/>
      <c r="C249" s="64"/>
      <c r="D249" s="64"/>
      <c r="E249" s="64"/>
      <c r="F249" s="64"/>
    </row>
    <row r="250">
      <c r="B250" s="64"/>
      <c r="C250" s="64"/>
      <c r="D250" s="64"/>
      <c r="E250" s="64"/>
      <c r="F250" s="64"/>
    </row>
    <row r="251">
      <c r="B251" s="64"/>
      <c r="C251" s="64"/>
      <c r="D251" s="64"/>
      <c r="E251" s="64"/>
      <c r="F251" s="64"/>
    </row>
    <row r="252">
      <c r="B252" s="64"/>
      <c r="C252" s="64"/>
      <c r="D252" s="64"/>
      <c r="E252" s="64"/>
      <c r="F252" s="64"/>
    </row>
    <row r="253">
      <c r="B253" s="64"/>
      <c r="C253" s="64"/>
      <c r="D253" s="64"/>
      <c r="E253" s="64"/>
      <c r="F253" s="64"/>
    </row>
    <row r="254">
      <c r="B254" s="64"/>
      <c r="C254" s="64"/>
      <c r="D254" s="64"/>
      <c r="E254" s="64"/>
      <c r="F254" s="64"/>
    </row>
    <row r="255">
      <c r="B255" s="64"/>
      <c r="C255" s="64"/>
      <c r="D255" s="64"/>
      <c r="E255" s="64"/>
      <c r="F255" s="64"/>
    </row>
    <row r="256">
      <c r="B256" s="64"/>
      <c r="C256" s="64"/>
      <c r="D256" s="64"/>
      <c r="E256" s="64"/>
      <c r="F256" s="64"/>
    </row>
    <row r="257">
      <c r="B257" s="64"/>
      <c r="C257" s="64"/>
      <c r="D257" s="64"/>
      <c r="E257" s="64"/>
      <c r="F257" s="64"/>
    </row>
    <row r="258">
      <c r="B258" s="64"/>
      <c r="C258" s="64"/>
      <c r="D258" s="64"/>
      <c r="E258" s="64"/>
      <c r="F258" s="64"/>
    </row>
    <row r="259">
      <c r="B259" s="64"/>
      <c r="C259" s="64"/>
      <c r="D259" s="64"/>
      <c r="E259" s="64"/>
      <c r="F259" s="64"/>
    </row>
    <row r="260">
      <c r="B260" s="64"/>
      <c r="C260" s="64"/>
      <c r="D260" s="64"/>
      <c r="E260" s="64"/>
      <c r="F260" s="64"/>
    </row>
    <row r="261">
      <c r="B261" s="64"/>
      <c r="C261" s="64"/>
      <c r="D261" s="64"/>
      <c r="E261" s="64"/>
      <c r="F261" s="64"/>
    </row>
    <row r="262">
      <c r="B262" s="64"/>
      <c r="C262" s="64"/>
      <c r="D262" s="64"/>
      <c r="E262" s="64"/>
      <c r="F262" s="64"/>
    </row>
    <row r="263">
      <c r="B263" s="64"/>
      <c r="C263" s="64"/>
      <c r="D263" s="64"/>
      <c r="E263" s="64"/>
      <c r="F263" s="64"/>
    </row>
    <row r="264">
      <c r="B264" s="64"/>
      <c r="C264" s="64"/>
      <c r="D264" s="64"/>
      <c r="E264" s="64"/>
      <c r="F264" s="64"/>
    </row>
    <row r="265">
      <c r="B265" s="64"/>
      <c r="C265" s="64"/>
      <c r="D265" s="64"/>
      <c r="E265" s="64"/>
      <c r="F265" s="64"/>
    </row>
    <row r="266">
      <c r="B266" s="64"/>
      <c r="C266" s="64"/>
      <c r="D266" s="64"/>
      <c r="E266" s="64"/>
      <c r="F266" s="64"/>
    </row>
    <row r="267">
      <c r="B267" s="64"/>
      <c r="C267" s="64"/>
      <c r="D267" s="64"/>
      <c r="E267" s="64"/>
      <c r="F267" s="64"/>
    </row>
    <row r="268">
      <c r="B268" s="64"/>
      <c r="C268" s="64"/>
      <c r="D268" s="64"/>
      <c r="E268" s="64"/>
      <c r="F268" s="64"/>
    </row>
    <row r="269">
      <c r="B269" s="64"/>
      <c r="C269" s="64"/>
      <c r="D269" s="64"/>
      <c r="E269" s="64"/>
      <c r="F269" s="64"/>
    </row>
    <row r="270">
      <c r="B270" s="64"/>
      <c r="C270" s="64"/>
      <c r="D270" s="64"/>
      <c r="E270" s="64"/>
      <c r="F270" s="64"/>
    </row>
    <row r="271">
      <c r="B271" s="64"/>
      <c r="C271" s="64"/>
      <c r="D271" s="64"/>
      <c r="E271" s="64"/>
      <c r="F271" s="64"/>
    </row>
    <row r="272">
      <c r="B272" s="64"/>
      <c r="C272" s="64"/>
      <c r="D272" s="64"/>
      <c r="E272" s="64"/>
      <c r="F272" s="64"/>
    </row>
    <row r="273">
      <c r="B273" s="64"/>
      <c r="C273" s="64"/>
      <c r="D273" s="64"/>
      <c r="E273" s="64"/>
      <c r="F273" s="64"/>
    </row>
    <row r="274">
      <c r="B274" s="64"/>
      <c r="C274" s="64"/>
      <c r="D274" s="64"/>
      <c r="E274" s="64"/>
      <c r="F274" s="64"/>
    </row>
    <row r="275">
      <c r="B275" s="64"/>
      <c r="C275" s="64"/>
      <c r="D275" s="64"/>
      <c r="E275" s="64"/>
      <c r="F275" s="64"/>
    </row>
    <row r="276">
      <c r="B276" s="64"/>
      <c r="C276" s="64"/>
      <c r="D276" s="64"/>
      <c r="E276" s="64"/>
      <c r="F276" s="64"/>
    </row>
    <row r="277">
      <c r="B277" s="64"/>
      <c r="C277" s="64"/>
      <c r="D277" s="64"/>
      <c r="E277" s="64"/>
      <c r="F277" s="64"/>
    </row>
    <row r="278">
      <c r="B278" s="64"/>
      <c r="C278" s="64"/>
      <c r="D278" s="64"/>
      <c r="E278" s="64"/>
      <c r="F278" s="64"/>
    </row>
    <row r="279">
      <c r="B279" s="64"/>
      <c r="C279" s="64"/>
      <c r="D279" s="64"/>
      <c r="E279" s="64"/>
      <c r="F279" s="64"/>
    </row>
    <row r="280">
      <c r="B280" s="64"/>
      <c r="C280" s="64"/>
      <c r="D280" s="64"/>
      <c r="E280" s="64"/>
      <c r="F280" s="64"/>
    </row>
    <row r="281">
      <c r="B281" s="64"/>
      <c r="C281" s="64"/>
      <c r="D281" s="64"/>
      <c r="E281" s="64"/>
      <c r="F281" s="64"/>
    </row>
    <row r="282">
      <c r="B282" s="64"/>
      <c r="C282" s="64"/>
      <c r="D282" s="64"/>
      <c r="E282" s="64"/>
      <c r="F282" s="64"/>
    </row>
    <row r="283">
      <c r="B283" s="64"/>
      <c r="C283" s="64"/>
      <c r="D283" s="64"/>
      <c r="E283" s="64"/>
      <c r="F283" s="64"/>
    </row>
    <row r="284">
      <c r="B284" s="64"/>
      <c r="C284" s="64"/>
      <c r="D284" s="64"/>
      <c r="E284" s="64"/>
      <c r="F284" s="64"/>
    </row>
    <row r="285">
      <c r="B285" s="64"/>
      <c r="C285" s="64"/>
      <c r="D285" s="64"/>
      <c r="E285" s="64"/>
      <c r="F285" s="64"/>
    </row>
    <row r="286">
      <c r="B286" s="64"/>
      <c r="C286" s="64"/>
      <c r="D286" s="64"/>
      <c r="E286" s="64"/>
      <c r="F286" s="64"/>
    </row>
    <row r="287">
      <c r="B287" s="64"/>
      <c r="C287" s="64"/>
      <c r="D287" s="64"/>
      <c r="E287" s="64"/>
      <c r="F287" s="64"/>
    </row>
    <row r="288">
      <c r="B288" s="64"/>
      <c r="C288" s="64"/>
      <c r="D288" s="64"/>
      <c r="E288" s="64"/>
      <c r="F288" s="64"/>
    </row>
    <row r="289">
      <c r="B289" s="64"/>
      <c r="C289" s="64"/>
      <c r="D289" s="64"/>
      <c r="E289" s="64"/>
      <c r="F289" s="64"/>
    </row>
    <row r="290">
      <c r="B290" s="64"/>
      <c r="C290" s="64"/>
      <c r="D290" s="64"/>
      <c r="E290" s="64"/>
      <c r="F290" s="64"/>
    </row>
    <row r="291">
      <c r="B291" s="64"/>
      <c r="C291" s="64"/>
      <c r="D291" s="64"/>
      <c r="E291" s="64"/>
      <c r="F291" s="64"/>
    </row>
    <row r="292">
      <c r="B292" s="64"/>
      <c r="C292" s="64"/>
      <c r="D292" s="64"/>
      <c r="E292" s="64"/>
      <c r="F292" s="64"/>
    </row>
    <row r="293">
      <c r="B293" s="64"/>
      <c r="C293" s="64"/>
      <c r="D293" s="64"/>
      <c r="E293" s="64"/>
      <c r="F293" s="64"/>
    </row>
    <row r="294">
      <c r="B294" s="64"/>
      <c r="C294" s="64"/>
      <c r="D294" s="64"/>
      <c r="E294" s="64"/>
      <c r="F294" s="64"/>
    </row>
    <row r="295">
      <c r="B295" s="64"/>
      <c r="C295" s="64"/>
      <c r="D295" s="64"/>
      <c r="E295" s="64"/>
      <c r="F295" s="64"/>
    </row>
    <row r="296">
      <c r="B296" s="64"/>
      <c r="C296" s="64"/>
      <c r="D296" s="64"/>
      <c r="E296" s="64"/>
      <c r="F296" s="64"/>
    </row>
    <row r="297">
      <c r="B297" s="64"/>
      <c r="C297" s="64"/>
      <c r="D297" s="64"/>
      <c r="E297" s="64"/>
      <c r="F297" s="64"/>
    </row>
    <row r="298">
      <c r="B298" s="64"/>
      <c r="C298" s="64"/>
      <c r="D298" s="64"/>
      <c r="E298" s="64"/>
      <c r="F298" s="64"/>
    </row>
    <row r="299">
      <c r="B299" s="64"/>
      <c r="C299" s="64"/>
      <c r="D299" s="64"/>
      <c r="E299" s="64"/>
      <c r="F299" s="64"/>
    </row>
    <row r="300">
      <c r="B300" s="64"/>
      <c r="C300" s="64"/>
      <c r="D300" s="64"/>
      <c r="E300" s="64"/>
      <c r="F300" s="64"/>
    </row>
    <row r="301">
      <c r="B301" s="64"/>
      <c r="C301" s="64"/>
      <c r="D301" s="64"/>
      <c r="E301" s="64"/>
      <c r="F301" s="64"/>
    </row>
    <row r="302">
      <c r="B302" s="64"/>
      <c r="C302" s="64"/>
      <c r="D302" s="64"/>
      <c r="E302" s="64"/>
      <c r="F302" s="64"/>
    </row>
    <row r="303">
      <c r="B303" s="64"/>
      <c r="C303" s="64"/>
      <c r="D303" s="64"/>
      <c r="E303" s="64"/>
      <c r="F303" s="64"/>
    </row>
    <row r="304">
      <c r="B304" s="64"/>
      <c r="C304" s="64"/>
      <c r="D304" s="64"/>
      <c r="E304" s="64"/>
      <c r="F304" s="64"/>
    </row>
    <row r="305">
      <c r="B305" s="64"/>
      <c r="C305" s="64"/>
      <c r="D305" s="64"/>
      <c r="E305" s="64"/>
      <c r="F305" s="64"/>
    </row>
    <row r="306">
      <c r="B306" s="64"/>
      <c r="C306" s="64"/>
      <c r="D306" s="64"/>
      <c r="E306" s="64"/>
      <c r="F306" s="64"/>
    </row>
    <row r="307">
      <c r="B307" s="64"/>
      <c r="C307" s="64"/>
      <c r="D307" s="64"/>
      <c r="E307" s="64"/>
      <c r="F307" s="64"/>
    </row>
    <row r="308">
      <c r="B308" s="64"/>
      <c r="C308" s="64"/>
      <c r="D308" s="64"/>
      <c r="E308" s="64"/>
      <c r="F308" s="64"/>
    </row>
    <row r="309">
      <c r="B309" s="64"/>
      <c r="C309" s="64"/>
      <c r="D309" s="64"/>
      <c r="E309" s="64"/>
      <c r="F309" s="64"/>
    </row>
    <row r="310">
      <c r="B310" s="64"/>
      <c r="C310" s="64"/>
      <c r="D310" s="64"/>
      <c r="E310" s="64"/>
      <c r="F310" s="64"/>
    </row>
    <row r="311">
      <c r="B311" s="64"/>
      <c r="C311" s="64"/>
      <c r="D311" s="64"/>
      <c r="E311" s="64"/>
      <c r="F311" s="64"/>
    </row>
    <row r="312">
      <c r="B312" s="64"/>
      <c r="C312" s="64"/>
      <c r="D312" s="64"/>
      <c r="E312" s="64"/>
      <c r="F312" s="64"/>
    </row>
    <row r="313">
      <c r="B313" s="64"/>
      <c r="C313" s="64"/>
      <c r="D313" s="64"/>
      <c r="E313" s="64"/>
      <c r="F313" s="64"/>
    </row>
    <row r="314">
      <c r="B314" s="64"/>
      <c r="C314" s="64"/>
      <c r="D314" s="64"/>
      <c r="E314" s="64"/>
      <c r="F314" s="64"/>
    </row>
    <row r="315">
      <c r="B315" s="64"/>
      <c r="C315" s="64"/>
      <c r="D315" s="64"/>
      <c r="E315" s="64"/>
      <c r="F315" s="64"/>
    </row>
    <row r="316">
      <c r="B316" s="64"/>
      <c r="C316" s="64"/>
      <c r="D316" s="64"/>
      <c r="E316" s="64"/>
      <c r="F316" s="64"/>
    </row>
    <row r="317">
      <c r="B317" s="64"/>
      <c r="C317" s="64"/>
      <c r="D317" s="64"/>
      <c r="E317" s="64"/>
      <c r="F317" s="64"/>
    </row>
    <row r="318">
      <c r="B318" s="64"/>
      <c r="C318" s="64"/>
      <c r="D318" s="64"/>
      <c r="E318" s="64"/>
      <c r="F318" s="64"/>
    </row>
    <row r="319">
      <c r="B319" s="64"/>
      <c r="C319" s="64"/>
      <c r="D319" s="64"/>
      <c r="E319" s="64"/>
      <c r="F319" s="64"/>
    </row>
    <row r="320">
      <c r="B320" s="64"/>
      <c r="C320" s="64"/>
      <c r="D320" s="64"/>
      <c r="E320" s="64"/>
      <c r="F320" s="64"/>
    </row>
    <row r="321">
      <c r="B321" s="64"/>
      <c r="C321" s="64"/>
      <c r="D321" s="64"/>
      <c r="E321" s="64"/>
      <c r="F321" s="64"/>
    </row>
    <row r="322">
      <c r="B322" s="64"/>
      <c r="C322" s="64"/>
      <c r="D322" s="64"/>
      <c r="E322" s="64"/>
      <c r="F322" s="64"/>
    </row>
    <row r="323">
      <c r="B323" s="64"/>
      <c r="C323" s="64"/>
      <c r="D323" s="64"/>
      <c r="E323" s="64"/>
      <c r="F323" s="64"/>
    </row>
    <row r="324">
      <c r="B324" s="64"/>
      <c r="C324" s="64"/>
      <c r="D324" s="64"/>
      <c r="E324" s="64"/>
      <c r="F324" s="64"/>
    </row>
    <row r="325">
      <c r="B325" s="64"/>
      <c r="C325" s="64"/>
      <c r="D325" s="64"/>
      <c r="E325" s="64"/>
      <c r="F325" s="64"/>
    </row>
    <row r="326">
      <c r="B326" s="64"/>
      <c r="C326" s="64"/>
      <c r="D326" s="64"/>
      <c r="E326" s="64"/>
      <c r="F326" s="64"/>
    </row>
    <row r="327">
      <c r="B327" s="64"/>
      <c r="C327" s="64"/>
      <c r="D327" s="64"/>
      <c r="E327" s="64"/>
      <c r="F327" s="64"/>
    </row>
    <row r="328">
      <c r="B328" s="64"/>
      <c r="C328" s="64"/>
      <c r="D328" s="64"/>
      <c r="E328" s="64"/>
      <c r="F328" s="64"/>
    </row>
    <row r="329">
      <c r="B329" s="64"/>
      <c r="C329" s="64"/>
      <c r="D329" s="64"/>
      <c r="E329" s="64"/>
      <c r="F329" s="64"/>
    </row>
    <row r="330">
      <c r="B330" s="64"/>
      <c r="C330" s="64"/>
      <c r="D330" s="64"/>
      <c r="E330" s="64"/>
      <c r="F330" s="64"/>
    </row>
    <row r="331">
      <c r="B331" s="64"/>
      <c r="C331" s="64"/>
      <c r="D331" s="64"/>
      <c r="E331" s="64"/>
      <c r="F331" s="64"/>
    </row>
    <row r="332">
      <c r="B332" s="64"/>
      <c r="C332" s="64"/>
      <c r="D332" s="64"/>
      <c r="E332" s="64"/>
      <c r="F332" s="64"/>
    </row>
    <row r="333">
      <c r="B333" s="64"/>
      <c r="C333" s="64"/>
      <c r="D333" s="64"/>
      <c r="E333" s="64"/>
      <c r="F333" s="64"/>
    </row>
    <row r="334">
      <c r="B334" s="64"/>
      <c r="C334" s="64"/>
      <c r="D334" s="64"/>
      <c r="E334" s="64"/>
      <c r="F334" s="64"/>
    </row>
    <row r="335">
      <c r="B335" s="64"/>
      <c r="C335" s="64"/>
      <c r="D335" s="64"/>
      <c r="E335" s="64"/>
      <c r="F335" s="64"/>
    </row>
    <row r="336">
      <c r="B336" s="64"/>
      <c r="C336" s="64"/>
      <c r="D336" s="64"/>
      <c r="E336" s="64"/>
      <c r="F336" s="64"/>
    </row>
    <row r="337">
      <c r="B337" s="64"/>
      <c r="C337" s="64"/>
      <c r="D337" s="64"/>
      <c r="E337" s="64"/>
      <c r="F337" s="64"/>
    </row>
    <row r="338">
      <c r="B338" s="64"/>
      <c r="C338" s="64"/>
      <c r="D338" s="64"/>
      <c r="E338" s="64"/>
      <c r="F338" s="64"/>
    </row>
    <row r="339">
      <c r="B339" s="64"/>
      <c r="C339" s="64"/>
      <c r="D339" s="64"/>
      <c r="E339" s="64"/>
      <c r="F339" s="64"/>
    </row>
    <row r="340">
      <c r="B340" s="64"/>
      <c r="C340" s="64"/>
      <c r="D340" s="64"/>
      <c r="E340" s="64"/>
      <c r="F340" s="64"/>
    </row>
    <row r="341">
      <c r="B341" s="64"/>
      <c r="C341" s="64"/>
      <c r="D341" s="64"/>
      <c r="E341" s="64"/>
      <c r="F341" s="64"/>
    </row>
    <row r="342">
      <c r="B342" s="64"/>
      <c r="C342" s="64"/>
      <c r="D342" s="64"/>
      <c r="E342" s="64"/>
      <c r="F342" s="64"/>
    </row>
    <row r="343">
      <c r="B343" s="64"/>
      <c r="C343" s="64"/>
      <c r="D343" s="64"/>
      <c r="E343" s="64"/>
      <c r="F343" s="64"/>
    </row>
    <row r="344">
      <c r="B344" s="64"/>
      <c r="C344" s="64"/>
      <c r="D344" s="64"/>
      <c r="E344" s="64"/>
      <c r="F344" s="64"/>
    </row>
    <row r="345">
      <c r="B345" s="64"/>
      <c r="C345" s="64"/>
      <c r="D345" s="64"/>
      <c r="E345" s="64"/>
      <c r="F345" s="64"/>
    </row>
    <row r="346">
      <c r="B346" s="64"/>
      <c r="C346" s="64"/>
      <c r="D346" s="64"/>
      <c r="E346" s="64"/>
      <c r="F346" s="64"/>
    </row>
    <row r="347">
      <c r="B347" s="64"/>
      <c r="C347" s="64"/>
      <c r="D347" s="64"/>
      <c r="E347" s="64"/>
      <c r="F347" s="64"/>
    </row>
    <row r="348">
      <c r="B348" s="64"/>
      <c r="C348" s="64"/>
      <c r="D348" s="64"/>
      <c r="E348" s="64"/>
      <c r="F348" s="64"/>
    </row>
    <row r="349">
      <c r="B349" s="64"/>
      <c r="C349" s="64"/>
      <c r="D349" s="64"/>
      <c r="E349" s="64"/>
      <c r="F349" s="64"/>
    </row>
    <row r="350">
      <c r="B350" s="64"/>
      <c r="C350" s="64"/>
      <c r="D350" s="64"/>
      <c r="E350" s="64"/>
      <c r="F350" s="64"/>
    </row>
    <row r="351">
      <c r="B351" s="64"/>
      <c r="C351" s="64"/>
      <c r="D351" s="64"/>
      <c r="E351" s="64"/>
      <c r="F351" s="64"/>
    </row>
    <row r="352">
      <c r="B352" s="64"/>
      <c r="C352" s="64"/>
      <c r="D352" s="64"/>
      <c r="E352" s="64"/>
      <c r="F352" s="64"/>
    </row>
    <row r="353">
      <c r="B353" s="64"/>
      <c r="C353" s="64"/>
      <c r="D353" s="64"/>
      <c r="E353" s="64"/>
      <c r="F353" s="64"/>
    </row>
    <row r="354">
      <c r="B354" s="64"/>
      <c r="C354" s="64"/>
      <c r="D354" s="64"/>
      <c r="E354" s="64"/>
      <c r="F354" s="64"/>
    </row>
    <row r="355">
      <c r="B355" s="64"/>
      <c r="C355" s="64"/>
      <c r="D355" s="64"/>
      <c r="E355" s="64"/>
      <c r="F355" s="64"/>
    </row>
    <row r="356">
      <c r="B356" s="64"/>
      <c r="C356" s="64"/>
      <c r="D356" s="64"/>
      <c r="E356" s="64"/>
      <c r="F356" s="64"/>
    </row>
    <row r="357">
      <c r="B357" s="64"/>
      <c r="C357" s="64"/>
      <c r="D357" s="64"/>
      <c r="E357" s="64"/>
      <c r="F357" s="64"/>
    </row>
    <row r="358">
      <c r="B358" s="64"/>
      <c r="C358" s="64"/>
      <c r="D358" s="64"/>
      <c r="E358" s="64"/>
      <c r="F358" s="64"/>
    </row>
    <row r="359">
      <c r="B359" s="64"/>
      <c r="C359" s="64"/>
      <c r="D359" s="64"/>
      <c r="E359" s="64"/>
      <c r="F359" s="64"/>
    </row>
    <row r="360">
      <c r="B360" s="64"/>
      <c r="C360" s="64"/>
      <c r="D360" s="64"/>
      <c r="E360" s="64"/>
      <c r="F360" s="64"/>
    </row>
    <row r="361">
      <c r="B361" s="64"/>
      <c r="C361" s="64"/>
      <c r="D361" s="64"/>
      <c r="E361" s="64"/>
      <c r="F361" s="64"/>
    </row>
    <row r="362">
      <c r="B362" s="64"/>
      <c r="C362" s="64"/>
      <c r="D362" s="64"/>
      <c r="E362" s="64"/>
      <c r="F362" s="64"/>
    </row>
    <row r="363">
      <c r="B363" s="64"/>
      <c r="C363" s="64"/>
      <c r="D363" s="64"/>
      <c r="E363" s="64"/>
      <c r="F363" s="64"/>
    </row>
    <row r="364">
      <c r="B364" s="64"/>
      <c r="C364" s="64"/>
      <c r="D364" s="64"/>
      <c r="E364" s="64"/>
      <c r="F364" s="64"/>
    </row>
    <row r="365">
      <c r="B365" s="64"/>
      <c r="C365" s="64"/>
      <c r="D365" s="64"/>
      <c r="E365" s="64"/>
      <c r="F365" s="64"/>
    </row>
    <row r="366">
      <c r="B366" s="64"/>
      <c r="C366" s="64"/>
      <c r="D366" s="64"/>
      <c r="E366" s="64"/>
      <c r="F366" s="64"/>
    </row>
    <row r="367">
      <c r="B367" s="64"/>
      <c r="C367" s="64"/>
      <c r="D367" s="64"/>
      <c r="E367" s="64"/>
      <c r="F367" s="64"/>
    </row>
    <row r="368">
      <c r="B368" s="64"/>
      <c r="C368" s="64"/>
      <c r="D368" s="64"/>
      <c r="E368" s="64"/>
      <c r="F368" s="64"/>
    </row>
    <row r="369">
      <c r="B369" s="64"/>
      <c r="C369" s="64"/>
      <c r="D369" s="64"/>
      <c r="E369" s="64"/>
      <c r="F369" s="64"/>
    </row>
    <row r="370">
      <c r="B370" s="64"/>
      <c r="C370" s="64"/>
      <c r="D370" s="64"/>
      <c r="E370" s="64"/>
      <c r="F370" s="64"/>
    </row>
    <row r="371">
      <c r="B371" s="64"/>
      <c r="C371" s="64"/>
      <c r="D371" s="64"/>
      <c r="E371" s="64"/>
      <c r="F371" s="64"/>
    </row>
    <row r="372">
      <c r="B372" s="64"/>
      <c r="C372" s="64"/>
      <c r="D372" s="64"/>
      <c r="E372" s="64"/>
      <c r="F372" s="64"/>
    </row>
    <row r="373">
      <c r="B373" s="64"/>
      <c r="C373" s="64"/>
      <c r="D373" s="64"/>
      <c r="E373" s="64"/>
      <c r="F373" s="64"/>
    </row>
    <row r="374">
      <c r="B374" s="64"/>
      <c r="C374" s="64"/>
      <c r="D374" s="64"/>
      <c r="E374" s="64"/>
      <c r="F374" s="64"/>
    </row>
    <row r="375">
      <c r="B375" s="64"/>
      <c r="C375" s="64"/>
      <c r="D375" s="64"/>
      <c r="E375" s="64"/>
      <c r="F375" s="64"/>
    </row>
    <row r="376">
      <c r="B376" s="64"/>
      <c r="C376" s="64"/>
      <c r="D376" s="64"/>
      <c r="E376" s="64"/>
      <c r="F376" s="64"/>
    </row>
    <row r="377">
      <c r="B377" s="64"/>
      <c r="C377" s="64"/>
      <c r="D377" s="64"/>
      <c r="E377" s="64"/>
      <c r="F377" s="64"/>
    </row>
    <row r="378">
      <c r="B378" s="64"/>
      <c r="C378" s="64"/>
      <c r="D378" s="64"/>
      <c r="E378" s="64"/>
      <c r="F378" s="64"/>
    </row>
    <row r="379">
      <c r="B379" s="64"/>
      <c r="C379" s="64"/>
      <c r="D379" s="64"/>
      <c r="E379" s="64"/>
      <c r="F379" s="64"/>
    </row>
    <row r="380">
      <c r="B380" s="64"/>
      <c r="C380" s="64"/>
      <c r="D380" s="64"/>
      <c r="E380" s="64"/>
      <c r="F380" s="64"/>
    </row>
    <row r="381">
      <c r="B381" s="64"/>
      <c r="C381" s="64"/>
      <c r="D381" s="64"/>
      <c r="E381" s="64"/>
      <c r="F381" s="64"/>
    </row>
    <row r="382">
      <c r="B382" s="64"/>
      <c r="C382" s="64"/>
      <c r="D382" s="64"/>
      <c r="E382" s="64"/>
      <c r="F382" s="64"/>
    </row>
    <row r="383">
      <c r="B383" s="64"/>
      <c r="C383" s="64"/>
      <c r="D383" s="64"/>
      <c r="E383" s="64"/>
      <c r="F383" s="64"/>
    </row>
    <row r="384">
      <c r="B384" s="64"/>
      <c r="C384" s="64"/>
      <c r="D384" s="64"/>
      <c r="E384" s="64"/>
      <c r="F384" s="64"/>
    </row>
    <row r="385">
      <c r="B385" s="64"/>
      <c r="C385" s="64"/>
      <c r="D385" s="64"/>
      <c r="E385" s="64"/>
      <c r="F385" s="64"/>
    </row>
    <row r="386">
      <c r="B386" s="64"/>
      <c r="C386" s="64"/>
      <c r="D386" s="64"/>
      <c r="E386" s="64"/>
      <c r="F386" s="64"/>
    </row>
    <row r="387">
      <c r="B387" s="64"/>
      <c r="C387" s="64"/>
      <c r="D387" s="64"/>
      <c r="E387" s="64"/>
      <c r="F387" s="64"/>
    </row>
    <row r="388">
      <c r="B388" s="64"/>
      <c r="C388" s="64"/>
      <c r="D388" s="64"/>
      <c r="E388" s="64"/>
      <c r="F388" s="64"/>
    </row>
    <row r="389">
      <c r="B389" s="64"/>
      <c r="C389" s="64"/>
      <c r="D389" s="64"/>
      <c r="E389" s="64"/>
      <c r="F389" s="64"/>
    </row>
    <row r="390">
      <c r="B390" s="64"/>
      <c r="C390" s="64"/>
      <c r="D390" s="64"/>
      <c r="E390" s="64"/>
      <c r="F390" s="64"/>
    </row>
    <row r="391">
      <c r="B391" s="64"/>
      <c r="C391" s="64"/>
      <c r="D391" s="64"/>
      <c r="E391" s="64"/>
      <c r="F391" s="64"/>
    </row>
    <row r="392">
      <c r="B392" s="64"/>
      <c r="C392" s="64"/>
      <c r="D392" s="64"/>
      <c r="E392" s="64"/>
      <c r="F392" s="64"/>
    </row>
    <row r="393">
      <c r="B393" s="64"/>
      <c r="C393" s="64"/>
      <c r="D393" s="64"/>
      <c r="E393" s="64"/>
      <c r="F393" s="64"/>
    </row>
    <row r="394">
      <c r="B394" s="64"/>
      <c r="C394" s="64"/>
      <c r="D394" s="64"/>
      <c r="E394" s="64"/>
      <c r="F394" s="64"/>
    </row>
    <row r="395">
      <c r="B395" s="64"/>
      <c r="C395" s="64"/>
      <c r="D395" s="64"/>
      <c r="E395" s="64"/>
      <c r="F395" s="64"/>
    </row>
    <row r="396">
      <c r="B396" s="64"/>
      <c r="C396" s="64"/>
      <c r="D396" s="64"/>
      <c r="E396" s="64"/>
      <c r="F396" s="64"/>
    </row>
    <row r="397">
      <c r="B397" s="64"/>
      <c r="C397" s="64"/>
      <c r="D397" s="64"/>
      <c r="E397" s="64"/>
      <c r="F397" s="64"/>
    </row>
    <row r="398">
      <c r="B398" s="64"/>
      <c r="C398" s="64"/>
      <c r="D398" s="64"/>
      <c r="E398" s="64"/>
      <c r="F398" s="64"/>
    </row>
    <row r="399">
      <c r="B399" s="64"/>
      <c r="C399" s="64"/>
      <c r="D399" s="64"/>
      <c r="E399" s="64"/>
      <c r="F399" s="64"/>
    </row>
    <row r="400">
      <c r="B400" s="64"/>
      <c r="C400" s="64"/>
      <c r="D400" s="64"/>
      <c r="E400" s="64"/>
      <c r="F400" s="64"/>
    </row>
    <row r="401">
      <c r="B401" s="64"/>
      <c r="C401" s="64"/>
      <c r="D401" s="64"/>
      <c r="E401" s="64"/>
      <c r="F401" s="64"/>
    </row>
    <row r="402">
      <c r="B402" s="64"/>
      <c r="C402" s="64"/>
      <c r="D402" s="64"/>
      <c r="E402" s="64"/>
      <c r="F402" s="64"/>
    </row>
    <row r="403">
      <c r="B403" s="64"/>
      <c r="C403" s="64"/>
      <c r="D403" s="64"/>
      <c r="E403" s="64"/>
      <c r="F403" s="64"/>
    </row>
    <row r="404">
      <c r="B404" s="64"/>
      <c r="C404" s="64"/>
      <c r="D404" s="64"/>
      <c r="E404" s="64"/>
      <c r="F404" s="64"/>
    </row>
    <row r="405">
      <c r="B405" s="64"/>
      <c r="C405" s="64"/>
      <c r="D405" s="64"/>
      <c r="E405" s="64"/>
      <c r="F405" s="64"/>
    </row>
    <row r="406">
      <c r="B406" s="64"/>
      <c r="C406" s="64"/>
      <c r="D406" s="64"/>
      <c r="E406" s="64"/>
      <c r="F406" s="64"/>
    </row>
    <row r="407">
      <c r="B407" s="64"/>
      <c r="C407" s="64"/>
      <c r="D407" s="64"/>
      <c r="E407" s="64"/>
      <c r="F407" s="64"/>
    </row>
    <row r="408">
      <c r="B408" s="64"/>
      <c r="C408" s="64"/>
      <c r="D408" s="64"/>
      <c r="E408" s="64"/>
      <c r="F408" s="64"/>
    </row>
    <row r="409">
      <c r="B409" s="64"/>
      <c r="C409" s="64"/>
      <c r="D409" s="64"/>
      <c r="E409" s="64"/>
      <c r="F409" s="64"/>
    </row>
    <row r="410">
      <c r="B410" s="64"/>
      <c r="C410" s="64"/>
      <c r="D410" s="64"/>
      <c r="E410" s="64"/>
      <c r="F410" s="64"/>
    </row>
    <row r="411">
      <c r="B411" s="64"/>
      <c r="C411" s="64"/>
      <c r="D411" s="64"/>
      <c r="E411" s="64"/>
      <c r="F411" s="64"/>
    </row>
    <row r="412">
      <c r="B412" s="64"/>
      <c r="C412" s="64"/>
      <c r="D412" s="64"/>
      <c r="E412" s="64"/>
      <c r="F412" s="64"/>
    </row>
    <row r="413">
      <c r="B413" s="64"/>
      <c r="C413" s="64"/>
      <c r="D413" s="64"/>
      <c r="E413" s="64"/>
      <c r="F413" s="64"/>
    </row>
    <row r="414">
      <c r="B414" s="64"/>
      <c r="C414" s="64"/>
      <c r="D414" s="64"/>
      <c r="E414" s="64"/>
      <c r="F414" s="64"/>
    </row>
    <row r="415">
      <c r="B415" s="64"/>
      <c r="C415" s="64"/>
      <c r="D415" s="64"/>
      <c r="E415" s="64"/>
      <c r="F415" s="64"/>
    </row>
    <row r="416">
      <c r="B416" s="64"/>
      <c r="C416" s="64"/>
      <c r="D416" s="64"/>
      <c r="E416" s="64"/>
      <c r="F416" s="64"/>
    </row>
    <row r="417">
      <c r="B417" s="64"/>
      <c r="C417" s="64"/>
      <c r="D417" s="64"/>
      <c r="E417" s="64"/>
      <c r="F417" s="64"/>
    </row>
    <row r="418">
      <c r="B418" s="64"/>
      <c r="C418" s="64"/>
      <c r="D418" s="64"/>
      <c r="E418" s="64"/>
      <c r="F418" s="64"/>
    </row>
    <row r="419">
      <c r="B419" s="64"/>
      <c r="C419" s="64"/>
      <c r="D419" s="64"/>
      <c r="E419" s="64"/>
      <c r="F419" s="64"/>
    </row>
    <row r="420">
      <c r="B420" s="64"/>
      <c r="C420" s="64"/>
      <c r="D420" s="64"/>
      <c r="E420" s="64"/>
      <c r="F420" s="64"/>
    </row>
    <row r="421">
      <c r="B421" s="64"/>
      <c r="C421" s="64"/>
      <c r="D421" s="64"/>
      <c r="E421" s="64"/>
      <c r="F421" s="64"/>
    </row>
    <row r="422">
      <c r="B422" s="64"/>
      <c r="C422" s="64"/>
      <c r="D422" s="64"/>
      <c r="E422" s="64"/>
      <c r="F422" s="64"/>
    </row>
    <row r="423">
      <c r="B423" s="64"/>
      <c r="C423" s="64"/>
      <c r="D423" s="64"/>
      <c r="E423" s="64"/>
      <c r="F423" s="64"/>
    </row>
    <row r="424">
      <c r="B424" s="64"/>
      <c r="C424" s="64"/>
      <c r="D424" s="64"/>
      <c r="E424" s="64"/>
      <c r="F424" s="64"/>
    </row>
    <row r="425">
      <c r="B425" s="64"/>
      <c r="C425" s="64"/>
      <c r="D425" s="64"/>
      <c r="E425" s="64"/>
      <c r="F425" s="64"/>
    </row>
    <row r="426">
      <c r="B426" s="64"/>
      <c r="C426" s="64"/>
      <c r="D426" s="64"/>
      <c r="E426" s="64"/>
      <c r="F426" s="64"/>
    </row>
    <row r="427">
      <c r="B427" s="64"/>
      <c r="C427" s="64"/>
      <c r="D427" s="64"/>
      <c r="E427" s="64"/>
      <c r="F427" s="64"/>
    </row>
    <row r="428">
      <c r="B428" s="64"/>
      <c r="C428" s="64"/>
      <c r="D428" s="64"/>
      <c r="E428" s="64"/>
      <c r="F428" s="64"/>
    </row>
    <row r="429">
      <c r="B429" s="64"/>
      <c r="C429" s="64"/>
      <c r="D429" s="64"/>
      <c r="E429" s="64"/>
      <c r="F429" s="64"/>
    </row>
    <row r="430">
      <c r="B430" s="64"/>
      <c r="C430" s="64"/>
      <c r="D430" s="64"/>
      <c r="E430" s="64"/>
      <c r="F430" s="64"/>
    </row>
    <row r="431">
      <c r="B431" s="64"/>
      <c r="C431" s="64"/>
      <c r="D431" s="64"/>
      <c r="E431" s="64"/>
      <c r="F431" s="64"/>
    </row>
    <row r="432">
      <c r="B432" s="64"/>
      <c r="C432" s="64"/>
      <c r="D432" s="64"/>
      <c r="E432" s="64"/>
      <c r="F432" s="64"/>
    </row>
    <row r="433">
      <c r="B433" s="64"/>
      <c r="C433" s="64"/>
      <c r="D433" s="64"/>
      <c r="E433" s="64"/>
      <c r="F433" s="64"/>
    </row>
    <row r="434">
      <c r="B434" s="64"/>
      <c r="C434" s="64"/>
      <c r="D434" s="64"/>
      <c r="E434" s="64"/>
      <c r="F434" s="64"/>
    </row>
    <row r="435">
      <c r="B435" s="64"/>
      <c r="C435" s="64"/>
      <c r="D435" s="64"/>
      <c r="E435" s="64"/>
      <c r="F435" s="64"/>
    </row>
    <row r="436">
      <c r="B436" s="64"/>
      <c r="C436" s="64"/>
      <c r="D436" s="64"/>
      <c r="E436" s="64"/>
      <c r="F436" s="64"/>
    </row>
    <row r="437">
      <c r="B437" s="64"/>
      <c r="C437" s="64"/>
      <c r="D437" s="64"/>
      <c r="E437" s="64"/>
      <c r="F437" s="64"/>
    </row>
    <row r="438">
      <c r="B438" s="64"/>
      <c r="C438" s="64"/>
      <c r="D438" s="64"/>
      <c r="E438" s="64"/>
      <c r="F438" s="64"/>
    </row>
    <row r="439">
      <c r="B439" s="64"/>
      <c r="C439" s="64"/>
      <c r="D439" s="64"/>
      <c r="E439" s="64"/>
      <c r="F439" s="64"/>
    </row>
    <row r="440">
      <c r="B440" s="64"/>
      <c r="C440" s="64"/>
      <c r="D440" s="64"/>
      <c r="E440" s="64"/>
      <c r="F440" s="64"/>
    </row>
    <row r="441">
      <c r="B441" s="64"/>
      <c r="C441" s="64"/>
      <c r="D441" s="64"/>
      <c r="E441" s="64"/>
      <c r="F441" s="64"/>
    </row>
    <row r="442">
      <c r="B442" s="64"/>
      <c r="C442" s="64"/>
      <c r="D442" s="64"/>
      <c r="E442" s="64"/>
      <c r="F442" s="64"/>
    </row>
    <row r="443">
      <c r="B443" s="64"/>
      <c r="C443" s="64"/>
      <c r="D443" s="64"/>
      <c r="E443" s="64"/>
      <c r="F443" s="64"/>
    </row>
    <row r="444">
      <c r="B444" s="64"/>
      <c r="C444" s="64"/>
      <c r="D444" s="64"/>
      <c r="E444" s="64"/>
      <c r="F444" s="64"/>
    </row>
    <row r="445">
      <c r="B445" s="64"/>
      <c r="C445" s="64"/>
      <c r="D445" s="64"/>
      <c r="E445" s="64"/>
      <c r="F445" s="64"/>
    </row>
    <row r="446">
      <c r="B446" s="64"/>
      <c r="C446" s="64"/>
      <c r="D446" s="64"/>
      <c r="E446" s="64"/>
      <c r="F446" s="64"/>
    </row>
    <row r="447">
      <c r="B447" s="64"/>
      <c r="C447" s="64"/>
      <c r="D447" s="64"/>
      <c r="E447" s="64"/>
      <c r="F447" s="64"/>
    </row>
    <row r="448">
      <c r="B448" s="64"/>
      <c r="C448" s="64"/>
      <c r="D448" s="64"/>
      <c r="E448" s="64"/>
      <c r="F448" s="64"/>
    </row>
    <row r="449">
      <c r="B449" s="64"/>
      <c r="C449" s="64"/>
      <c r="D449" s="64"/>
      <c r="E449" s="64"/>
      <c r="F449" s="64"/>
    </row>
    <row r="450">
      <c r="B450" s="64"/>
      <c r="C450" s="64"/>
      <c r="D450" s="64"/>
      <c r="E450" s="64"/>
      <c r="F450" s="64"/>
    </row>
    <row r="451">
      <c r="B451" s="64"/>
      <c r="C451" s="64"/>
      <c r="D451" s="64"/>
      <c r="E451" s="64"/>
      <c r="F451" s="64"/>
    </row>
    <row r="452">
      <c r="B452" s="64"/>
      <c r="C452" s="64"/>
      <c r="D452" s="64"/>
      <c r="E452" s="64"/>
      <c r="F452" s="64"/>
    </row>
    <row r="453">
      <c r="B453" s="64"/>
      <c r="C453" s="64"/>
      <c r="D453" s="64"/>
      <c r="E453" s="64"/>
      <c r="F453" s="64"/>
    </row>
    <row r="454">
      <c r="B454" s="64"/>
      <c r="C454" s="64"/>
      <c r="D454" s="64"/>
      <c r="E454" s="64"/>
      <c r="F454" s="64"/>
    </row>
    <row r="455">
      <c r="B455" s="64"/>
      <c r="C455" s="64"/>
      <c r="D455" s="64"/>
      <c r="E455" s="64"/>
      <c r="F455" s="64"/>
    </row>
    <row r="456">
      <c r="B456" s="64"/>
      <c r="C456" s="64"/>
      <c r="D456" s="64"/>
      <c r="E456" s="64"/>
      <c r="F456" s="64"/>
    </row>
    <row r="457">
      <c r="B457" s="64"/>
      <c r="C457" s="64"/>
      <c r="D457" s="64"/>
      <c r="E457" s="64"/>
      <c r="F457" s="64"/>
    </row>
    <row r="458">
      <c r="B458" s="64"/>
      <c r="C458" s="64"/>
      <c r="D458" s="64"/>
      <c r="E458" s="64"/>
      <c r="F458" s="64"/>
    </row>
    <row r="459">
      <c r="B459" s="64"/>
      <c r="C459" s="64"/>
      <c r="D459" s="64"/>
      <c r="E459" s="64"/>
      <c r="F459" s="64"/>
    </row>
    <row r="460">
      <c r="B460" s="64"/>
      <c r="C460" s="64"/>
      <c r="D460" s="64"/>
      <c r="E460" s="64"/>
      <c r="F460" s="64"/>
    </row>
    <row r="461">
      <c r="B461" s="64"/>
      <c r="C461" s="64"/>
      <c r="D461" s="64"/>
      <c r="E461" s="64"/>
      <c r="F461" s="64"/>
    </row>
    <row r="462">
      <c r="B462" s="64"/>
      <c r="C462" s="64"/>
      <c r="D462" s="64"/>
      <c r="E462" s="64"/>
      <c r="F462" s="64"/>
    </row>
    <row r="463">
      <c r="B463" s="64"/>
      <c r="C463" s="64"/>
      <c r="D463" s="64"/>
      <c r="E463" s="64"/>
      <c r="F463" s="64"/>
    </row>
    <row r="464">
      <c r="B464" s="64"/>
      <c r="C464" s="64"/>
      <c r="D464" s="64"/>
      <c r="E464" s="64"/>
      <c r="F464" s="64"/>
    </row>
    <row r="465">
      <c r="B465" s="64"/>
      <c r="C465" s="64"/>
      <c r="D465" s="64"/>
      <c r="E465" s="64"/>
      <c r="F465" s="64"/>
    </row>
    <row r="466">
      <c r="B466" s="64"/>
      <c r="C466" s="64"/>
      <c r="D466" s="64"/>
      <c r="E466" s="64"/>
      <c r="F466" s="64"/>
    </row>
    <row r="467">
      <c r="B467" s="64"/>
      <c r="C467" s="64"/>
      <c r="D467" s="64"/>
      <c r="E467" s="64"/>
      <c r="F467" s="64"/>
    </row>
    <row r="468">
      <c r="B468" s="64"/>
      <c r="C468" s="64"/>
      <c r="D468" s="64"/>
      <c r="E468" s="64"/>
      <c r="F468" s="64"/>
    </row>
    <row r="469">
      <c r="B469" s="64"/>
      <c r="C469" s="64"/>
      <c r="D469" s="64"/>
      <c r="E469" s="64"/>
      <c r="F469" s="64"/>
    </row>
    <row r="470">
      <c r="B470" s="64"/>
      <c r="C470" s="64"/>
      <c r="D470" s="64"/>
      <c r="E470" s="64"/>
      <c r="F470" s="64"/>
    </row>
    <row r="471">
      <c r="B471" s="64"/>
      <c r="C471" s="64"/>
      <c r="D471" s="64"/>
      <c r="E471" s="64"/>
      <c r="F471" s="64"/>
    </row>
    <row r="472">
      <c r="B472" s="64"/>
      <c r="C472" s="64"/>
      <c r="D472" s="64"/>
      <c r="E472" s="64"/>
      <c r="F472" s="64"/>
    </row>
    <row r="473">
      <c r="B473" s="64"/>
      <c r="C473" s="64"/>
      <c r="D473" s="64"/>
      <c r="E473" s="64"/>
      <c r="F473" s="64"/>
    </row>
    <row r="474">
      <c r="B474" s="64"/>
      <c r="C474" s="64"/>
      <c r="D474" s="64"/>
      <c r="E474" s="64"/>
      <c r="F474" s="64"/>
    </row>
    <row r="475">
      <c r="B475" s="64"/>
      <c r="C475" s="64"/>
      <c r="D475" s="64"/>
      <c r="E475" s="64"/>
      <c r="F475" s="64"/>
    </row>
    <row r="476">
      <c r="B476" s="64"/>
      <c r="C476" s="64"/>
      <c r="D476" s="64"/>
      <c r="E476" s="64"/>
      <c r="F476" s="64"/>
    </row>
    <row r="477">
      <c r="B477" s="64"/>
      <c r="C477" s="64"/>
      <c r="D477" s="64"/>
      <c r="E477" s="64"/>
      <c r="F477" s="64"/>
    </row>
    <row r="478">
      <c r="B478" s="64"/>
      <c r="C478" s="64"/>
      <c r="D478" s="64"/>
      <c r="E478" s="64"/>
      <c r="F478" s="64"/>
    </row>
    <row r="479">
      <c r="B479" s="64"/>
      <c r="C479" s="64"/>
      <c r="D479" s="64"/>
      <c r="E479" s="64"/>
      <c r="F479" s="64"/>
    </row>
    <row r="480">
      <c r="B480" s="64"/>
      <c r="C480" s="64"/>
      <c r="D480" s="64"/>
      <c r="E480" s="64"/>
      <c r="F480" s="64"/>
    </row>
    <row r="481">
      <c r="B481" s="64"/>
      <c r="C481" s="64"/>
      <c r="D481" s="64"/>
      <c r="E481" s="64"/>
      <c r="F481" s="64"/>
    </row>
    <row r="482">
      <c r="B482" s="64"/>
      <c r="C482" s="64"/>
      <c r="D482" s="64"/>
      <c r="E482" s="64"/>
      <c r="F482" s="64"/>
    </row>
    <row r="483">
      <c r="B483" s="64"/>
      <c r="C483" s="64"/>
      <c r="D483" s="64"/>
      <c r="E483" s="64"/>
      <c r="F483" s="64"/>
    </row>
    <row r="484">
      <c r="B484" s="64"/>
      <c r="C484" s="64"/>
      <c r="D484" s="64"/>
      <c r="E484" s="64"/>
      <c r="F484" s="64"/>
    </row>
    <row r="485">
      <c r="B485" s="64"/>
      <c r="C485" s="64"/>
      <c r="D485" s="64"/>
      <c r="E485" s="64"/>
      <c r="F485" s="64"/>
    </row>
    <row r="486">
      <c r="B486" s="64"/>
      <c r="C486" s="64"/>
      <c r="D486" s="64"/>
      <c r="E486" s="64"/>
      <c r="F486" s="64"/>
    </row>
    <row r="487">
      <c r="B487" s="64"/>
      <c r="C487" s="64"/>
      <c r="D487" s="64"/>
      <c r="E487" s="64"/>
      <c r="F487" s="64"/>
    </row>
    <row r="488">
      <c r="B488" s="64"/>
      <c r="C488" s="64"/>
      <c r="D488" s="64"/>
      <c r="E488" s="64"/>
      <c r="F488" s="64"/>
    </row>
    <row r="489">
      <c r="B489" s="64"/>
      <c r="C489" s="64"/>
      <c r="D489" s="64"/>
      <c r="E489" s="64"/>
      <c r="F489" s="64"/>
    </row>
    <row r="490">
      <c r="B490" s="64"/>
      <c r="C490" s="64"/>
      <c r="D490" s="64"/>
      <c r="E490" s="64"/>
      <c r="F490" s="64"/>
    </row>
    <row r="491">
      <c r="B491" s="64"/>
      <c r="C491" s="64"/>
      <c r="D491" s="64"/>
      <c r="E491" s="64"/>
      <c r="F491" s="64"/>
    </row>
    <row r="492">
      <c r="B492" s="64"/>
      <c r="C492" s="64"/>
      <c r="D492" s="64"/>
      <c r="E492" s="64"/>
      <c r="F492" s="64"/>
    </row>
    <row r="493">
      <c r="B493" s="64"/>
      <c r="C493" s="64"/>
      <c r="D493" s="64"/>
      <c r="E493" s="64"/>
      <c r="F493" s="64"/>
    </row>
    <row r="494">
      <c r="B494" s="64"/>
      <c r="C494" s="64"/>
      <c r="D494" s="64"/>
      <c r="E494" s="64"/>
      <c r="F494" s="64"/>
    </row>
    <row r="495">
      <c r="B495" s="64"/>
      <c r="C495" s="64"/>
      <c r="D495" s="64"/>
      <c r="E495" s="64"/>
      <c r="F495" s="64"/>
    </row>
    <row r="496">
      <c r="B496" s="64"/>
      <c r="C496" s="64"/>
      <c r="D496" s="64"/>
      <c r="E496" s="64"/>
      <c r="F496" s="64"/>
    </row>
    <row r="497">
      <c r="B497" s="64"/>
      <c r="C497" s="64"/>
      <c r="D497" s="64"/>
      <c r="E497" s="64"/>
      <c r="F497" s="64"/>
    </row>
    <row r="498">
      <c r="B498" s="64"/>
      <c r="C498" s="64"/>
      <c r="D498" s="64"/>
      <c r="E498" s="64"/>
      <c r="F498" s="64"/>
    </row>
    <row r="499">
      <c r="B499" s="64"/>
      <c r="C499" s="64"/>
      <c r="D499" s="64"/>
      <c r="E499" s="64"/>
      <c r="F499" s="64"/>
    </row>
    <row r="500">
      <c r="B500" s="64"/>
      <c r="C500" s="64"/>
      <c r="D500" s="64"/>
      <c r="E500" s="64"/>
      <c r="F500" s="64"/>
    </row>
    <row r="501">
      <c r="B501" s="64"/>
      <c r="C501" s="64"/>
      <c r="D501" s="64"/>
      <c r="E501" s="64"/>
      <c r="F501" s="64"/>
    </row>
    <row r="502">
      <c r="B502" s="64"/>
      <c r="C502" s="64"/>
      <c r="D502" s="64"/>
      <c r="E502" s="64"/>
      <c r="F502" s="64"/>
    </row>
    <row r="503">
      <c r="B503" s="64"/>
      <c r="C503" s="64"/>
      <c r="D503" s="64"/>
      <c r="E503" s="64"/>
      <c r="F503" s="64"/>
    </row>
    <row r="504">
      <c r="B504" s="64"/>
      <c r="C504" s="64"/>
      <c r="D504" s="64"/>
      <c r="E504" s="64"/>
      <c r="F504" s="64"/>
    </row>
    <row r="505">
      <c r="B505" s="64"/>
      <c r="C505" s="64"/>
      <c r="D505" s="64"/>
      <c r="E505" s="64"/>
      <c r="F505" s="64"/>
    </row>
    <row r="506">
      <c r="B506" s="64"/>
      <c r="C506" s="64"/>
      <c r="D506" s="64"/>
      <c r="E506" s="64"/>
      <c r="F506" s="64"/>
    </row>
    <row r="507">
      <c r="B507" s="64"/>
      <c r="C507" s="64"/>
      <c r="D507" s="64"/>
      <c r="E507" s="64"/>
      <c r="F507" s="64"/>
    </row>
    <row r="508">
      <c r="B508" s="64"/>
      <c r="C508" s="64"/>
      <c r="D508" s="64"/>
      <c r="E508" s="64"/>
      <c r="F508" s="64"/>
    </row>
    <row r="509">
      <c r="B509" s="64"/>
      <c r="C509" s="64"/>
      <c r="D509" s="64"/>
      <c r="E509" s="64"/>
      <c r="F509" s="64"/>
    </row>
    <row r="510">
      <c r="B510" s="64"/>
      <c r="C510" s="64"/>
      <c r="D510" s="64"/>
      <c r="E510" s="64"/>
      <c r="F510" s="64"/>
    </row>
    <row r="511">
      <c r="B511" s="64"/>
      <c r="C511" s="64"/>
      <c r="D511" s="64"/>
      <c r="E511" s="64"/>
      <c r="F511" s="64"/>
    </row>
    <row r="512">
      <c r="B512" s="64"/>
      <c r="C512" s="64"/>
      <c r="D512" s="64"/>
      <c r="E512" s="64"/>
      <c r="F512" s="64"/>
    </row>
    <row r="513">
      <c r="B513" s="64"/>
      <c r="C513" s="64"/>
      <c r="D513" s="64"/>
      <c r="E513" s="64"/>
      <c r="F513" s="64"/>
    </row>
    <row r="514">
      <c r="B514" s="64"/>
      <c r="C514" s="64"/>
      <c r="D514" s="64"/>
      <c r="E514" s="64"/>
      <c r="F514" s="64"/>
    </row>
    <row r="515">
      <c r="B515" s="64"/>
      <c r="C515" s="64"/>
      <c r="D515" s="64"/>
      <c r="E515" s="64"/>
      <c r="F515" s="64"/>
    </row>
    <row r="516">
      <c r="B516" s="64"/>
      <c r="C516" s="64"/>
      <c r="D516" s="64"/>
      <c r="E516" s="64"/>
      <c r="F516" s="64"/>
    </row>
    <row r="517">
      <c r="B517" s="64"/>
      <c r="C517" s="64"/>
      <c r="D517" s="64"/>
      <c r="E517" s="64"/>
      <c r="F517" s="64"/>
    </row>
    <row r="518">
      <c r="B518" s="64"/>
      <c r="C518" s="64"/>
      <c r="D518" s="64"/>
      <c r="E518" s="64"/>
      <c r="F518" s="64"/>
    </row>
    <row r="519">
      <c r="B519" s="64"/>
      <c r="C519" s="64"/>
      <c r="D519" s="64"/>
      <c r="E519" s="64"/>
      <c r="F519" s="64"/>
    </row>
    <row r="520">
      <c r="B520" s="64"/>
      <c r="C520" s="64"/>
      <c r="D520" s="64"/>
      <c r="E520" s="64"/>
      <c r="F520" s="64"/>
    </row>
    <row r="521">
      <c r="B521" s="64"/>
      <c r="C521" s="64"/>
      <c r="D521" s="64"/>
      <c r="E521" s="64"/>
      <c r="F521" s="64"/>
    </row>
    <row r="522">
      <c r="B522" s="64"/>
      <c r="C522" s="64"/>
      <c r="D522" s="64"/>
      <c r="E522" s="64"/>
      <c r="F522" s="64"/>
    </row>
    <row r="523">
      <c r="B523" s="64"/>
      <c r="C523" s="64"/>
      <c r="D523" s="64"/>
      <c r="E523" s="64"/>
      <c r="F523" s="64"/>
    </row>
    <row r="524">
      <c r="B524" s="64"/>
      <c r="C524" s="64"/>
      <c r="D524" s="64"/>
      <c r="E524" s="64"/>
      <c r="F524" s="64"/>
    </row>
    <row r="525">
      <c r="B525" s="64"/>
      <c r="C525" s="64"/>
      <c r="D525" s="64"/>
      <c r="E525" s="64"/>
      <c r="F525" s="64"/>
    </row>
    <row r="526">
      <c r="B526" s="64"/>
      <c r="C526" s="64"/>
      <c r="D526" s="64"/>
      <c r="E526" s="64"/>
      <c r="F526" s="64"/>
    </row>
    <row r="527">
      <c r="B527" s="64"/>
      <c r="C527" s="64"/>
      <c r="D527" s="64"/>
      <c r="E527" s="64"/>
      <c r="F527" s="64"/>
    </row>
    <row r="528">
      <c r="B528" s="64"/>
      <c r="C528" s="64"/>
      <c r="D528" s="64"/>
      <c r="E528" s="64"/>
      <c r="F528" s="64"/>
    </row>
    <row r="529">
      <c r="B529" s="64"/>
      <c r="C529" s="64"/>
      <c r="D529" s="64"/>
      <c r="E529" s="64"/>
      <c r="F529" s="64"/>
    </row>
    <row r="530">
      <c r="B530" s="64"/>
      <c r="C530" s="64"/>
      <c r="D530" s="64"/>
      <c r="E530" s="64"/>
      <c r="F530" s="64"/>
    </row>
    <row r="531">
      <c r="B531" s="64"/>
      <c r="C531" s="64"/>
      <c r="D531" s="64"/>
      <c r="E531" s="64"/>
      <c r="F531" s="64"/>
    </row>
    <row r="532">
      <c r="B532" s="64"/>
      <c r="C532" s="64"/>
      <c r="D532" s="64"/>
      <c r="E532" s="64"/>
      <c r="F532" s="64"/>
    </row>
    <row r="533">
      <c r="B533" s="64"/>
      <c r="C533" s="64"/>
      <c r="D533" s="64"/>
      <c r="E533" s="64"/>
      <c r="F533" s="64"/>
    </row>
    <row r="534">
      <c r="B534" s="64"/>
      <c r="C534" s="64"/>
      <c r="D534" s="64"/>
      <c r="E534" s="64"/>
      <c r="F534" s="64"/>
    </row>
    <row r="535">
      <c r="B535" s="64"/>
      <c r="C535" s="64"/>
      <c r="D535" s="64"/>
      <c r="E535" s="64"/>
      <c r="F535" s="64"/>
    </row>
    <row r="536">
      <c r="B536" s="64"/>
      <c r="C536" s="64"/>
      <c r="D536" s="64"/>
      <c r="E536" s="64"/>
      <c r="F536" s="64"/>
    </row>
    <row r="537">
      <c r="B537" s="64"/>
      <c r="C537" s="64"/>
      <c r="D537" s="64"/>
      <c r="E537" s="64"/>
      <c r="F537" s="64"/>
    </row>
    <row r="538">
      <c r="B538" s="64"/>
      <c r="C538" s="64"/>
      <c r="D538" s="64"/>
      <c r="E538" s="64"/>
      <c r="F538" s="64"/>
    </row>
    <row r="539">
      <c r="B539" s="64"/>
      <c r="C539" s="64"/>
      <c r="D539" s="64"/>
      <c r="E539" s="64"/>
      <c r="F539" s="64"/>
    </row>
    <row r="540">
      <c r="B540" s="64"/>
      <c r="C540" s="64"/>
      <c r="D540" s="64"/>
      <c r="E540" s="64"/>
      <c r="F540" s="64"/>
    </row>
    <row r="541">
      <c r="B541" s="64"/>
      <c r="C541" s="64"/>
      <c r="D541" s="64"/>
      <c r="E541" s="64"/>
      <c r="F541" s="64"/>
    </row>
    <row r="542">
      <c r="B542" s="64"/>
      <c r="C542" s="64"/>
      <c r="D542" s="64"/>
      <c r="E542" s="64"/>
      <c r="F542" s="64"/>
    </row>
    <row r="543">
      <c r="B543" s="64"/>
      <c r="C543" s="64"/>
      <c r="D543" s="64"/>
      <c r="E543" s="64"/>
      <c r="F543" s="64"/>
    </row>
    <row r="544">
      <c r="B544" s="64"/>
      <c r="C544" s="64"/>
      <c r="D544" s="64"/>
      <c r="E544" s="64"/>
      <c r="F544" s="64"/>
    </row>
    <row r="545">
      <c r="B545" s="64"/>
      <c r="C545" s="64"/>
      <c r="D545" s="64"/>
      <c r="E545" s="64"/>
      <c r="F545" s="64"/>
    </row>
    <row r="546">
      <c r="B546" s="64"/>
      <c r="C546" s="64"/>
      <c r="D546" s="64"/>
      <c r="E546" s="64"/>
      <c r="F546" s="64"/>
    </row>
    <row r="547">
      <c r="B547" s="64"/>
      <c r="C547" s="64"/>
      <c r="D547" s="64"/>
      <c r="E547" s="64"/>
      <c r="F547" s="64"/>
    </row>
    <row r="548">
      <c r="B548" s="64"/>
      <c r="C548" s="64"/>
      <c r="D548" s="64"/>
      <c r="E548" s="64"/>
      <c r="F548" s="64"/>
    </row>
    <row r="549">
      <c r="B549" s="64"/>
      <c r="C549" s="64"/>
      <c r="D549" s="64"/>
      <c r="E549" s="64"/>
      <c r="F549" s="64"/>
    </row>
    <row r="550">
      <c r="B550" s="64"/>
      <c r="C550" s="64"/>
      <c r="D550" s="64"/>
      <c r="E550" s="64"/>
      <c r="F550" s="64"/>
    </row>
    <row r="551">
      <c r="B551" s="64"/>
      <c r="C551" s="64"/>
      <c r="D551" s="64"/>
      <c r="E551" s="64"/>
      <c r="F551" s="64"/>
    </row>
    <row r="552">
      <c r="B552" s="64"/>
      <c r="C552" s="64"/>
      <c r="D552" s="64"/>
      <c r="E552" s="64"/>
      <c r="F552" s="64"/>
    </row>
    <row r="553">
      <c r="B553" s="64"/>
      <c r="C553" s="64"/>
      <c r="D553" s="64"/>
      <c r="E553" s="64"/>
      <c r="F553" s="64"/>
    </row>
    <row r="554">
      <c r="B554" s="64"/>
      <c r="C554" s="64"/>
      <c r="D554" s="64"/>
      <c r="E554" s="64"/>
      <c r="F554" s="64"/>
    </row>
    <row r="555">
      <c r="B555" s="64"/>
      <c r="C555" s="64"/>
      <c r="D555" s="64"/>
      <c r="E555" s="64"/>
      <c r="F555" s="64"/>
    </row>
    <row r="556">
      <c r="B556" s="64"/>
      <c r="C556" s="64"/>
      <c r="D556" s="64"/>
      <c r="E556" s="64"/>
      <c r="F556" s="64"/>
    </row>
    <row r="557">
      <c r="B557" s="64"/>
      <c r="C557" s="64"/>
      <c r="D557" s="64"/>
      <c r="E557" s="64"/>
      <c r="F557" s="64"/>
    </row>
    <row r="558">
      <c r="B558" s="64"/>
      <c r="C558" s="64"/>
      <c r="D558" s="64"/>
      <c r="E558" s="64"/>
      <c r="F558" s="64"/>
    </row>
    <row r="559">
      <c r="B559" s="64"/>
      <c r="C559" s="64"/>
      <c r="D559" s="64"/>
      <c r="E559" s="64"/>
      <c r="F559" s="64"/>
    </row>
    <row r="560">
      <c r="B560" s="64"/>
      <c r="C560" s="64"/>
      <c r="D560" s="64"/>
      <c r="E560" s="64"/>
      <c r="F560" s="64"/>
    </row>
    <row r="561">
      <c r="B561" s="64"/>
      <c r="C561" s="64"/>
      <c r="D561" s="64"/>
      <c r="E561" s="64"/>
      <c r="F561" s="64"/>
    </row>
    <row r="562">
      <c r="B562" s="64"/>
      <c r="C562" s="64"/>
      <c r="D562" s="64"/>
      <c r="E562" s="64"/>
      <c r="F562" s="64"/>
    </row>
    <row r="563">
      <c r="B563" s="64"/>
      <c r="C563" s="64"/>
      <c r="D563" s="64"/>
      <c r="E563" s="64"/>
      <c r="F563" s="64"/>
    </row>
    <row r="564">
      <c r="B564" s="64"/>
      <c r="C564" s="64"/>
      <c r="D564" s="64"/>
      <c r="E564" s="64"/>
      <c r="F564" s="64"/>
    </row>
    <row r="565">
      <c r="B565" s="64"/>
      <c r="C565" s="64"/>
      <c r="D565" s="64"/>
      <c r="E565" s="64"/>
      <c r="F565" s="64"/>
    </row>
    <row r="566">
      <c r="B566" s="64"/>
      <c r="C566" s="64"/>
      <c r="D566" s="64"/>
      <c r="E566" s="64"/>
      <c r="F566" s="64"/>
    </row>
    <row r="567">
      <c r="B567" s="64"/>
      <c r="C567" s="64"/>
      <c r="D567" s="64"/>
      <c r="E567" s="64"/>
      <c r="F567" s="64"/>
    </row>
    <row r="568">
      <c r="B568" s="64"/>
      <c r="C568" s="64"/>
      <c r="D568" s="64"/>
      <c r="E568" s="64"/>
      <c r="F568" s="64"/>
    </row>
    <row r="569">
      <c r="B569" s="64"/>
      <c r="C569" s="64"/>
      <c r="D569" s="64"/>
      <c r="E569" s="64"/>
      <c r="F569" s="64"/>
    </row>
    <row r="570">
      <c r="B570" s="64"/>
      <c r="C570" s="64"/>
      <c r="D570" s="64"/>
      <c r="E570" s="64"/>
      <c r="F570" s="64"/>
    </row>
    <row r="571">
      <c r="B571" s="64"/>
      <c r="C571" s="64"/>
      <c r="D571" s="64"/>
      <c r="E571" s="64"/>
      <c r="F571" s="64"/>
    </row>
    <row r="572">
      <c r="B572" s="64"/>
      <c r="C572" s="64"/>
      <c r="D572" s="64"/>
      <c r="E572" s="64"/>
      <c r="F572" s="64"/>
    </row>
    <row r="573">
      <c r="B573" s="64"/>
      <c r="C573" s="64"/>
      <c r="D573" s="64"/>
      <c r="E573" s="64"/>
      <c r="F573" s="64"/>
    </row>
    <row r="574">
      <c r="B574" s="64"/>
      <c r="C574" s="64"/>
      <c r="D574" s="64"/>
      <c r="E574" s="64"/>
      <c r="F574" s="64"/>
    </row>
    <row r="575">
      <c r="B575" s="64"/>
      <c r="C575" s="64"/>
      <c r="D575" s="64"/>
      <c r="E575" s="64"/>
      <c r="F575" s="64"/>
    </row>
    <row r="576">
      <c r="B576" s="64"/>
      <c r="C576" s="64"/>
      <c r="D576" s="64"/>
      <c r="E576" s="64"/>
      <c r="F576" s="64"/>
    </row>
    <row r="577">
      <c r="B577" s="64"/>
      <c r="C577" s="64"/>
      <c r="D577" s="64"/>
      <c r="E577" s="64"/>
      <c r="F577" s="64"/>
    </row>
    <row r="578">
      <c r="B578" s="64"/>
      <c r="C578" s="64"/>
      <c r="D578" s="64"/>
      <c r="E578" s="64"/>
      <c r="F578" s="64"/>
    </row>
    <row r="579">
      <c r="B579" s="64"/>
      <c r="C579" s="64"/>
      <c r="D579" s="64"/>
      <c r="E579" s="64"/>
      <c r="F579" s="64"/>
    </row>
    <row r="580">
      <c r="B580" s="64"/>
      <c r="C580" s="64"/>
      <c r="D580" s="64"/>
      <c r="E580" s="64"/>
      <c r="F580" s="64"/>
    </row>
    <row r="581">
      <c r="B581" s="64"/>
      <c r="C581" s="64"/>
      <c r="D581" s="64"/>
      <c r="E581" s="64"/>
      <c r="F581" s="64"/>
    </row>
    <row r="582">
      <c r="B582" s="64"/>
      <c r="C582" s="64"/>
      <c r="D582" s="64"/>
      <c r="E582" s="64"/>
      <c r="F582" s="64"/>
    </row>
    <row r="583">
      <c r="B583" s="64"/>
      <c r="C583" s="64"/>
      <c r="D583" s="64"/>
      <c r="E583" s="64"/>
      <c r="F583" s="64"/>
    </row>
    <row r="584">
      <c r="B584" s="64"/>
      <c r="C584" s="64"/>
      <c r="D584" s="64"/>
      <c r="E584" s="64"/>
      <c r="F584" s="64"/>
    </row>
    <row r="585">
      <c r="B585" s="64"/>
      <c r="C585" s="64"/>
      <c r="D585" s="64"/>
      <c r="E585" s="64"/>
      <c r="F585" s="64"/>
    </row>
    <row r="586">
      <c r="B586" s="64"/>
      <c r="C586" s="64"/>
      <c r="D586" s="64"/>
      <c r="E586" s="64"/>
      <c r="F586" s="64"/>
    </row>
    <row r="587">
      <c r="B587" s="64"/>
      <c r="C587" s="64"/>
      <c r="D587" s="64"/>
      <c r="E587" s="64"/>
      <c r="F587" s="64"/>
    </row>
    <row r="588">
      <c r="B588" s="64"/>
      <c r="C588" s="64"/>
      <c r="D588" s="64"/>
      <c r="E588" s="64"/>
      <c r="F588" s="64"/>
    </row>
    <row r="589">
      <c r="B589" s="64"/>
      <c r="C589" s="64"/>
      <c r="D589" s="64"/>
      <c r="E589" s="64"/>
      <c r="F589" s="64"/>
    </row>
    <row r="590">
      <c r="B590" s="64"/>
      <c r="C590" s="64"/>
      <c r="D590" s="64"/>
      <c r="E590" s="64"/>
      <c r="F590" s="64"/>
    </row>
    <row r="591">
      <c r="B591" s="64"/>
      <c r="C591" s="64"/>
      <c r="D591" s="64"/>
      <c r="E591" s="64"/>
      <c r="F591" s="64"/>
    </row>
    <row r="592">
      <c r="B592" s="64"/>
      <c r="C592" s="64"/>
      <c r="D592" s="64"/>
      <c r="E592" s="64"/>
      <c r="F592" s="64"/>
    </row>
    <row r="593">
      <c r="B593" s="64"/>
      <c r="C593" s="64"/>
      <c r="D593" s="64"/>
      <c r="E593" s="64"/>
      <c r="F593" s="64"/>
    </row>
    <row r="594">
      <c r="B594" s="64"/>
      <c r="C594" s="64"/>
      <c r="D594" s="64"/>
      <c r="E594" s="64"/>
      <c r="F594" s="64"/>
    </row>
    <row r="595">
      <c r="B595" s="64"/>
      <c r="C595" s="64"/>
      <c r="D595" s="64"/>
      <c r="E595" s="64"/>
      <c r="F595" s="64"/>
    </row>
    <row r="596">
      <c r="B596" s="64"/>
      <c r="C596" s="64"/>
      <c r="D596" s="64"/>
      <c r="E596" s="64"/>
      <c r="F596" s="64"/>
    </row>
    <row r="597">
      <c r="B597" s="64"/>
      <c r="C597" s="64"/>
      <c r="D597" s="64"/>
      <c r="E597" s="64"/>
      <c r="F597" s="64"/>
    </row>
    <row r="598">
      <c r="B598" s="64"/>
      <c r="C598" s="64"/>
      <c r="D598" s="64"/>
      <c r="E598" s="64"/>
      <c r="F598" s="64"/>
    </row>
    <row r="599">
      <c r="B599" s="64"/>
      <c r="C599" s="64"/>
      <c r="D599" s="64"/>
      <c r="E599" s="64"/>
      <c r="F599" s="64"/>
    </row>
    <row r="600">
      <c r="B600" s="64"/>
      <c r="C600" s="64"/>
      <c r="D600" s="64"/>
      <c r="E600" s="64"/>
      <c r="F600" s="64"/>
    </row>
    <row r="601">
      <c r="B601" s="64"/>
      <c r="C601" s="64"/>
      <c r="D601" s="64"/>
      <c r="E601" s="64"/>
      <c r="F601" s="64"/>
    </row>
    <row r="602">
      <c r="B602" s="64"/>
      <c r="C602" s="64"/>
      <c r="D602" s="64"/>
      <c r="E602" s="64"/>
      <c r="F602" s="64"/>
    </row>
    <row r="603">
      <c r="B603" s="64"/>
      <c r="C603" s="64"/>
      <c r="D603" s="64"/>
      <c r="E603" s="64"/>
      <c r="F603" s="64"/>
    </row>
    <row r="604">
      <c r="B604" s="64"/>
      <c r="C604" s="64"/>
      <c r="D604" s="64"/>
      <c r="E604" s="64"/>
      <c r="F604" s="64"/>
    </row>
    <row r="605">
      <c r="B605" s="64"/>
      <c r="C605" s="64"/>
      <c r="D605" s="64"/>
      <c r="E605" s="64"/>
      <c r="F605" s="64"/>
    </row>
    <row r="606">
      <c r="B606" s="64"/>
      <c r="C606" s="64"/>
      <c r="D606" s="64"/>
      <c r="E606" s="64"/>
      <c r="F606" s="64"/>
    </row>
    <row r="607">
      <c r="B607" s="64"/>
      <c r="C607" s="64"/>
      <c r="D607" s="64"/>
      <c r="E607" s="64"/>
      <c r="F607" s="64"/>
    </row>
    <row r="608">
      <c r="B608" s="64"/>
      <c r="C608" s="64"/>
      <c r="D608" s="64"/>
      <c r="E608" s="64"/>
      <c r="F608" s="64"/>
    </row>
    <row r="609">
      <c r="B609" s="64"/>
      <c r="C609" s="64"/>
      <c r="D609" s="64"/>
      <c r="E609" s="64"/>
      <c r="F609" s="64"/>
    </row>
    <row r="610">
      <c r="B610" s="64"/>
      <c r="C610" s="64"/>
      <c r="D610" s="64"/>
      <c r="E610" s="64"/>
      <c r="F610" s="64"/>
    </row>
    <row r="611">
      <c r="B611" s="64"/>
      <c r="C611" s="64"/>
      <c r="D611" s="64"/>
      <c r="E611" s="64"/>
      <c r="F611" s="64"/>
    </row>
    <row r="612">
      <c r="B612" s="64"/>
      <c r="C612" s="64"/>
      <c r="D612" s="64"/>
      <c r="E612" s="64"/>
      <c r="F612" s="64"/>
    </row>
    <row r="613">
      <c r="B613" s="64"/>
      <c r="C613" s="64"/>
      <c r="D613" s="64"/>
      <c r="E613" s="64"/>
      <c r="F613" s="64"/>
    </row>
    <row r="614">
      <c r="B614" s="64"/>
      <c r="C614" s="64"/>
      <c r="D614" s="64"/>
      <c r="E614" s="64"/>
      <c r="F614" s="64"/>
    </row>
    <row r="615">
      <c r="B615" s="64"/>
      <c r="C615" s="64"/>
      <c r="D615" s="64"/>
      <c r="E615" s="64"/>
      <c r="F615" s="64"/>
    </row>
    <row r="616">
      <c r="B616" s="64"/>
      <c r="C616" s="64"/>
      <c r="D616" s="64"/>
      <c r="E616" s="64"/>
      <c r="F616" s="64"/>
    </row>
    <row r="617">
      <c r="B617" s="64"/>
      <c r="C617" s="64"/>
      <c r="D617" s="64"/>
      <c r="E617" s="64"/>
      <c r="F617" s="64"/>
    </row>
    <row r="618">
      <c r="B618" s="64"/>
      <c r="C618" s="64"/>
      <c r="D618" s="64"/>
      <c r="E618" s="64"/>
      <c r="F618" s="64"/>
    </row>
    <row r="619">
      <c r="B619" s="64"/>
      <c r="C619" s="64"/>
      <c r="D619" s="64"/>
      <c r="E619" s="64"/>
      <c r="F619" s="64"/>
    </row>
    <row r="620">
      <c r="B620" s="64"/>
      <c r="C620" s="64"/>
      <c r="D620" s="64"/>
      <c r="E620" s="64"/>
      <c r="F620" s="64"/>
    </row>
    <row r="621">
      <c r="B621" s="64"/>
      <c r="C621" s="64"/>
      <c r="D621" s="64"/>
      <c r="E621" s="64"/>
      <c r="F621" s="64"/>
    </row>
    <row r="622">
      <c r="B622" s="64"/>
      <c r="C622" s="64"/>
      <c r="D622" s="64"/>
      <c r="E622" s="64"/>
      <c r="F622" s="64"/>
    </row>
    <row r="623">
      <c r="B623" s="64"/>
      <c r="C623" s="64"/>
      <c r="D623" s="64"/>
      <c r="E623" s="64"/>
      <c r="F623" s="64"/>
    </row>
    <row r="624">
      <c r="B624" s="64"/>
      <c r="C624" s="64"/>
      <c r="D624" s="64"/>
      <c r="E624" s="64"/>
      <c r="F624" s="64"/>
    </row>
    <row r="625">
      <c r="B625" s="64"/>
      <c r="C625" s="64"/>
      <c r="D625" s="64"/>
      <c r="E625" s="64"/>
      <c r="F625" s="64"/>
    </row>
    <row r="626">
      <c r="B626" s="64"/>
      <c r="C626" s="64"/>
      <c r="D626" s="64"/>
      <c r="E626" s="64"/>
      <c r="F626" s="64"/>
    </row>
    <row r="627">
      <c r="B627" s="64"/>
      <c r="C627" s="64"/>
      <c r="D627" s="64"/>
      <c r="E627" s="64"/>
      <c r="F627" s="64"/>
    </row>
    <row r="628">
      <c r="B628" s="64"/>
      <c r="C628" s="64"/>
      <c r="D628" s="64"/>
      <c r="E628" s="64"/>
      <c r="F628" s="64"/>
    </row>
    <row r="629">
      <c r="B629" s="64"/>
      <c r="C629" s="64"/>
      <c r="D629" s="64"/>
      <c r="E629" s="64"/>
      <c r="F629" s="64"/>
    </row>
    <row r="630">
      <c r="B630" s="64"/>
      <c r="C630" s="64"/>
      <c r="D630" s="64"/>
      <c r="E630" s="64"/>
      <c r="F630" s="64"/>
    </row>
    <row r="631">
      <c r="B631" s="64"/>
      <c r="C631" s="64"/>
      <c r="D631" s="64"/>
      <c r="E631" s="64"/>
      <c r="F631" s="64"/>
    </row>
    <row r="632">
      <c r="B632" s="64"/>
      <c r="C632" s="64"/>
      <c r="D632" s="64"/>
      <c r="E632" s="64"/>
      <c r="F632" s="64"/>
    </row>
    <row r="633">
      <c r="B633" s="64"/>
      <c r="C633" s="64"/>
      <c r="D633" s="64"/>
      <c r="E633" s="64"/>
      <c r="F633" s="64"/>
    </row>
    <row r="634">
      <c r="B634" s="64"/>
      <c r="C634" s="64"/>
      <c r="D634" s="64"/>
      <c r="E634" s="64"/>
      <c r="F634" s="64"/>
    </row>
    <row r="635">
      <c r="B635" s="64"/>
      <c r="C635" s="64"/>
      <c r="D635" s="64"/>
      <c r="E635" s="64"/>
      <c r="F635" s="64"/>
    </row>
    <row r="636">
      <c r="B636" s="64"/>
      <c r="C636" s="64"/>
      <c r="D636" s="64"/>
      <c r="E636" s="64"/>
      <c r="F636" s="64"/>
    </row>
    <row r="637">
      <c r="B637" s="64"/>
      <c r="C637" s="64"/>
      <c r="D637" s="64"/>
      <c r="E637" s="64"/>
      <c r="F637" s="64"/>
    </row>
    <row r="638">
      <c r="B638" s="64"/>
      <c r="C638" s="64"/>
      <c r="D638" s="64"/>
      <c r="E638" s="64"/>
      <c r="F638" s="64"/>
    </row>
    <row r="639">
      <c r="B639" s="64"/>
      <c r="C639" s="64"/>
      <c r="D639" s="64"/>
      <c r="E639" s="64"/>
      <c r="F639" s="64"/>
    </row>
    <row r="640">
      <c r="B640" s="64"/>
      <c r="C640" s="64"/>
      <c r="D640" s="64"/>
      <c r="E640" s="64"/>
      <c r="F640" s="64"/>
    </row>
    <row r="641">
      <c r="B641" s="64"/>
      <c r="C641" s="64"/>
      <c r="D641" s="64"/>
      <c r="E641" s="64"/>
      <c r="F641" s="64"/>
    </row>
    <row r="642">
      <c r="B642" s="64"/>
      <c r="C642" s="64"/>
      <c r="D642" s="64"/>
      <c r="E642" s="64"/>
      <c r="F642" s="64"/>
    </row>
    <row r="643">
      <c r="B643" s="64"/>
      <c r="C643" s="64"/>
      <c r="D643" s="64"/>
      <c r="E643" s="64"/>
      <c r="F643" s="64"/>
    </row>
    <row r="644">
      <c r="B644" s="64"/>
      <c r="C644" s="64"/>
      <c r="D644" s="64"/>
      <c r="E644" s="64"/>
      <c r="F644" s="64"/>
    </row>
    <row r="645">
      <c r="B645" s="64"/>
      <c r="C645" s="64"/>
      <c r="D645" s="64"/>
      <c r="E645" s="64"/>
      <c r="F645" s="64"/>
    </row>
    <row r="646">
      <c r="B646" s="64"/>
      <c r="C646" s="64"/>
      <c r="D646" s="64"/>
      <c r="E646" s="64"/>
      <c r="F646" s="64"/>
    </row>
    <row r="647">
      <c r="B647" s="64"/>
      <c r="C647" s="64"/>
      <c r="D647" s="64"/>
      <c r="E647" s="64"/>
      <c r="F647" s="64"/>
    </row>
    <row r="648">
      <c r="B648" s="64"/>
      <c r="C648" s="64"/>
      <c r="D648" s="64"/>
      <c r="E648" s="64"/>
      <c r="F648" s="64"/>
    </row>
    <row r="649">
      <c r="B649" s="64"/>
      <c r="C649" s="64"/>
      <c r="D649" s="64"/>
      <c r="E649" s="64"/>
      <c r="F649" s="64"/>
    </row>
    <row r="650">
      <c r="B650" s="64"/>
      <c r="C650" s="64"/>
      <c r="D650" s="64"/>
      <c r="E650" s="64"/>
      <c r="F650" s="64"/>
    </row>
    <row r="651">
      <c r="B651" s="64"/>
      <c r="C651" s="64"/>
      <c r="D651" s="64"/>
      <c r="E651" s="64"/>
      <c r="F651" s="64"/>
    </row>
    <row r="652">
      <c r="B652" s="64"/>
      <c r="C652" s="64"/>
      <c r="D652" s="64"/>
      <c r="E652" s="64"/>
      <c r="F652" s="64"/>
    </row>
    <row r="653">
      <c r="B653" s="64"/>
      <c r="C653" s="64"/>
      <c r="D653" s="64"/>
      <c r="E653" s="64"/>
      <c r="F653" s="64"/>
    </row>
    <row r="654">
      <c r="B654" s="64"/>
      <c r="C654" s="64"/>
      <c r="D654" s="64"/>
      <c r="E654" s="64"/>
      <c r="F654" s="64"/>
    </row>
    <row r="655">
      <c r="B655" s="64"/>
      <c r="C655" s="64"/>
      <c r="D655" s="64"/>
      <c r="E655" s="64"/>
      <c r="F655" s="64"/>
    </row>
    <row r="656">
      <c r="B656" s="64"/>
      <c r="C656" s="64"/>
      <c r="D656" s="64"/>
      <c r="E656" s="64"/>
      <c r="F656" s="64"/>
    </row>
    <row r="657">
      <c r="B657" s="64"/>
      <c r="C657" s="64"/>
      <c r="D657" s="64"/>
      <c r="E657" s="64"/>
      <c r="F657" s="64"/>
    </row>
    <row r="658">
      <c r="B658" s="64"/>
      <c r="C658" s="64"/>
      <c r="D658" s="64"/>
      <c r="E658" s="64"/>
      <c r="F658" s="64"/>
    </row>
    <row r="659">
      <c r="B659" s="64"/>
      <c r="C659" s="64"/>
      <c r="D659" s="64"/>
      <c r="E659" s="64"/>
      <c r="F659" s="64"/>
    </row>
    <row r="660">
      <c r="B660" s="64"/>
      <c r="C660" s="64"/>
      <c r="D660" s="64"/>
      <c r="E660" s="64"/>
      <c r="F660" s="64"/>
    </row>
    <row r="661">
      <c r="B661" s="64"/>
      <c r="C661" s="64"/>
      <c r="D661" s="64"/>
      <c r="E661" s="64"/>
      <c r="F661" s="64"/>
    </row>
    <row r="662">
      <c r="B662" s="64"/>
      <c r="C662" s="64"/>
      <c r="D662" s="64"/>
      <c r="E662" s="64"/>
      <c r="F662" s="64"/>
    </row>
    <row r="663">
      <c r="B663" s="64"/>
      <c r="C663" s="64"/>
      <c r="D663" s="64"/>
      <c r="E663" s="64"/>
      <c r="F663" s="64"/>
    </row>
    <row r="664">
      <c r="B664" s="64"/>
      <c r="C664" s="64"/>
      <c r="D664" s="64"/>
      <c r="E664" s="64"/>
      <c r="F664" s="64"/>
    </row>
    <row r="665">
      <c r="B665" s="64"/>
      <c r="C665" s="64"/>
      <c r="D665" s="64"/>
      <c r="E665" s="64"/>
      <c r="F665" s="64"/>
    </row>
    <row r="666">
      <c r="B666" s="64"/>
      <c r="C666" s="64"/>
      <c r="D666" s="64"/>
      <c r="E666" s="64"/>
      <c r="F666" s="64"/>
    </row>
    <row r="667">
      <c r="B667" s="64"/>
      <c r="C667" s="64"/>
      <c r="D667" s="64"/>
      <c r="E667" s="64"/>
      <c r="F667" s="64"/>
    </row>
    <row r="668">
      <c r="B668" s="64"/>
      <c r="C668" s="64"/>
      <c r="D668" s="64"/>
      <c r="E668" s="64"/>
      <c r="F668" s="64"/>
    </row>
    <row r="669">
      <c r="B669" s="64"/>
      <c r="C669" s="64"/>
      <c r="D669" s="64"/>
      <c r="E669" s="64"/>
      <c r="F669" s="64"/>
    </row>
    <row r="670">
      <c r="B670" s="64"/>
      <c r="C670" s="64"/>
      <c r="D670" s="64"/>
      <c r="E670" s="64"/>
      <c r="F670" s="64"/>
    </row>
    <row r="671">
      <c r="B671" s="64"/>
      <c r="C671" s="64"/>
      <c r="D671" s="64"/>
      <c r="E671" s="64"/>
      <c r="F671" s="64"/>
    </row>
    <row r="672">
      <c r="B672" s="64"/>
      <c r="C672" s="64"/>
      <c r="D672" s="64"/>
      <c r="E672" s="64"/>
      <c r="F672" s="64"/>
    </row>
    <row r="673">
      <c r="B673" s="64"/>
      <c r="C673" s="64"/>
      <c r="D673" s="64"/>
      <c r="E673" s="64"/>
      <c r="F673" s="64"/>
    </row>
    <row r="674">
      <c r="B674" s="64"/>
      <c r="C674" s="64"/>
      <c r="D674" s="64"/>
      <c r="E674" s="64"/>
      <c r="F674" s="64"/>
    </row>
    <row r="675">
      <c r="B675" s="64"/>
      <c r="C675" s="64"/>
      <c r="D675" s="64"/>
      <c r="E675" s="64"/>
      <c r="F675" s="64"/>
    </row>
    <row r="676">
      <c r="B676" s="64"/>
      <c r="C676" s="64"/>
      <c r="D676" s="64"/>
      <c r="E676" s="64"/>
      <c r="F676" s="64"/>
    </row>
    <row r="677">
      <c r="B677" s="64"/>
      <c r="C677" s="64"/>
      <c r="D677" s="64"/>
      <c r="E677" s="64"/>
      <c r="F677" s="64"/>
    </row>
    <row r="678">
      <c r="B678" s="64"/>
      <c r="C678" s="64"/>
      <c r="D678" s="64"/>
      <c r="E678" s="64"/>
      <c r="F678" s="64"/>
    </row>
    <row r="679">
      <c r="B679" s="64"/>
      <c r="C679" s="64"/>
      <c r="D679" s="64"/>
      <c r="E679" s="64"/>
      <c r="F679" s="64"/>
    </row>
    <row r="680">
      <c r="B680" s="64"/>
      <c r="C680" s="64"/>
      <c r="D680" s="64"/>
      <c r="E680" s="64"/>
      <c r="F680" s="64"/>
    </row>
    <row r="681">
      <c r="B681" s="64"/>
      <c r="C681" s="64"/>
      <c r="D681" s="64"/>
      <c r="E681" s="64"/>
      <c r="F681" s="64"/>
    </row>
    <row r="682">
      <c r="B682" s="64"/>
      <c r="C682" s="64"/>
      <c r="D682" s="64"/>
      <c r="E682" s="64"/>
      <c r="F682" s="64"/>
    </row>
    <row r="683">
      <c r="B683" s="64"/>
      <c r="C683" s="64"/>
      <c r="D683" s="64"/>
      <c r="E683" s="64"/>
      <c r="F683" s="64"/>
    </row>
    <row r="684">
      <c r="B684" s="64"/>
      <c r="C684" s="64"/>
      <c r="D684" s="64"/>
      <c r="E684" s="64"/>
      <c r="F684" s="64"/>
    </row>
    <row r="685">
      <c r="B685" s="64"/>
      <c r="C685" s="64"/>
      <c r="D685" s="64"/>
      <c r="E685" s="64"/>
      <c r="F685" s="64"/>
    </row>
    <row r="686">
      <c r="B686" s="64"/>
      <c r="C686" s="64"/>
      <c r="D686" s="64"/>
      <c r="E686" s="64"/>
      <c r="F686" s="64"/>
    </row>
    <row r="687">
      <c r="B687" s="64"/>
      <c r="C687" s="64"/>
      <c r="D687" s="64"/>
      <c r="E687" s="64"/>
      <c r="F687" s="64"/>
    </row>
    <row r="688">
      <c r="B688" s="64"/>
      <c r="C688" s="64"/>
      <c r="D688" s="64"/>
      <c r="E688" s="64"/>
      <c r="F688" s="64"/>
    </row>
    <row r="689">
      <c r="B689" s="64"/>
      <c r="C689" s="64"/>
      <c r="D689" s="64"/>
      <c r="E689" s="64"/>
      <c r="F689" s="64"/>
    </row>
    <row r="690">
      <c r="B690" s="64"/>
      <c r="C690" s="64"/>
      <c r="D690" s="64"/>
      <c r="E690" s="64"/>
      <c r="F690" s="64"/>
    </row>
    <row r="691">
      <c r="B691" s="64"/>
      <c r="C691" s="64"/>
      <c r="D691" s="64"/>
      <c r="E691" s="64"/>
      <c r="F691" s="64"/>
    </row>
    <row r="692">
      <c r="B692" s="64"/>
      <c r="C692" s="64"/>
      <c r="D692" s="64"/>
      <c r="E692" s="64"/>
      <c r="F692" s="64"/>
    </row>
    <row r="693">
      <c r="B693" s="64"/>
      <c r="C693" s="64"/>
      <c r="D693" s="64"/>
      <c r="E693" s="64"/>
      <c r="F693" s="64"/>
    </row>
    <row r="694">
      <c r="B694" s="64"/>
      <c r="C694" s="64"/>
      <c r="D694" s="64"/>
      <c r="E694" s="64"/>
      <c r="F694" s="64"/>
    </row>
    <row r="695">
      <c r="B695" s="64"/>
      <c r="C695" s="64"/>
      <c r="D695" s="64"/>
      <c r="E695" s="64"/>
      <c r="F695" s="64"/>
    </row>
    <row r="696">
      <c r="B696" s="64"/>
      <c r="C696" s="64"/>
      <c r="D696" s="64"/>
      <c r="E696" s="64"/>
      <c r="F696" s="64"/>
    </row>
    <row r="697">
      <c r="B697" s="64"/>
      <c r="C697" s="64"/>
      <c r="D697" s="64"/>
      <c r="E697" s="64"/>
      <c r="F697" s="64"/>
    </row>
    <row r="698">
      <c r="B698" s="64"/>
      <c r="C698" s="64"/>
      <c r="D698" s="64"/>
      <c r="E698" s="64"/>
      <c r="F698" s="64"/>
    </row>
    <row r="699">
      <c r="B699" s="64"/>
      <c r="C699" s="64"/>
      <c r="D699" s="64"/>
      <c r="E699" s="64"/>
      <c r="F699" s="64"/>
    </row>
    <row r="700">
      <c r="B700" s="64"/>
      <c r="C700" s="64"/>
      <c r="D700" s="64"/>
      <c r="E700" s="64"/>
      <c r="F700" s="64"/>
    </row>
    <row r="701">
      <c r="B701" s="64"/>
      <c r="C701" s="64"/>
      <c r="D701" s="64"/>
      <c r="E701" s="64"/>
      <c r="F701" s="64"/>
    </row>
    <row r="702">
      <c r="B702" s="64"/>
      <c r="C702" s="64"/>
      <c r="D702" s="64"/>
      <c r="E702" s="64"/>
      <c r="F702" s="64"/>
    </row>
    <row r="703">
      <c r="B703" s="64"/>
      <c r="C703" s="64"/>
      <c r="D703" s="64"/>
      <c r="E703" s="64"/>
      <c r="F703" s="64"/>
    </row>
    <row r="704">
      <c r="B704" s="64"/>
      <c r="C704" s="64"/>
      <c r="D704" s="64"/>
      <c r="E704" s="64"/>
      <c r="F704" s="64"/>
    </row>
    <row r="705">
      <c r="B705" s="64"/>
      <c r="C705" s="64"/>
      <c r="D705" s="64"/>
      <c r="E705" s="64"/>
      <c r="F705" s="64"/>
    </row>
    <row r="706">
      <c r="B706" s="64"/>
      <c r="C706" s="64"/>
      <c r="D706" s="64"/>
      <c r="E706" s="64"/>
      <c r="F706" s="64"/>
    </row>
    <row r="707">
      <c r="B707" s="64"/>
      <c r="C707" s="64"/>
      <c r="D707" s="64"/>
      <c r="E707" s="64"/>
      <c r="F707" s="64"/>
    </row>
    <row r="708">
      <c r="B708" s="64"/>
      <c r="C708" s="64"/>
      <c r="D708" s="64"/>
      <c r="E708" s="64"/>
      <c r="F708" s="64"/>
    </row>
    <row r="709">
      <c r="B709" s="64"/>
      <c r="C709" s="64"/>
      <c r="D709" s="64"/>
      <c r="E709" s="64"/>
      <c r="F709" s="64"/>
    </row>
    <row r="710">
      <c r="B710" s="64"/>
      <c r="C710" s="64"/>
      <c r="D710" s="64"/>
      <c r="E710" s="64"/>
      <c r="F710" s="64"/>
    </row>
    <row r="711">
      <c r="B711" s="64"/>
      <c r="C711" s="64"/>
      <c r="D711" s="64"/>
      <c r="E711" s="64"/>
      <c r="F711" s="64"/>
    </row>
    <row r="712">
      <c r="B712" s="64"/>
      <c r="C712" s="64"/>
      <c r="D712" s="64"/>
      <c r="E712" s="64"/>
      <c r="F712" s="64"/>
    </row>
    <row r="713">
      <c r="B713" s="64"/>
      <c r="C713" s="64"/>
      <c r="D713" s="64"/>
      <c r="E713" s="64"/>
      <c r="F713" s="64"/>
    </row>
    <row r="714">
      <c r="B714" s="64"/>
      <c r="C714" s="64"/>
      <c r="D714" s="64"/>
      <c r="E714" s="64"/>
      <c r="F714" s="64"/>
    </row>
    <row r="715">
      <c r="B715" s="64"/>
      <c r="C715" s="64"/>
      <c r="D715" s="64"/>
      <c r="E715" s="64"/>
      <c r="F715" s="64"/>
    </row>
    <row r="716">
      <c r="B716" s="64"/>
      <c r="C716" s="64"/>
      <c r="D716" s="64"/>
      <c r="E716" s="64"/>
      <c r="F716" s="64"/>
    </row>
    <row r="717">
      <c r="B717" s="64"/>
      <c r="C717" s="64"/>
      <c r="D717" s="64"/>
      <c r="E717" s="64"/>
      <c r="F717" s="64"/>
    </row>
    <row r="718">
      <c r="B718" s="64"/>
      <c r="C718" s="64"/>
      <c r="D718" s="64"/>
      <c r="E718" s="64"/>
      <c r="F718" s="64"/>
    </row>
    <row r="719">
      <c r="B719" s="64"/>
      <c r="C719" s="64"/>
      <c r="D719" s="64"/>
      <c r="E719" s="64"/>
      <c r="F719" s="64"/>
    </row>
    <row r="720">
      <c r="B720" s="64"/>
      <c r="C720" s="64"/>
      <c r="D720" s="64"/>
      <c r="E720" s="64"/>
      <c r="F720" s="64"/>
    </row>
    <row r="721">
      <c r="B721" s="64"/>
      <c r="C721" s="64"/>
      <c r="D721" s="64"/>
      <c r="E721" s="64"/>
      <c r="F721" s="64"/>
    </row>
    <row r="722">
      <c r="B722" s="64"/>
      <c r="C722" s="64"/>
      <c r="D722" s="64"/>
      <c r="E722" s="64"/>
      <c r="F722" s="64"/>
    </row>
    <row r="723">
      <c r="B723" s="64"/>
      <c r="C723" s="64"/>
      <c r="D723" s="64"/>
      <c r="E723" s="64"/>
      <c r="F723" s="64"/>
    </row>
    <row r="724">
      <c r="B724" s="64"/>
      <c r="C724" s="64"/>
      <c r="D724" s="64"/>
      <c r="E724" s="64"/>
      <c r="F724" s="64"/>
    </row>
    <row r="725">
      <c r="B725" s="64"/>
      <c r="C725" s="64"/>
      <c r="D725" s="64"/>
      <c r="E725" s="64"/>
      <c r="F725" s="64"/>
    </row>
    <row r="726">
      <c r="B726" s="64"/>
      <c r="C726" s="64"/>
      <c r="D726" s="64"/>
      <c r="E726" s="64"/>
      <c r="F726" s="64"/>
    </row>
    <row r="727">
      <c r="B727" s="64"/>
      <c r="C727" s="64"/>
      <c r="D727" s="64"/>
      <c r="E727" s="64"/>
      <c r="F727" s="64"/>
    </row>
    <row r="728">
      <c r="B728" s="64"/>
      <c r="C728" s="64"/>
      <c r="D728" s="64"/>
      <c r="E728" s="64"/>
      <c r="F728" s="64"/>
    </row>
    <row r="729">
      <c r="B729" s="64"/>
      <c r="C729" s="64"/>
      <c r="D729" s="64"/>
      <c r="E729" s="64"/>
      <c r="F729" s="64"/>
    </row>
    <row r="730">
      <c r="B730" s="64"/>
      <c r="C730" s="64"/>
      <c r="D730" s="64"/>
      <c r="E730" s="64"/>
      <c r="F730" s="64"/>
    </row>
    <row r="731">
      <c r="B731" s="64"/>
      <c r="C731" s="64"/>
      <c r="D731" s="64"/>
      <c r="E731" s="64"/>
      <c r="F731" s="64"/>
    </row>
    <row r="732">
      <c r="B732" s="64"/>
      <c r="C732" s="64"/>
      <c r="D732" s="64"/>
      <c r="E732" s="64"/>
      <c r="F732" s="64"/>
    </row>
    <row r="733">
      <c r="B733" s="64"/>
      <c r="C733" s="64"/>
      <c r="D733" s="64"/>
      <c r="E733" s="64"/>
      <c r="F733" s="64"/>
    </row>
    <row r="734">
      <c r="B734" s="64"/>
      <c r="C734" s="64"/>
      <c r="D734" s="64"/>
      <c r="E734" s="64"/>
      <c r="F734" s="64"/>
    </row>
    <row r="735">
      <c r="B735" s="64"/>
      <c r="C735" s="64"/>
      <c r="D735" s="64"/>
      <c r="E735" s="64"/>
      <c r="F735" s="64"/>
    </row>
    <row r="736">
      <c r="B736" s="64"/>
      <c r="C736" s="64"/>
      <c r="D736" s="64"/>
      <c r="E736" s="64"/>
      <c r="F736" s="64"/>
    </row>
    <row r="737">
      <c r="B737" s="64"/>
      <c r="C737" s="64"/>
      <c r="D737" s="64"/>
      <c r="E737" s="64"/>
      <c r="F737" s="64"/>
    </row>
    <row r="738">
      <c r="B738" s="64"/>
      <c r="C738" s="64"/>
      <c r="D738" s="64"/>
      <c r="E738" s="64"/>
      <c r="F738" s="64"/>
    </row>
    <row r="739">
      <c r="B739" s="64"/>
      <c r="C739" s="64"/>
      <c r="D739" s="64"/>
      <c r="E739" s="64"/>
      <c r="F739" s="64"/>
    </row>
    <row r="740">
      <c r="B740" s="64"/>
      <c r="C740" s="64"/>
      <c r="D740" s="64"/>
      <c r="E740" s="64"/>
      <c r="F740" s="64"/>
    </row>
    <row r="741">
      <c r="B741" s="64"/>
      <c r="C741" s="64"/>
      <c r="D741" s="64"/>
      <c r="E741" s="64"/>
      <c r="F741" s="64"/>
    </row>
    <row r="742">
      <c r="B742" s="64"/>
      <c r="C742" s="64"/>
      <c r="D742" s="64"/>
      <c r="E742" s="64"/>
      <c r="F742" s="64"/>
    </row>
    <row r="743">
      <c r="B743" s="64"/>
      <c r="C743" s="64"/>
      <c r="D743" s="64"/>
      <c r="E743" s="64"/>
      <c r="F743" s="64"/>
    </row>
    <row r="744">
      <c r="B744" s="64"/>
      <c r="C744" s="64"/>
      <c r="D744" s="64"/>
      <c r="E744" s="64"/>
      <c r="F744" s="64"/>
    </row>
    <row r="745">
      <c r="B745" s="64"/>
      <c r="C745" s="64"/>
      <c r="D745" s="64"/>
      <c r="E745" s="64"/>
      <c r="F745" s="64"/>
    </row>
    <row r="746">
      <c r="B746" s="64"/>
      <c r="C746" s="64"/>
      <c r="D746" s="64"/>
      <c r="E746" s="64"/>
      <c r="F746" s="64"/>
    </row>
    <row r="747">
      <c r="B747" s="64"/>
      <c r="C747" s="64"/>
      <c r="D747" s="64"/>
      <c r="E747" s="64"/>
      <c r="F747" s="64"/>
    </row>
    <row r="748">
      <c r="B748" s="64"/>
      <c r="C748" s="64"/>
      <c r="D748" s="64"/>
      <c r="E748" s="64"/>
      <c r="F748" s="64"/>
    </row>
    <row r="749">
      <c r="B749" s="64"/>
      <c r="C749" s="64"/>
      <c r="D749" s="64"/>
      <c r="E749" s="64"/>
      <c r="F749" s="64"/>
    </row>
    <row r="750">
      <c r="B750" s="64"/>
      <c r="C750" s="64"/>
      <c r="D750" s="64"/>
      <c r="E750" s="64"/>
      <c r="F750" s="64"/>
    </row>
    <row r="751">
      <c r="B751" s="64"/>
      <c r="C751" s="64"/>
      <c r="D751" s="64"/>
      <c r="E751" s="64"/>
      <c r="F751" s="64"/>
    </row>
    <row r="752">
      <c r="B752" s="64"/>
      <c r="C752" s="64"/>
      <c r="D752" s="64"/>
      <c r="E752" s="64"/>
      <c r="F752" s="64"/>
    </row>
    <row r="753">
      <c r="B753" s="64"/>
      <c r="C753" s="64"/>
      <c r="D753" s="64"/>
      <c r="E753" s="64"/>
      <c r="F753" s="64"/>
    </row>
    <row r="754">
      <c r="B754" s="64"/>
      <c r="C754" s="64"/>
      <c r="D754" s="64"/>
      <c r="E754" s="64"/>
      <c r="F754" s="64"/>
    </row>
    <row r="755">
      <c r="B755" s="64"/>
      <c r="C755" s="64"/>
      <c r="D755" s="64"/>
      <c r="E755" s="64"/>
      <c r="F755" s="64"/>
    </row>
    <row r="756">
      <c r="B756" s="64"/>
      <c r="C756" s="64"/>
      <c r="D756" s="64"/>
      <c r="E756" s="64"/>
      <c r="F756" s="64"/>
    </row>
    <row r="757">
      <c r="B757" s="64"/>
      <c r="C757" s="64"/>
      <c r="D757" s="64"/>
      <c r="E757" s="64"/>
      <c r="F757" s="64"/>
    </row>
    <row r="758">
      <c r="B758" s="64"/>
      <c r="C758" s="64"/>
      <c r="D758" s="64"/>
      <c r="E758" s="64"/>
      <c r="F758" s="64"/>
    </row>
    <row r="759">
      <c r="B759" s="64"/>
      <c r="C759" s="64"/>
      <c r="D759" s="64"/>
      <c r="E759" s="64"/>
      <c r="F759" s="64"/>
    </row>
    <row r="760">
      <c r="B760" s="64"/>
      <c r="C760" s="64"/>
      <c r="D760" s="64"/>
      <c r="E760" s="64"/>
      <c r="F760" s="64"/>
    </row>
    <row r="761">
      <c r="B761" s="64"/>
      <c r="C761" s="64"/>
      <c r="D761" s="64"/>
      <c r="E761" s="64"/>
      <c r="F761" s="64"/>
    </row>
    <row r="762">
      <c r="B762" s="64"/>
      <c r="C762" s="64"/>
      <c r="D762" s="64"/>
      <c r="E762" s="64"/>
      <c r="F762" s="64"/>
    </row>
    <row r="763">
      <c r="B763" s="64"/>
      <c r="C763" s="64"/>
      <c r="D763" s="64"/>
      <c r="E763" s="64"/>
      <c r="F763" s="64"/>
    </row>
    <row r="764">
      <c r="B764" s="64"/>
      <c r="C764" s="64"/>
      <c r="D764" s="64"/>
      <c r="E764" s="64"/>
      <c r="F764" s="64"/>
    </row>
    <row r="765">
      <c r="B765" s="64"/>
      <c r="C765" s="64"/>
      <c r="D765" s="64"/>
      <c r="E765" s="64"/>
      <c r="F765" s="64"/>
    </row>
    <row r="766">
      <c r="B766" s="64"/>
      <c r="C766" s="64"/>
      <c r="D766" s="64"/>
      <c r="E766" s="64"/>
      <c r="F766" s="64"/>
    </row>
    <row r="767">
      <c r="B767" s="64"/>
      <c r="C767" s="64"/>
      <c r="D767" s="64"/>
      <c r="E767" s="64"/>
      <c r="F767" s="64"/>
    </row>
    <row r="768">
      <c r="B768" s="64"/>
      <c r="C768" s="64"/>
      <c r="D768" s="64"/>
      <c r="E768" s="64"/>
      <c r="F768" s="64"/>
    </row>
    <row r="769">
      <c r="B769" s="64"/>
      <c r="C769" s="64"/>
      <c r="D769" s="64"/>
      <c r="E769" s="64"/>
      <c r="F769" s="64"/>
    </row>
    <row r="770">
      <c r="B770" s="64"/>
      <c r="C770" s="64"/>
      <c r="D770" s="64"/>
      <c r="E770" s="64"/>
      <c r="F770" s="64"/>
    </row>
    <row r="771">
      <c r="B771" s="64"/>
      <c r="C771" s="64"/>
      <c r="D771" s="64"/>
      <c r="E771" s="64"/>
      <c r="F771" s="64"/>
    </row>
    <row r="772">
      <c r="B772" s="64"/>
      <c r="C772" s="64"/>
      <c r="D772" s="64"/>
      <c r="E772" s="64"/>
      <c r="F772" s="64"/>
    </row>
    <row r="773">
      <c r="B773" s="64"/>
      <c r="C773" s="64"/>
      <c r="D773" s="64"/>
      <c r="E773" s="64"/>
      <c r="F773" s="64"/>
    </row>
    <row r="774">
      <c r="B774" s="64"/>
      <c r="C774" s="64"/>
      <c r="D774" s="64"/>
      <c r="E774" s="64"/>
      <c r="F774" s="64"/>
    </row>
    <row r="775">
      <c r="B775" s="64"/>
      <c r="C775" s="64"/>
      <c r="D775" s="64"/>
      <c r="E775" s="64"/>
      <c r="F775" s="64"/>
    </row>
    <row r="776">
      <c r="B776" s="64"/>
      <c r="C776" s="64"/>
      <c r="D776" s="64"/>
      <c r="E776" s="64"/>
      <c r="F776" s="64"/>
    </row>
    <row r="777">
      <c r="B777" s="64"/>
      <c r="C777" s="64"/>
      <c r="D777" s="64"/>
      <c r="E777" s="64"/>
      <c r="F777" s="64"/>
    </row>
    <row r="778">
      <c r="B778" s="64"/>
      <c r="C778" s="64"/>
      <c r="D778" s="64"/>
      <c r="E778" s="64"/>
      <c r="F778" s="64"/>
    </row>
    <row r="779">
      <c r="B779" s="64"/>
      <c r="C779" s="64"/>
      <c r="D779" s="64"/>
      <c r="E779" s="64"/>
      <c r="F779" s="64"/>
    </row>
    <row r="780">
      <c r="B780" s="64"/>
      <c r="C780" s="64"/>
      <c r="D780" s="64"/>
      <c r="E780" s="64"/>
      <c r="F780" s="64"/>
    </row>
    <row r="781">
      <c r="B781" s="64"/>
      <c r="C781" s="64"/>
      <c r="D781" s="64"/>
      <c r="E781" s="64"/>
      <c r="F781" s="64"/>
    </row>
    <row r="782">
      <c r="B782" s="64"/>
      <c r="C782" s="64"/>
      <c r="D782" s="64"/>
      <c r="E782" s="64"/>
      <c r="F782" s="64"/>
    </row>
    <row r="783">
      <c r="B783" s="64"/>
      <c r="C783" s="64"/>
      <c r="D783" s="64"/>
      <c r="E783" s="64"/>
      <c r="F783" s="64"/>
    </row>
    <row r="784">
      <c r="B784" s="64"/>
      <c r="C784" s="64"/>
      <c r="D784" s="64"/>
      <c r="E784" s="64"/>
      <c r="F784" s="64"/>
    </row>
    <row r="785">
      <c r="B785" s="64"/>
      <c r="C785" s="64"/>
      <c r="D785" s="64"/>
      <c r="E785" s="64"/>
      <c r="F785" s="64"/>
    </row>
    <row r="786">
      <c r="B786" s="64"/>
      <c r="C786" s="64"/>
      <c r="D786" s="64"/>
      <c r="E786" s="64"/>
      <c r="F786" s="64"/>
    </row>
    <row r="787">
      <c r="B787" s="64"/>
      <c r="C787" s="64"/>
      <c r="D787" s="64"/>
      <c r="E787" s="64"/>
      <c r="F787" s="64"/>
    </row>
    <row r="788">
      <c r="B788" s="64"/>
      <c r="C788" s="64"/>
      <c r="D788" s="64"/>
      <c r="E788" s="64"/>
      <c r="F788" s="64"/>
    </row>
    <row r="789">
      <c r="B789" s="64"/>
      <c r="C789" s="64"/>
      <c r="D789" s="64"/>
      <c r="E789" s="64"/>
      <c r="F789" s="64"/>
    </row>
    <row r="790">
      <c r="B790" s="64"/>
      <c r="C790" s="64"/>
      <c r="D790" s="64"/>
      <c r="E790" s="64"/>
      <c r="F790" s="64"/>
    </row>
    <row r="791">
      <c r="B791" s="64"/>
      <c r="C791" s="64"/>
      <c r="D791" s="64"/>
      <c r="E791" s="64"/>
      <c r="F791" s="64"/>
    </row>
    <row r="792">
      <c r="B792" s="64"/>
      <c r="C792" s="64"/>
      <c r="D792" s="64"/>
      <c r="E792" s="64"/>
      <c r="F792" s="64"/>
    </row>
    <row r="793">
      <c r="B793" s="64"/>
      <c r="C793" s="64"/>
      <c r="D793" s="64"/>
      <c r="E793" s="64"/>
      <c r="F793" s="64"/>
    </row>
    <row r="794">
      <c r="B794" s="64"/>
      <c r="C794" s="64"/>
      <c r="D794" s="64"/>
      <c r="E794" s="64"/>
      <c r="F794" s="64"/>
    </row>
    <row r="795">
      <c r="B795" s="64"/>
      <c r="C795" s="64"/>
      <c r="D795" s="64"/>
      <c r="E795" s="64"/>
      <c r="F795" s="64"/>
    </row>
    <row r="796">
      <c r="B796" s="64"/>
      <c r="C796" s="64"/>
      <c r="D796" s="64"/>
      <c r="E796" s="64"/>
      <c r="F796" s="64"/>
    </row>
    <row r="797">
      <c r="B797" s="64"/>
      <c r="C797" s="64"/>
      <c r="D797" s="64"/>
      <c r="E797" s="64"/>
      <c r="F797" s="64"/>
    </row>
    <row r="798">
      <c r="B798" s="64"/>
      <c r="C798" s="64"/>
      <c r="D798" s="64"/>
      <c r="E798" s="64"/>
      <c r="F798" s="64"/>
    </row>
    <row r="799">
      <c r="B799" s="64"/>
      <c r="C799" s="64"/>
      <c r="D799" s="64"/>
      <c r="E799" s="64"/>
      <c r="F799" s="64"/>
    </row>
    <row r="800">
      <c r="B800" s="64"/>
      <c r="C800" s="64"/>
      <c r="D800" s="64"/>
      <c r="E800" s="64"/>
      <c r="F800" s="64"/>
    </row>
    <row r="801">
      <c r="B801" s="64"/>
      <c r="C801" s="64"/>
      <c r="D801" s="64"/>
      <c r="E801" s="64"/>
      <c r="F801" s="64"/>
    </row>
    <row r="802">
      <c r="B802" s="64"/>
      <c r="C802" s="64"/>
      <c r="D802" s="64"/>
      <c r="E802" s="64"/>
      <c r="F802" s="64"/>
    </row>
    <row r="803">
      <c r="B803" s="64"/>
      <c r="C803" s="64"/>
      <c r="D803" s="64"/>
      <c r="E803" s="64"/>
      <c r="F803" s="64"/>
    </row>
    <row r="804">
      <c r="B804" s="64"/>
      <c r="C804" s="64"/>
      <c r="D804" s="64"/>
      <c r="E804" s="64"/>
      <c r="F804" s="64"/>
    </row>
    <row r="805">
      <c r="B805" s="64"/>
      <c r="C805" s="64"/>
      <c r="D805" s="64"/>
      <c r="E805" s="64"/>
      <c r="F805" s="64"/>
    </row>
    <row r="806">
      <c r="B806" s="64"/>
      <c r="C806" s="64"/>
      <c r="D806" s="64"/>
      <c r="E806" s="64"/>
      <c r="F806" s="64"/>
    </row>
    <row r="807">
      <c r="B807" s="64"/>
      <c r="C807" s="64"/>
      <c r="D807" s="64"/>
      <c r="E807" s="64"/>
      <c r="F807" s="64"/>
    </row>
    <row r="808">
      <c r="B808" s="64"/>
      <c r="C808" s="64"/>
      <c r="D808" s="64"/>
      <c r="E808" s="64"/>
      <c r="F808" s="64"/>
    </row>
    <row r="809">
      <c r="B809" s="64"/>
      <c r="C809" s="64"/>
      <c r="D809" s="64"/>
      <c r="E809" s="64"/>
      <c r="F809" s="64"/>
    </row>
    <row r="810">
      <c r="B810" s="64"/>
      <c r="C810" s="64"/>
      <c r="D810" s="64"/>
      <c r="E810" s="64"/>
      <c r="F810" s="64"/>
    </row>
    <row r="811">
      <c r="B811" s="64"/>
      <c r="C811" s="64"/>
      <c r="D811" s="64"/>
      <c r="E811" s="64"/>
      <c r="F811" s="64"/>
    </row>
    <row r="812">
      <c r="B812" s="64"/>
      <c r="C812" s="64"/>
      <c r="D812" s="64"/>
      <c r="E812" s="64"/>
      <c r="F812" s="64"/>
    </row>
    <row r="813">
      <c r="B813" s="64"/>
      <c r="C813" s="64"/>
      <c r="D813" s="64"/>
      <c r="E813" s="64"/>
      <c r="F813" s="64"/>
    </row>
    <row r="814">
      <c r="B814" s="64"/>
      <c r="C814" s="64"/>
      <c r="D814" s="64"/>
      <c r="E814" s="64"/>
      <c r="F814" s="64"/>
    </row>
    <row r="815">
      <c r="B815" s="64"/>
      <c r="C815" s="64"/>
      <c r="D815" s="64"/>
      <c r="E815" s="64"/>
      <c r="F815" s="64"/>
    </row>
    <row r="816">
      <c r="B816" s="64"/>
      <c r="C816" s="64"/>
      <c r="D816" s="64"/>
      <c r="E816" s="64"/>
      <c r="F816" s="64"/>
    </row>
    <row r="817">
      <c r="B817" s="64"/>
      <c r="C817" s="64"/>
      <c r="D817" s="64"/>
      <c r="E817" s="64"/>
      <c r="F817" s="64"/>
    </row>
    <row r="818">
      <c r="B818" s="64"/>
      <c r="C818" s="64"/>
      <c r="D818" s="64"/>
      <c r="E818" s="64"/>
      <c r="F818" s="64"/>
    </row>
    <row r="819">
      <c r="B819" s="64"/>
      <c r="C819" s="64"/>
      <c r="D819" s="64"/>
      <c r="E819" s="64"/>
      <c r="F819" s="64"/>
    </row>
    <row r="820">
      <c r="B820" s="64"/>
      <c r="C820" s="64"/>
      <c r="D820" s="64"/>
      <c r="E820" s="64"/>
      <c r="F820" s="64"/>
    </row>
    <row r="821">
      <c r="B821" s="64"/>
      <c r="C821" s="64"/>
      <c r="D821" s="64"/>
      <c r="E821" s="64"/>
      <c r="F821" s="64"/>
    </row>
    <row r="822">
      <c r="B822" s="64"/>
      <c r="C822" s="64"/>
      <c r="D822" s="64"/>
      <c r="E822" s="64"/>
      <c r="F822" s="64"/>
    </row>
    <row r="823">
      <c r="B823" s="64"/>
      <c r="C823" s="64"/>
      <c r="D823" s="64"/>
      <c r="E823" s="64"/>
      <c r="F823" s="64"/>
    </row>
    <row r="824">
      <c r="B824" s="64"/>
      <c r="C824" s="64"/>
      <c r="D824" s="64"/>
      <c r="E824" s="64"/>
      <c r="F824" s="64"/>
    </row>
    <row r="825">
      <c r="B825" s="64"/>
      <c r="C825" s="64"/>
      <c r="D825" s="64"/>
      <c r="E825" s="64"/>
      <c r="F825" s="64"/>
    </row>
    <row r="826">
      <c r="B826" s="64"/>
      <c r="C826" s="64"/>
      <c r="D826" s="64"/>
      <c r="E826" s="64"/>
      <c r="F826" s="64"/>
    </row>
    <row r="827">
      <c r="B827" s="64"/>
      <c r="C827" s="64"/>
      <c r="D827" s="64"/>
      <c r="E827" s="64"/>
      <c r="F827" s="64"/>
    </row>
    <row r="828">
      <c r="B828" s="64"/>
      <c r="C828" s="64"/>
      <c r="D828" s="64"/>
      <c r="E828" s="64"/>
      <c r="F828" s="64"/>
    </row>
    <row r="829">
      <c r="B829" s="64"/>
      <c r="C829" s="64"/>
      <c r="D829" s="64"/>
      <c r="E829" s="64"/>
      <c r="F829" s="64"/>
    </row>
    <row r="830">
      <c r="B830" s="64"/>
      <c r="C830" s="64"/>
      <c r="D830" s="64"/>
      <c r="E830" s="64"/>
      <c r="F830" s="64"/>
    </row>
    <row r="831">
      <c r="B831" s="64"/>
      <c r="C831" s="64"/>
      <c r="D831" s="64"/>
      <c r="E831" s="64"/>
      <c r="F831" s="64"/>
    </row>
    <row r="832">
      <c r="B832" s="64"/>
      <c r="C832" s="64"/>
      <c r="D832" s="64"/>
      <c r="E832" s="64"/>
      <c r="F832" s="64"/>
    </row>
    <row r="833">
      <c r="B833" s="64"/>
      <c r="C833" s="64"/>
      <c r="D833" s="64"/>
      <c r="E833" s="64"/>
      <c r="F833" s="64"/>
    </row>
    <row r="834">
      <c r="B834" s="64"/>
      <c r="C834" s="64"/>
      <c r="D834" s="64"/>
      <c r="E834" s="64"/>
      <c r="F834" s="64"/>
    </row>
    <row r="835">
      <c r="B835" s="64"/>
      <c r="C835" s="64"/>
      <c r="D835" s="64"/>
      <c r="E835" s="64"/>
      <c r="F835" s="64"/>
    </row>
    <row r="836">
      <c r="B836" s="64"/>
      <c r="C836" s="64"/>
      <c r="D836" s="64"/>
      <c r="E836" s="64"/>
      <c r="F836" s="64"/>
    </row>
    <row r="837">
      <c r="B837" s="64"/>
      <c r="C837" s="64"/>
      <c r="D837" s="64"/>
      <c r="E837" s="64"/>
      <c r="F837" s="64"/>
    </row>
    <row r="838">
      <c r="B838" s="64"/>
      <c r="C838" s="64"/>
      <c r="D838" s="64"/>
      <c r="E838" s="64"/>
      <c r="F838" s="64"/>
    </row>
    <row r="839">
      <c r="B839" s="64"/>
      <c r="C839" s="64"/>
      <c r="D839" s="64"/>
      <c r="E839" s="64"/>
      <c r="F839" s="64"/>
    </row>
    <row r="840">
      <c r="B840" s="64"/>
      <c r="C840" s="64"/>
      <c r="D840" s="64"/>
      <c r="E840" s="64"/>
      <c r="F840" s="64"/>
    </row>
    <row r="841">
      <c r="B841" s="64"/>
      <c r="C841" s="64"/>
      <c r="D841" s="64"/>
      <c r="E841" s="64"/>
      <c r="F841" s="64"/>
    </row>
    <row r="842">
      <c r="B842" s="64"/>
      <c r="C842" s="64"/>
      <c r="D842" s="64"/>
      <c r="E842" s="64"/>
      <c r="F842" s="64"/>
    </row>
    <row r="843">
      <c r="B843" s="64"/>
      <c r="C843" s="64"/>
      <c r="D843" s="64"/>
      <c r="E843" s="64"/>
      <c r="F843" s="64"/>
    </row>
    <row r="844">
      <c r="B844" s="64"/>
      <c r="C844" s="64"/>
      <c r="D844" s="64"/>
      <c r="E844" s="64"/>
      <c r="F844" s="64"/>
    </row>
    <row r="845">
      <c r="B845" s="64"/>
      <c r="C845" s="64"/>
      <c r="D845" s="64"/>
      <c r="E845" s="64"/>
      <c r="F845" s="64"/>
    </row>
    <row r="846">
      <c r="B846" s="64"/>
      <c r="C846" s="64"/>
      <c r="D846" s="64"/>
      <c r="E846" s="64"/>
      <c r="F846" s="64"/>
    </row>
    <row r="847">
      <c r="B847" s="64"/>
      <c r="C847" s="64"/>
      <c r="D847" s="64"/>
      <c r="E847" s="64"/>
      <c r="F847" s="64"/>
    </row>
    <row r="848">
      <c r="B848" s="64"/>
      <c r="C848" s="64"/>
      <c r="D848" s="64"/>
      <c r="E848" s="64"/>
      <c r="F848" s="64"/>
    </row>
    <row r="849">
      <c r="B849" s="64"/>
      <c r="C849" s="64"/>
      <c r="D849" s="64"/>
      <c r="E849" s="64"/>
      <c r="F849" s="64"/>
    </row>
    <row r="850">
      <c r="B850" s="64"/>
      <c r="C850" s="64"/>
      <c r="D850" s="64"/>
      <c r="E850" s="64"/>
      <c r="F850" s="64"/>
    </row>
    <row r="851">
      <c r="B851" s="64"/>
      <c r="C851" s="64"/>
      <c r="D851" s="64"/>
      <c r="E851" s="64"/>
      <c r="F851" s="64"/>
    </row>
    <row r="852">
      <c r="B852" s="64"/>
      <c r="C852" s="64"/>
      <c r="D852" s="64"/>
      <c r="E852" s="64"/>
      <c r="F852" s="64"/>
    </row>
    <row r="853">
      <c r="B853" s="64"/>
      <c r="C853" s="64"/>
      <c r="D853" s="64"/>
      <c r="E853" s="64"/>
      <c r="F853" s="64"/>
    </row>
    <row r="854">
      <c r="B854" s="64"/>
      <c r="C854" s="64"/>
      <c r="D854" s="64"/>
      <c r="E854" s="64"/>
      <c r="F854" s="64"/>
    </row>
    <row r="855">
      <c r="B855" s="64"/>
      <c r="C855" s="64"/>
      <c r="D855" s="64"/>
      <c r="E855" s="64"/>
      <c r="F855" s="64"/>
    </row>
    <row r="856">
      <c r="B856" s="64"/>
      <c r="C856" s="64"/>
      <c r="D856" s="64"/>
      <c r="E856" s="64"/>
      <c r="F856" s="64"/>
    </row>
    <row r="857">
      <c r="B857" s="64"/>
      <c r="C857" s="64"/>
      <c r="D857" s="64"/>
      <c r="E857" s="64"/>
      <c r="F857" s="64"/>
    </row>
    <row r="858">
      <c r="B858" s="64"/>
      <c r="C858" s="64"/>
      <c r="D858" s="64"/>
      <c r="E858" s="64"/>
      <c r="F858" s="64"/>
    </row>
    <row r="859">
      <c r="B859" s="64"/>
      <c r="C859" s="64"/>
      <c r="D859" s="64"/>
      <c r="E859" s="64"/>
      <c r="F859" s="64"/>
    </row>
    <row r="860">
      <c r="B860" s="64"/>
      <c r="C860" s="64"/>
      <c r="D860" s="64"/>
      <c r="E860" s="64"/>
      <c r="F860" s="64"/>
    </row>
    <row r="861">
      <c r="B861" s="64"/>
      <c r="C861" s="64"/>
      <c r="D861" s="64"/>
      <c r="E861" s="64"/>
      <c r="F861" s="64"/>
    </row>
    <row r="862">
      <c r="B862" s="64"/>
      <c r="C862" s="64"/>
      <c r="D862" s="64"/>
      <c r="E862" s="64"/>
      <c r="F862" s="64"/>
    </row>
    <row r="863">
      <c r="B863" s="64"/>
      <c r="C863" s="64"/>
      <c r="D863" s="64"/>
      <c r="E863" s="64"/>
      <c r="F863" s="64"/>
    </row>
    <row r="864">
      <c r="B864" s="64"/>
      <c r="C864" s="64"/>
      <c r="D864" s="64"/>
      <c r="E864" s="64"/>
      <c r="F864" s="64"/>
    </row>
    <row r="865">
      <c r="B865" s="64"/>
      <c r="C865" s="64"/>
      <c r="D865" s="64"/>
      <c r="E865" s="64"/>
      <c r="F865" s="64"/>
    </row>
    <row r="866">
      <c r="B866" s="64"/>
      <c r="C866" s="64"/>
      <c r="D866" s="64"/>
      <c r="E866" s="64"/>
      <c r="F866" s="64"/>
    </row>
    <row r="867">
      <c r="B867" s="64"/>
      <c r="C867" s="64"/>
      <c r="D867" s="64"/>
      <c r="E867" s="64"/>
      <c r="F867" s="64"/>
    </row>
    <row r="868">
      <c r="B868" s="64"/>
      <c r="C868" s="64"/>
      <c r="D868" s="64"/>
      <c r="E868" s="64"/>
      <c r="F868" s="64"/>
    </row>
    <row r="869">
      <c r="B869" s="64"/>
      <c r="C869" s="64"/>
      <c r="D869" s="64"/>
      <c r="E869" s="64"/>
      <c r="F869" s="64"/>
    </row>
    <row r="870">
      <c r="B870" s="64"/>
      <c r="C870" s="64"/>
      <c r="D870" s="64"/>
      <c r="E870" s="64"/>
      <c r="F870" s="64"/>
    </row>
    <row r="871">
      <c r="B871" s="64"/>
      <c r="C871" s="64"/>
      <c r="D871" s="64"/>
      <c r="E871" s="64"/>
      <c r="F871" s="64"/>
    </row>
    <row r="872">
      <c r="B872" s="64"/>
      <c r="C872" s="64"/>
      <c r="D872" s="64"/>
      <c r="E872" s="64"/>
      <c r="F872" s="64"/>
    </row>
    <row r="873">
      <c r="B873" s="64"/>
      <c r="C873" s="64"/>
      <c r="D873" s="64"/>
      <c r="E873" s="64"/>
      <c r="F873" s="64"/>
    </row>
    <row r="874">
      <c r="B874" s="64"/>
      <c r="C874" s="64"/>
      <c r="D874" s="64"/>
      <c r="E874" s="64"/>
      <c r="F874" s="64"/>
    </row>
    <row r="875">
      <c r="B875" s="64"/>
      <c r="C875" s="64"/>
      <c r="D875" s="64"/>
      <c r="E875" s="64"/>
      <c r="F875" s="64"/>
    </row>
    <row r="876">
      <c r="B876" s="64"/>
      <c r="C876" s="64"/>
      <c r="D876" s="64"/>
      <c r="E876" s="64"/>
      <c r="F876" s="64"/>
    </row>
    <row r="877">
      <c r="B877" s="64"/>
      <c r="C877" s="64"/>
      <c r="D877" s="64"/>
      <c r="E877" s="64"/>
      <c r="F877" s="64"/>
    </row>
    <row r="878">
      <c r="B878" s="64"/>
      <c r="C878" s="64"/>
      <c r="D878" s="64"/>
      <c r="E878" s="64"/>
      <c r="F878" s="64"/>
    </row>
    <row r="879">
      <c r="B879" s="64"/>
      <c r="C879" s="64"/>
      <c r="D879" s="64"/>
      <c r="E879" s="64"/>
      <c r="F879" s="64"/>
    </row>
    <row r="880">
      <c r="B880" s="64"/>
      <c r="C880" s="64"/>
      <c r="D880" s="64"/>
      <c r="E880" s="64"/>
      <c r="F880" s="64"/>
    </row>
    <row r="881">
      <c r="B881" s="64"/>
      <c r="C881" s="64"/>
      <c r="D881" s="64"/>
      <c r="E881" s="64"/>
      <c r="F881" s="64"/>
    </row>
    <row r="882">
      <c r="B882" s="64"/>
      <c r="C882" s="64"/>
      <c r="D882" s="64"/>
      <c r="E882" s="64"/>
      <c r="F882" s="64"/>
    </row>
    <row r="883">
      <c r="B883" s="64"/>
      <c r="C883" s="64"/>
      <c r="D883" s="64"/>
      <c r="E883" s="64"/>
      <c r="F883" s="64"/>
    </row>
    <row r="884">
      <c r="B884" s="64"/>
      <c r="C884" s="64"/>
      <c r="D884" s="64"/>
      <c r="E884" s="64"/>
      <c r="F884" s="64"/>
    </row>
    <row r="885">
      <c r="B885" s="64"/>
      <c r="C885" s="64"/>
      <c r="D885" s="64"/>
      <c r="E885" s="64"/>
      <c r="F885" s="64"/>
    </row>
    <row r="886">
      <c r="B886" s="64"/>
      <c r="C886" s="64"/>
      <c r="D886" s="64"/>
      <c r="E886" s="64"/>
      <c r="F886" s="64"/>
    </row>
    <row r="887">
      <c r="B887" s="64"/>
      <c r="C887" s="64"/>
      <c r="D887" s="64"/>
      <c r="E887" s="64"/>
      <c r="F887" s="64"/>
    </row>
    <row r="888">
      <c r="B888" s="64"/>
      <c r="C888" s="64"/>
      <c r="D888" s="64"/>
      <c r="E888" s="64"/>
      <c r="F888" s="64"/>
    </row>
    <row r="889">
      <c r="B889" s="64"/>
      <c r="C889" s="64"/>
      <c r="D889" s="64"/>
      <c r="E889" s="64"/>
      <c r="F889" s="64"/>
    </row>
    <row r="890">
      <c r="B890" s="64"/>
      <c r="C890" s="64"/>
      <c r="D890" s="64"/>
      <c r="E890" s="64"/>
      <c r="F890" s="64"/>
    </row>
    <row r="891">
      <c r="B891" s="64"/>
      <c r="C891" s="64"/>
      <c r="D891" s="64"/>
      <c r="E891" s="64"/>
      <c r="F891" s="64"/>
    </row>
    <row r="892">
      <c r="B892" s="64"/>
      <c r="C892" s="64"/>
      <c r="D892" s="64"/>
      <c r="E892" s="64"/>
      <c r="F892" s="64"/>
    </row>
    <row r="893">
      <c r="B893" s="64"/>
      <c r="C893" s="64"/>
      <c r="D893" s="64"/>
      <c r="E893" s="64"/>
      <c r="F893" s="64"/>
    </row>
    <row r="894">
      <c r="B894" s="64"/>
      <c r="C894" s="64"/>
      <c r="D894" s="64"/>
      <c r="E894" s="64"/>
      <c r="F894" s="64"/>
    </row>
    <row r="895">
      <c r="B895" s="64"/>
      <c r="C895" s="64"/>
      <c r="D895" s="64"/>
      <c r="E895" s="64"/>
      <c r="F895" s="64"/>
    </row>
    <row r="896">
      <c r="B896" s="64"/>
      <c r="C896" s="64"/>
      <c r="D896" s="64"/>
      <c r="E896" s="64"/>
      <c r="F896" s="64"/>
    </row>
    <row r="897">
      <c r="B897" s="64"/>
      <c r="C897" s="64"/>
      <c r="D897" s="64"/>
      <c r="E897" s="64"/>
      <c r="F897" s="64"/>
    </row>
    <row r="898">
      <c r="B898" s="64"/>
      <c r="C898" s="64"/>
      <c r="D898" s="64"/>
      <c r="E898" s="64"/>
      <c r="F898" s="64"/>
    </row>
    <row r="899">
      <c r="B899" s="64"/>
      <c r="C899" s="64"/>
      <c r="D899" s="64"/>
      <c r="E899" s="64"/>
      <c r="F899" s="64"/>
    </row>
    <row r="900">
      <c r="B900" s="64"/>
      <c r="C900" s="64"/>
      <c r="D900" s="64"/>
      <c r="E900" s="64"/>
      <c r="F900" s="64"/>
    </row>
    <row r="901">
      <c r="B901" s="64"/>
      <c r="C901" s="64"/>
      <c r="D901" s="64"/>
      <c r="E901" s="64"/>
      <c r="F901" s="64"/>
    </row>
    <row r="902">
      <c r="B902" s="64"/>
      <c r="C902" s="64"/>
      <c r="D902" s="64"/>
      <c r="E902" s="64"/>
      <c r="F902" s="64"/>
    </row>
    <row r="903">
      <c r="B903" s="64"/>
      <c r="C903" s="64"/>
      <c r="D903" s="64"/>
      <c r="E903" s="64"/>
      <c r="F903" s="64"/>
    </row>
    <row r="904">
      <c r="B904" s="64"/>
      <c r="C904" s="64"/>
      <c r="D904" s="64"/>
      <c r="E904" s="64"/>
      <c r="F904" s="64"/>
    </row>
    <row r="905">
      <c r="B905" s="64"/>
      <c r="C905" s="64"/>
      <c r="D905" s="64"/>
      <c r="E905" s="64"/>
      <c r="F905" s="64"/>
    </row>
    <row r="906">
      <c r="B906" s="64"/>
      <c r="C906" s="64"/>
      <c r="D906" s="64"/>
      <c r="E906" s="64"/>
      <c r="F906" s="64"/>
    </row>
    <row r="907">
      <c r="B907" s="64"/>
      <c r="C907" s="64"/>
      <c r="D907" s="64"/>
      <c r="E907" s="64"/>
      <c r="F907" s="64"/>
    </row>
    <row r="908">
      <c r="B908" s="64"/>
      <c r="C908" s="64"/>
      <c r="D908" s="64"/>
      <c r="E908" s="64"/>
      <c r="F908" s="64"/>
    </row>
    <row r="909">
      <c r="B909" s="64"/>
      <c r="C909" s="64"/>
      <c r="D909" s="64"/>
      <c r="E909" s="64"/>
      <c r="F909" s="64"/>
    </row>
    <row r="910">
      <c r="B910" s="64"/>
      <c r="C910" s="64"/>
      <c r="D910" s="64"/>
      <c r="E910" s="64"/>
      <c r="F910" s="64"/>
    </row>
    <row r="911">
      <c r="B911" s="64"/>
      <c r="C911" s="64"/>
      <c r="D911" s="64"/>
      <c r="E911" s="64"/>
      <c r="F911" s="64"/>
    </row>
    <row r="912">
      <c r="B912" s="64"/>
      <c r="C912" s="64"/>
      <c r="D912" s="64"/>
      <c r="E912" s="64"/>
      <c r="F912" s="64"/>
    </row>
    <row r="913">
      <c r="B913" s="64"/>
      <c r="C913" s="64"/>
      <c r="D913" s="64"/>
      <c r="E913" s="64"/>
      <c r="F913" s="64"/>
    </row>
    <row r="914">
      <c r="B914" s="64"/>
      <c r="C914" s="64"/>
      <c r="D914" s="64"/>
      <c r="E914" s="64"/>
      <c r="F914" s="64"/>
    </row>
    <row r="915">
      <c r="B915" s="64"/>
      <c r="C915" s="64"/>
      <c r="D915" s="64"/>
      <c r="E915" s="64"/>
      <c r="F915" s="64"/>
    </row>
    <row r="916">
      <c r="B916" s="64"/>
      <c r="C916" s="64"/>
      <c r="D916" s="64"/>
      <c r="E916" s="64"/>
      <c r="F916" s="64"/>
    </row>
    <row r="917">
      <c r="B917" s="64"/>
      <c r="C917" s="64"/>
      <c r="D917" s="64"/>
      <c r="E917" s="64"/>
      <c r="F917" s="64"/>
    </row>
    <row r="918">
      <c r="B918" s="64"/>
      <c r="C918" s="64"/>
      <c r="D918" s="64"/>
      <c r="E918" s="64"/>
      <c r="F918" s="64"/>
    </row>
    <row r="919">
      <c r="B919" s="64"/>
      <c r="C919" s="64"/>
      <c r="D919" s="64"/>
      <c r="E919" s="64"/>
      <c r="F919" s="64"/>
    </row>
    <row r="920">
      <c r="B920" s="64"/>
      <c r="C920" s="64"/>
      <c r="D920" s="64"/>
      <c r="E920" s="64"/>
      <c r="F920" s="64"/>
    </row>
    <row r="921">
      <c r="B921" s="64"/>
      <c r="C921" s="64"/>
      <c r="D921" s="64"/>
      <c r="E921" s="64"/>
      <c r="F921" s="64"/>
    </row>
    <row r="922">
      <c r="B922" s="64"/>
      <c r="C922" s="64"/>
      <c r="D922" s="64"/>
      <c r="E922" s="64"/>
      <c r="F922" s="64"/>
    </row>
    <row r="923">
      <c r="B923" s="64"/>
      <c r="C923" s="64"/>
      <c r="D923" s="64"/>
      <c r="E923" s="64"/>
      <c r="F923" s="64"/>
    </row>
    <row r="924">
      <c r="B924" s="64"/>
      <c r="C924" s="64"/>
      <c r="D924" s="64"/>
      <c r="E924" s="64"/>
      <c r="F924" s="64"/>
    </row>
    <row r="925">
      <c r="B925" s="64"/>
      <c r="C925" s="64"/>
      <c r="D925" s="64"/>
      <c r="E925" s="64"/>
      <c r="F925" s="64"/>
    </row>
    <row r="926">
      <c r="B926" s="64"/>
      <c r="C926" s="64"/>
      <c r="D926" s="64"/>
      <c r="E926" s="64"/>
      <c r="F926" s="64"/>
    </row>
    <row r="927">
      <c r="B927" s="64"/>
      <c r="C927" s="64"/>
      <c r="D927" s="64"/>
      <c r="E927" s="64"/>
      <c r="F927" s="64"/>
    </row>
    <row r="928">
      <c r="B928" s="64"/>
      <c r="C928" s="64"/>
      <c r="D928" s="64"/>
      <c r="E928" s="64"/>
      <c r="F928" s="64"/>
    </row>
    <row r="929">
      <c r="B929" s="64"/>
      <c r="C929" s="64"/>
      <c r="D929" s="64"/>
      <c r="E929" s="64"/>
      <c r="F929" s="64"/>
    </row>
    <row r="930">
      <c r="B930" s="64"/>
      <c r="C930" s="64"/>
      <c r="D930" s="64"/>
      <c r="E930" s="64"/>
      <c r="F930" s="64"/>
    </row>
    <row r="931">
      <c r="B931" s="64"/>
      <c r="C931" s="64"/>
      <c r="D931" s="64"/>
      <c r="E931" s="64"/>
      <c r="F931" s="64"/>
    </row>
    <row r="932">
      <c r="B932" s="64"/>
      <c r="C932" s="64"/>
      <c r="D932" s="64"/>
      <c r="E932" s="64"/>
      <c r="F932" s="64"/>
    </row>
    <row r="933">
      <c r="B933" s="64"/>
      <c r="C933" s="64"/>
      <c r="D933" s="64"/>
      <c r="E933" s="64"/>
      <c r="F933" s="64"/>
    </row>
    <row r="934">
      <c r="B934" s="64"/>
      <c r="C934" s="64"/>
      <c r="D934" s="64"/>
      <c r="E934" s="64"/>
      <c r="F934" s="64"/>
    </row>
    <row r="935">
      <c r="B935" s="64"/>
      <c r="C935" s="64"/>
      <c r="D935" s="64"/>
      <c r="E935" s="64"/>
      <c r="F935" s="64"/>
    </row>
    <row r="936">
      <c r="B936" s="64"/>
      <c r="C936" s="64"/>
      <c r="D936" s="64"/>
      <c r="E936" s="64"/>
      <c r="F936" s="64"/>
    </row>
    <row r="937">
      <c r="B937" s="64"/>
      <c r="C937" s="64"/>
      <c r="D937" s="64"/>
      <c r="E937" s="64"/>
      <c r="F937" s="64"/>
    </row>
    <row r="938">
      <c r="B938" s="64"/>
      <c r="C938" s="64"/>
      <c r="D938" s="64"/>
      <c r="E938" s="64"/>
      <c r="F938" s="64"/>
    </row>
    <row r="939">
      <c r="B939" s="64"/>
      <c r="C939" s="64"/>
      <c r="D939" s="64"/>
      <c r="E939" s="64"/>
      <c r="F939" s="64"/>
    </row>
    <row r="940">
      <c r="B940" s="64"/>
      <c r="C940" s="64"/>
      <c r="D940" s="64"/>
      <c r="E940" s="64"/>
      <c r="F940" s="64"/>
    </row>
    <row r="941">
      <c r="B941" s="64"/>
      <c r="C941" s="64"/>
      <c r="D941" s="64"/>
      <c r="E941" s="64"/>
      <c r="F941" s="64"/>
    </row>
    <row r="942">
      <c r="B942" s="64"/>
      <c r="C942" s="64"/>
      <c r="D942" s="64"/>
      <c r="E942" s="64"/>
      <c r="F942" s="64"/>
    </row>
    <row r="943">
      <c r="B943" s="64"/>
      <c r="C943" s="64"/>
      <c r="D943" s="64"/>
      <c r="E943" s="64"/>
      <c r="F943" s="64"/>
    </row>
    <row r="944">
      <c r="B944" s="64"/>
      <c r="C944" s="64"/>
      <c r="D944" s="64"/>
      <c r="E944" s="64"/>
      <c r="F944" s="64"/>
    </row>
    <row r="945">
      <c r="B945" s="64"/>
      <c r="C945" s="64"/>
      <c r="D945" s="64"/>
      <c r="E945" s="64"/>
      <c r="F945" s="64"/>
    </row>
    <row r="946">
      <c r="B946" s="64"/>
      <c r="C946" s="64"/>
      <c r="D946" s="64"/>
      <c r="E946" s="64"/>
      <c r="F946" s="64"/>
    </row>
    <row r="947">
      <c r="B947" s="64"/>
      <c r="C947" s="64"/>
      <c r="D947" s="64"/>
      <c r="E947" s="64"/>
      <c r="F947" s="64"/>
    </row>
    <row r="948">
      <c r="B948" s="64"/>
      <c r="C948" s="64"/>
      <c r="D948" s="64"/>
      <c r="E948" s="64"/>
      <c r="F948" s="64"/>
    </row>
    <row r="949">
      <c r="B949" s="64"/>
      <c r="C949" s="64"/>
      <c r="D949" s="64"/>
      <c r="E949" s="64"/>
      <c r="F949" s="64"/>
    </row>
    <row r="950">
      <c r="B950" s="64"/>
      <c r="C950" s="64"/>
      <c r="D950" s="64"/>
      <c r="E950" s="64"/>
      <c r="F950" s="64"/>
    </row>
    <row r="951">
      <c r="B951" s="64"/>
      <c r="C951" s="64"/>
      <c r="D951" s="64"/>
      <c r="E951" s="64"/>
      <c r="F951" s="64"/>
    </row>
    <row r="952">
      <c r="B952" s="64"/>
      <c r="C952" s="64"/>
      <c r="D952" s="64"/>
      <c r="E952" s="64"/>
      <c r="F952" s="64"/>
    </row>
    <row r="953">
      <c r="B953" s="64"/>
      <c r="C953" s="64"/>
      <c r="D953" s="64"/>
      <c r="E953" s="64"/>
      <c r="F953" s="64"/>
    </row>
    <row r="954">
      <c r="B954" s="64"/>
      <c r="C954" s="64"/>
      <c r="D954" s="64"/>
      <c r="E954" s="64"/>
      <c r="F954" s="64"/>
    </row>
    <row r="955">
      <c r="B955" s="64"/>
      <c r="C955" s="64"/>
      <c r="D955" s="64"/>
      <c r="E955" s="64"/>
      <c r="F955" s="64"/>
    </row>
    <row r="956">
      <c r="B956" s="64"/>
      <c r="C956" s="64"/>
      <c r="D956" s="64"/>
      <c r="E956" s="64"/>
      <c r="F956" s="64"/>
    </row>
    <row r="957">
      <c r="B957" s="64"/>
      <c r="C957" s="64"/>
      <c r="D957" s="64"/>
      <c r="E957" s="64"/>
      <c r="F957" s="64"/>
    </row>
    <row r="958">
      <c r="B958" s="64"/>
      <c r="C958" s="64"/>
      <c r="D958" s="64"/>
      <c r="E958" s="64"/>
      <c r="F958" s="64"/>
    </row>
    <row r="959">
      <c r="B959" s="64"/>
      <c r="C959" s="64"/>
      <c r="D959" s="64"/>
      <c r="E959" s="64"/>
      <c r="F959" s="64"/>
    </row>
    <row r="960">
      <c r="B960" s="64"/>
      <c r="C960" s="64"/>
      <c r="D960" s="64"/>
      <c r="E960" s="64"/>
      <c r="F960" s="64"/>
    </row>
    <row r="961">
      <c r="B961" s="64"/>
      <c r="C961" s="64"/>
      <c r="D961" s="64"/>
      <c r="E961" s="64"/>
      <c r="F961" s="64"/>
    </row>
    <row r="962">
      <c r="B962" s="64"/>
      <c r="C962" s="64"/>
      <c r="D962" s="64"/>
      <c r="E962" s="64"/>
      <c r="F962" s="64"/>
    </row>
    <row r="963">
      <c r="B963" s="64"/>
      <c r="C963" s="64"/>
      <c r="D963" s="64"/>
      <c r="E963" s="64"/>
      <c r="F963" s="64"/>
    </row>
    <row r="964">
      <c r="B964" s="64"/>
      <c r="C964" s="64"/>
      <c r="D964" s="64"/>
      <c r="E964" s="64"/>
      <c r="F964" s="64"/>
    </row>
    <row r="965">
      <c r="B965" s="64"/>
      <c r="C965" s="64"/>
      <c r="D965" s="64"/>
      <c r="E965" s="64"/>
      <c r="F965" s="64"/>
    </row>
    <row r="966">
      <c r="B966" s="64"/>
      <c r="C966" s="64"/>
      <c r="D966" s="64"/>
      <c r="E966" s="64"/>
      <c r="F966" s="64"/>
    </row>
    <row r="967">
      <c r="B967" s="64"/>
      <c r="C967" s="64"/>
      <c r="D967" s="64"/>
      <c r="E967" s="64"/>
      <c r="F967" s="64"/>
    </row>
    <row r="968">
      <c r="B968" s="64"/>
      <c r="C968" s="64"/>
      <c r="D968" s="64"/>
      <c r="E968" s="64"/>
      <c r="F968" s="64"/>
    </row>
    <row r="969">
      <c r="B969" s="64"/>
      <c r="C969" s="64"/>
      <c r="D969" s="64"/>
      <c r="E969" s="64"/>
      <c r="F969" s="64"/>
    </row>
    <row r="970">
      <c r="B970" s="64"/>
      <c r="C970" s="64"/>
      <c r="D970" s="64"/>
      <c r="E970" s="64"/>
      <c r="F970" s="64"/>
    </row>
    <row r="971">
      <c r="B971" s="64"/>
      <c r="C971" s="64"/>
      <c r="D971" s="64"/>
      <c r="E971" s="64"/>
      <c r="F971" s="64"/>
    </row>
    <row r="972">
      <c r="B972" s="64"/>
      <c r="C972" s="64"/>
      <c r="D972" s="64"/>
      <c r="E972" s="64"/>
      <c r="F972" s="64"/>
    </row>
    <row r="973">
      <c r="B973" s="64"/>
      <c r="C973" s="64"/>
      <c r="D973" s="64"/>
      <c r="E973" s="64"/>
      <c r="F973" s="64"/>
    </row>
    <row r="974">
      <c r="B974" s="64"/>
      <c r="C974" s="64"/>
      <c r="D974" s="64"/>
      <c r="E974" s="64"/>
      <c r="F974" s="64"/>
    </row>
    <row r="975">
      <c r="B975" s="64"/>
      <c r="C975" s="64"/>
      <c r="D975" s="64"/>
      <c r="E975" s="64"/>
      <c r="F975" s="64"/>
    </row>
    <row r="976">
      <c r="B976" s="64"/>
      <c r="C976" s="64"/>
      <c r="D976" s="64"/>
      <c r="E976" s="64"/>
      <c r="F976" s="64"/>
    </row>
    <row r="977">
      <c r="B977" s="64"/>
      <c r="C977" s="64"/>
      <c r="D977" s="64"/>
      <c r="E977" s="64"/>
      <c r="F977" s="64"/>
    </row>
    <row r="978">
      <c r="B978" s="64"/>
      <c r="C978" s="64"/>
      <c r="D978" s="64"/>
      <c r="E978" s="64"/>
      <c r="F978" s="64"/>
    </row>
    <row r="979">
      <c r="B979" s="64"/>
      <c r="C979" s="64"/>
      <c r="D979" s="64"/>
      <c r="E979" s="64"/>
      <c r="F979" s="64"/>
    </row>
    <row r="980">
      <c r="B980" s="64"/>
      <c r="C980" s="64"/>
      <c r="D980" s="64"/>
      <c r="E980" s="64"/>
      <c r="F980" s="64"/>
    </row>
    <row r="981">
      <c r="B981" s="64"/>
      <c r="C981" s="64"/>
      <c r="D981" s="64"/>
      <c r="E981" s="64"/>
      <c r="F981" s="64"/>
    </row>
    <row r="982">
      <c r="B982" s="64"/>
      <c r="C982" s="64"/>
      <c r="D982" s="64"/>
      <c r="E982" s="64"/>
      <c r="F982" s="64"/>
    </row>
    <row r="983">
      <c r="B983" s="64"/>
      <c r="C983" s="64"/>
      <c r="D983" s="64"/>
      <c r="E983" s="64"/>
      <c r="F983" s="64"/>
    </row>
    <row r="984">
      <c r="B984" s="64"/>
      <c r="C984" s="64"/>
      <c r="D984" s="64"/>
      <c r="E984" s="64"/>
      <c r="F984" s="64"/>
    </row>
    <row r="985">
      <c r="B985" s="64"/>
      <c r="C985" s="64"/>
      <c r="D985" s="64"/>
      <c r="E985" s="64"/>
      <c r="F985" s="64"/>
    </row>
    <row r="986">
      <c r="B986" s="64"/>
      <c r="C986" s="64"/>
      <c r="D986" s="64"/>
      <c r="E986" s="64"/>
      <c r="F986" s="64"/>
    </row>
    <row r="987">
      <c r="B987" s="64"/>
      <c r="C987" s="64"/>
      <c r="D987" s="64"/>
      <c r="E987" s="64"/>
      <c r="F987" s="64"/>
    </row>
    <row r="988">
      <c r="B988" s="64"/>
      <c r="C988" s="64"/>
      <c r="D988" s="64"/>
      <c r="E988" s="64"/>
      <c r="F988" s="64"/>
    </row>
    <row r="989">
      <c r="B989" s="64"/>
      <c r="C989" s="64"/>
      <c r="D989" s="64"/>
      <c r="E989" s="64"/>
      <c r="F989" s="64"/>
    </row>
    <row r="990">
      <c r="B990" s="64"/>
      <c r="C990" s="64"/>
      <c r="D990" s="64"/>
      <c r="E990" s="64"/>
      <c r="F990" s="64"/>
    </row>
    <row r="991">
      <c r="B991" s="64"/>
      <c r="C991" s="64"/>
      <c r="D991" s="64"/>
      <c r="E991" s="64"/>
      <c r="F991" s="64"/>
    </row>
    <row r="992">
      <c r="B992" s="64"/>
      <c r="C992" s="64"/>
      <c r="D992" s="64"/>
      <c r="E992" s="64"/>
      <c r="F992" s="64"/>
    </row>
    <row r="993">
      <c r="B993" s="64"/>
      <c r="C993" s="64"/>
      <c r="D993" s="64"/>
      <c r="E993" s="64"/>
      <c r="F993" s="64"/>
    </row>
    <row r="994">
      <c r="B994" s="64"/>
      <c r="C994" s="64"/>
      <c r="D994" s="64"/>
      <c r="E994" s="64"/>
      <c r="F994" s="64"/>
    </row>
    <row r="995">
      <c r="B995" s="64"/>
      <c r="C995" s="64"/>
      <c r="D995" s="64"/>
      <c r="E995" s="64"/>
      <c r="F995" s="64"/>
    </row>
    <row r="996">
      <c r="B996" s="64"/>
      <c r="C996" s="64"/>
      <c r="D996" s="64"/>
      <c r="E996" s="64"/>
      <c r="F996" s="64"/>
    </row>
    <row r="997">
      <c r="B997" s="64"/>
      <c r="C997" s="64"/>
      <c r="D997" s="64"/>
      <c r="E997" s="64"/>
      <c r="F997" s="64"/>
    </row>
    <row r="998">
      <c r="B998" s="64"/>
      <c r="C998" s="64"/>
      <c r="D998" s="64"/>
      <c r="E998" s="64"/>
      <c r="F998" s="64"/>
    </row>
    <row r="999">
      <c r="B999" s="64"/>
      <c r="C999" s="64"/>
      <c r="D999" s="64"/>
      <c r="E999" s="64"/>
      <c r="F999" s="64"/>
    </row>
    <row r="1000">
      <c r="B1000" s="64"/>
      <c r="C1000" s="64"/>
      <c r="D1000" s="64"/>
      <c r="E1000" s="64"/>
      <c r="F1000" s="64"/>
    </row>
    <row r="1001">
      <c r="B1001" s="64"/>
      <c r="C1001" s="64"/>
      <c r="D1001" s="64"/>
      <c r="E1001" s="64"/>
      <c r="F1001" s="64"/>
    </row>
    <row r="1002">
      <c r="B1002" s="64"/>
      <c r="C1002" s="64"/>
      <c r="D1002" s="64"/>
      <c r="E1002" s="64"/>
      <c r="F1002" s="64"/>
    </row>
    <row r="1003">
      <c r="B1003" s="64"/>
      <c r="C1003" s="64"/>
      <c r="D1003" s="64"/>
      <c r="E1003" s="64"/>
      <c r="F1003" s="64"/>
    </row>
    <row r="1004">
      <c r="B1004" s="64"/>
      <c r="C1004" s="64"/>
      <c r="D1004" s="64"/>
      <c r="E1004" s="64"/>
      <c r="F1004" s="64"/>
    </row>
    <row r="1005">
      <c r="B1005" s="64"/>
      <c r="C1005" s="64"/>
      <c r="D1005" s="64"/>
      <c r="E1005" s="64"/>
      <c r="F1005" s="64"/>
    </row>
    <row r="1006">
      <c r="B1006" s="64"/>
      <c r="C1006" s="64"/>
      <c r="D1006" s="64"/>
      <c r="E1006" s="64"/>
      <c r="F1006" s="64"/>
    </row>
    <row r="1007">
      <c r="B1007" s="64"/>
      <c r="C1007" s="64"/>
      <c r="D1007" s="64"/>
      <c r="E1007" s="64"/>
      <c r="F1007" s="64"/>
    </row>
    <row r="1008">
      <c r="B1008" s="64"/>
      <c r="C1008" s="64"/>
      <c r="D1008" s="64"/>
      <c r="E1008" s="64"/>
      <c r="F1008" s="64"/>
    </row>
    <row r="1009">
      <c r="B1009" s="64"/>
      <c r="C1009" s="64"/>
      <c r="D1009" s="64"/>
      <c r="E1009" s="64"/>
      <c r="F1009" s="64"/>
    </row>
    <row r="1010">
      <c r="B1010" s="64"/>
      <c r="C1010" s="64"/>
      <c r="D1010" s="64"/>
      <c r="E1010" s="64"/>
      <c r="F1010" s="64"/>
    </row>
    <row r="1011">
      <c r="B1011" s="64"/>
      <c r="C1011" s="64"/>
      <c r="D1011" s="64"/>
      <c r="E1011" s="64"/>
      <c r="F1011" s="64"/>
    </row>
    <row r="1012">
      <c r="B1012" s="64"/>
      <c r="C1012" s="64"/>
      <c r="D1012" s="64"/>
      <c r="E1012" s="64"/>
      <c r="F1012" s="64"/>
    </row>
    <row r="1013">
      <c r="B1013" s="64"/>
      <c r="C1013" s="64"/>
      <c r="D1013" s="64"/>
      <c r="E1013" s="64"/>
      <c r="F1013" s="64"/>
    </row>
    <row r="1014">
      <c r="B1014" s="64"/>
      <c r="C1014" s="64"/>
      <c r="D1014" s="64"/>
      <c r="E1014" s="64"/>
      <c r="F1014" s="64"/>
    </row>
    <row r="1015">
      <c r="B1015" s="64"/>
      <c r="C1015" s="64"/>
      <c r="D1015" s="64"/>
      <c r="E1015" s="64"/>
      <c r="F1015" s="64"/>
    </row>
    <row r="1016">
      <c r="B1016" s="64"/>
      <c r="C1016" s="64"/>
      <c r="D1016" s="64"/>
      <c r="E1016" s="64"/>
      <c r="F1016" s="64"/>
    </row>
    <row r="1017">
      <c r="B1017" s="64"/>
      <c r="C1017" s="64"/>
      <c r="D1017" s="64"/>
      <c r="E1017" s="64"/>
      <c r="F1017" s="64"/>
    </row>
    <row r="1018">
      <c r="B1018" s="64"/>
      <c r="C1018" s="64"/>
      <c r="D1018" s="64"/>
      <c r="E1018" s="64"/>
      <c r="F1018" s="64"/>
    </row>
    <row r="1019">
      <c r="B1019" s="64"/>
      <c r="C1019" s="64"/>
      <c r="D1019" s="64"/>
      <c r="E1019" s="64"/>
      <c r="F1019" s="64"/>
    </row>
    <row r="1020">
      <c r="B1020" s="64"/>
      <c r="C1020" s="64"/>
      <c r="D1020" s="64"/>
      <c r="E1020" s="64"/>
      <c r="F1020" s="64"/>
    </row>
    <row r="1021">
      <c r="B1021" s="64"/>
      <c r="C1021" s="64"/>
      <c r="D1021" s="64"/>
      <c r="E1021" s="64"/>
      <c r="F1021" s="64"/>
    </row>
    <row r="1022">
      <c r="B1022" s="64"/>
      <c r="C1022" s="64"/>
      <c r="D1022" s="64"/>
      <c r="E1022" s="64"/>
      <c r="F1022" s="64"/>
    </row>
    <row r="1023">
      <c r="B1023" s="64"/>
      <c r="C1023" s="64"/>
      <c r="D1023" s="64"/>
      <c r="E1023" s="64"/>
      <c r="F1023" s="64"/>
    </row>
    <row r="1024">
      <c r="B1024" s="64"/>
      <c r="C1024" s="64"/>
      <c r="D1024" s="64"/>
      <c r="E1024" s="64"/>
      <c r="F1024" s="64"/>
    </row>
    <row r="1025">
      <c r="B1025" s="64"/>
      <c r="C1025" s="64"/>
      <c r="D1025" s="64"/>
      <c r="E1025" s="64"/>
      <c r="F1025" s="64"/>
    </row>
    <row r="1026">
      <c r="B1026" s="64"/>
      <c r="C1026" s="64"/>
      <c r="D1026" s="64"/>
      <c r="E1026" s="64"/>
      <c r="F1026" s="64"/>
    </row>
    <row r="1027">
      <c r="B1027" s="64"/>
      <c r="C1027" s="64"/>
      <c r="D1027" s="64"/>
      <c r="E1027" s="64"/>
      <c r="F1027" s="64"/>
    </row>
    <row r="1028">
      <c r="B1028" s="64"/>
      <c r="C1028" s="64"/>
      <c r="D1028" s="64"/>
      <c r="E1028" s="64"/>
      <c r="F1028" s="64"/>
    </row>
    <row r="1029">
      <c r="B1029" s="64"/>
      <c r="C1029" s="64"/>
      <c r="D1029" s="64"/>
      <c r="E1029" s="64"/>
      <c r="F1029" s="64"/>
    </row>
    <row r="1030">
      <c r="B1030" s="64"/>
      <c r="C1030" s="64"/>
      <c r="D1030" s="64"/>
      <c r="E1030" s="64"/>
      <c r="F1030" s="64"/>
    </row>
    <row r="1031">
      <c r="B1031" s="64"/>
      <c r="C1031" s="64"/>
      <c r="D1031" s="64"/>
      <c r="E1031" s="64"/>
      <c r="F1031" s="64"/>
    </row>
    <row r="1032">
      <c r="B1032" s="64"/>
      <c r="C1032" s="64"/>
      <c r="D1032" s="64"/>
      <c r="E1032" s="64"/>
      <c r="F1032" s="64"/>
    </row>
    <row r="1033">
      <c r="B1033" s="64"/>
      <c r="C1033" s="64"/>
      <c r="D1033" s="64"/>
      <c r="E1033" s="64"/>
      <c r="F1033" s="64"/>
    </row>
    <row r="1034">
      <c r="B1034" s="64"/>
      <c r="C1034" s="64"/>
      <c r="D1034" s="64"/>
      <c r="E1034" s="64"/>
      <c r="F1034" s="64"/>
    </row>
    <row r="1035">
      <c r="B1035" s="64"/>
      <c r="C1035" s="64"/>
      <c r="D1035" s="64"/>
      <c r="E1035" s="64"/>
      <c r="F1035" s="64"/>
    </row>
    <row r="1036">
      <c r="B1036" s="64"/>
      <c r="C1036" s="64"/>
      <c r="D1036" s="64"/>
      <c r="E1036" s="64"/>
      <c r="F1036" s="64"/>
    </row>
    <row r="1037">
      <c r="B1037" s="64"/>
      <c r="C1037" s="64"/>
      <c r="D1037" s="64"/>
      <c r="E1037" s="64"/>
      <c r="F1037" s="64"/>
    </row>
    <row r="1038">
      <c r="B1038" s="64"/>
      <c r="C1038" s="64"/>
      <c r="D1038" s="64"/>
      <c r="E1038" s="64"/>
      <c r="F1038" s="64"/>
    </row>
    <row r="1039">
      <c r="B1039" s="64"/>
      <c r="C1039" s="64"/>
      <c r="D1039" s="64"/>
      <c r="E1039" s="64"/>
      <c r="F1039" s="64"/>
    </row>
    <row r="1040">
      <c r="B1040" s="64"/>
      <c r="C1040" s="64"/>
      <c r="D1040" s="64"/>
      <c r="E1040" s="64"/>
      <c r="F1040" s="64"/>
    </row>
    <row r="1041">
      <c r="B1041" s="64"/>
      <c r="C1041" s="64"/>
      <c r="D1041" s="64"/>
      <c r="E1041" s="64"/>
      <c r="F1041" s="64"/>
    </row>
    <row r="1042">
      <c r="B1042" s="64"/>
      <c r="C1042" s="64"/>
      <c r="D1042" s="64"/>
      <c r="E1042" s="64"/>
      <c r="F1042" s="64"/>
    </row>
    <row r="1043">
      <c r="B1043" s="64"/>
      <c r="C1043" s="64"/>
      <c r="D1043" s="64"/>
      <c r="E1043" s="64"/>
      <c r="F1043" s="64"/>
    </row>
    <row r="1044">
      <c r="B1044" s="64"/>
      <c r="C1044" s="64"/>
      <c r="D1044" s="64"/>
      <c r="E1044" s="64"/>
      <c r="F1044" s="64"/>
    </row>
    <row r="1045">
      <c r="B1045" s="64"/>
      <c r="C1045" s="64"/>
      <c r="D1045" s="64"/>
      <c r="E1045" s="64"/>
      <c r="F1045" s="64"/>
    </row>
    <row r="1046">
      <c r="B1046" s="64"/>
      <c r="C1046" s="64"/>
      <c r="D1046" s="64"/>
      <c r="E1046" s="64"/>
      <c r="F1046" s="64"/>
    </row>
    <row r="1047">
      <c r="B1047" s="64"/>
      <c r="C1047" s="64"/>
      <c r="D1047" s="64"/>
      <c r="E1047" s="64"/>
      <c r="F1047" s="64"/>
    </row>
    <row r="1048">
      <c r="B1048" s="64"/>
      <c r="C1048" s="64"/>
      <c r="D1048" s="64"/>
      <c r="E1048" s="64"/>
      <c r="F1048" s="64"/>
    </row>
    <row r="1049">
      <c r="B1049" s="64"/>
      <c r="C1049" s="64"/>
      <c r="D1049" s="64"/>
      <c r="E1049" s="64"/>
      <c r="F1049" s="64"/>
    </row>
    <row r="1050">
      <c r="B1050" s="64"/>
      <c r="C1050" s="64"/>
      <c r="D1050" s="64"/>
      <c r="E1050" s="64"/>
      <c r="F1050" s="64"/>
    </row>
    <row r="1051">
      <c r="B1051" s="64"/>
      <c r="C1051" s="64"/>
      <c r="D1051" s="64"/>
      <c r="E1051" s="64"/>
      <c r="F1051" s="64"/>
    </row>
    <row r="1052">
      <c r="B1052" s="64"/>
      <c r="C1052" s="64"/>
      <c r="D1052" s="64"/>
      <c r="E1052" s="64"/>
      <c r="F1052" s="64"/>
    </row>
    <row r="1053">
      <c r="B1053" s="64"/>
      <c r="C1053" s="64"/>
      <c r="D1053" s="64"/>
      <c r="E1053" s="64"/>
      <c r="F1053" s="64"/>
    </row>
    <row r="1054">
      <c r="B1054" s="64"/>
      <c r="C1054" s="64"/>
      <c r="D1054" s="64"/>
      <c r="E1054" s="64"/>
      <c r="F1054" s="64"/>
    </row>
    <row r="1055">
      <c r="B1055" s="64"/>
      <c r="C1055" s="64"/>
      <c r="D1055" s="64"/>
      <c r="E1055" s="64"/>
      <c r="F1055" s="64"/>
    </row>
    <row r="1056">
      <c r="B1056" s="64"/>
      <c r="C1056" s="64"/>
      <c r="D1056" s="64"/>
      <c r="E1056" s="64"/>
      <c r="F1056" s="64"/>
    </row>
    <row r="1057">
      <c r="B1057" s="64"/>
      <c r="C1057" s="64"/>
      <c r="D1057" s="64"/>
      <c r="E1057" s="64"/>
      <c r="F1057" s="64"/>
    </row>
    <row r="1058">
      <c r="B1058" s="64"/>
      <c r="C1058" s="64"/>
      <c r="D1058" s="64"/>
      <c r="E1058" s="64"/>
      <c r="F1058" s="64"/>
    </row>
    <row r="1059">
      <c r="B1059" s="64"/>
      <c r="C1059" s="64"/>
      <c r="D1059" s="64"/>
      <c r="E1059" s="64"/>
      <c r="F1059" s="64"/>
    </row>
    <row r="1060">
      <c r="B1060" s="64"/>
      <c r="C1060" s="64"/>
      <c r="D1060" s="64"/>
      <c r="E1060" s="64"/>
      <c r="F1060" s="64"/>
    </row>
    <row r="1061">
      <c r="B1061" s="64"/>
      <c r="C1061" s="64"/>
      <c r="D1061" s="64"/>
      <c r="E1061" s="64"/>
      <c r="F1061" s="64"/>
    </row>
    <row r="1062">
      <c r="B1062" s="64"/>
      <c r="C1062" s="64"/>
      <c r="D1062" s="64"/>
      <c r="E1062" s="64"/>
      <c r="F1062" s="64"/>
    </row>
    <row r="1063">
      <c r="B1063" s="64"/>
      <c r="C1063" s="64"/>
      <c r="D1063" s="64"/>
      <c r="E1063" s="64"/>
      <c r="F1063" s="64"/>
    </row>
    <row r="1064">
      <c r="B1064" s="64"/>
      <c r="C1064" s="64"/>
      <c r="D1064" s="64"/>
      <c r="E1064" s="64"/>
      <c r="F1064" s="64"/>
    </row>
    <row r="1065">
      <c r="B1065" s="64"/>
      <c r="C1065" s="64"/>
      <c r="D1065" s="64"/>
      <c r="E1065" s="64"/>
      <c r="F1065" s="64"/>
    </row>
    <row r="1066">
      <c r="B1066" s="64"/>
      <c r="C1066" s="64"/>
      <c r="D1066" s="64"/>
      <c r="E1066" s="64"/>
      <c r="F1066" s="64"/>
    </row>
    <row r="1067">
      <c r="B1067" s="64"/>
      <c r="C1067" s="64"/>
      <c r="D1067" s="64"/>
      <c r="E1067" s="64"/>
      <c r="F1067" s="64"/>
    </row>
    <row r="1068">
      <c r="B1068" s="64"/>
      <c r="C1068" s="64"/>
      <c r="D1068" s="64"/>
      <c r="E1068" s="64"/>
      <c r="F1068" s="64"/>
    </row>
    <row r="1069">
      <c r="B1069" s="64"/>
      <c r="C1069" s="64"/>
      <c r="D1069" s="64"/>
      <c r="E1069" s="64"/>
      <c r="F1069" s="64"/>
    </row>
    <row r="1070">
      <c r="B1070" s="64"/>
      <c r="C1070" s="64"/>
      <c r="D1070" s="64"/>
      <c r="E1070" s="64"/>
      <c r="F1070" s="64"/>
    </row>
    <row r="1071">
      <c r="B1071" s="64"/>
      <c r="C1071" s="64"/>
      <c r="D1071" s="64"/>
      <c r="E1071" s="64"/>
      <c r="F1071" s="64"/>
    </row>
    <row r="1072">
      <c r="B1072" s="64"/>
      <c r="C1072" s="64"/>
      <c r="D1072" s="64"/>
      <c r="E1072" s="64"/>
      <c r="F1072" s="64"/>
    </row>
    <row r="1073">
      <c r="B1073" s="64"/>
      <c r="C1073" s="64"/>
      <c r="D1073" s="64"/>
      <c r="E1073" s="64"/>
      <c r="F1073" s="64"/>
    </row>
    <row r="1074">
      <c r="B1074" s="64"/>
      <c r="C1074" s="64"/>
      <c r="D1074" s="64"/>
      <c r="E1074" s="64"/>
      <c r="F1074" s="64"/>
    </row>
    <row r="1075">
      <c r="B1075" s="64"/>
      <c r="C1075" s="64"/>
      <c r="D1075" s="64"/>
      <c r="E1075" s="64"/>
      <c r="F1075" s="64"/>
    </row>
    <row r="1076">
      <c r="B1076" s="64"/>
      <c r="C1076" s="64"/>
      <c r="D1076" s="64"/>
      <c r="E1076" s="64"/>
      <c r="F1076" s="64"/>
    </row>
    <row r="1077">
      <c r="B1077" s="64"/>
      <c r="C1077" s="64"/>
      <c r="D1077" s="64"/>
      <c r="E1077" s="64"/>
      <c r="F1077" s="64"/>
    </row>
    <row r="1078">
      <c r="B1078" s="64"/>
      <c r="C1078" s="64"/>
      <c r="D1078" s="64"/>
      <c r="E1078" s="64"/>
      <c r="F1078" s="64"/>
    </row>
    <row r="1079">
      <c r="B1079" s="64"/>
      <c r="C1079" s="64"/>
      <c r="D1079" s="64"/>
      <c r="E1079" s="64"/>
      <c r="F1079" s="64"/>
    </row>
    <row r="1080">
      <c r="B1080" s="64"/>
      <c r="C1080" s="64"/>
      <c r="D1080" s="64"/>
      <c r="E1080" s="64"/>
      <c r="F1080" s="64"/>
    </row>
    <row r="1081">
      <c r="B1081" s="64"/>
      <c r="C1081" s="64"/>
      <c r="D1081" s="64"/>
      <c r="E1081" s="64"/>
      <c r="F1081" s="64"/>
    </row>
    <row r="1082">
      <c r="B1082" s="64"/>
      <c r="C1082" s="64"/>
      <c r="D1082" s="64"/>
      <c r="E1082" s="64"/>
      <c r="F1082" s="64"/>
    </row>
    <row r="1083">
      <c r="B1083" s="64"/>
      <c r="C1083" s="64"/>
      <c r="D1083" s="64"/>
      <c r="E1083" s="64"/>
      <c r="F1083" s="64"/>
    </row>
    <row r="1084">
      <c r="B1084" s="64"/>
      <c r="C1084" s="64"/>
      <c r="D1084" s="64"/>
      <c r="E1084" s="64"/>
      <c r="F1084" s="64"/>
    </row>
    <row r="1085">
      <c r="B1085" s="64"/>
      <c r="C1085" s="64"/>
      <c r="D1085" s="64"/>
      <c r="E1085" s="64"/>
      <c r="F1085" s="64"/>
    </row>
    <row r="1086">
      <c r="B1086" s="64"/>
      <c r="C1086" s="64"/>
      <c r="D1086" s="64"/>
      <c r="E1086" s="64"/>
      <c r="F1086" s="64"/>
    </row>
    <row r="1087">
      <c r="B1087" s="64"/>
      <c r="C1087" s="64"/>
      <c r="D1087" s="64"/>
      <c r="E1087" s="64"/>
      <c r="F1087" s="64"/>
    </row>
    <row r="1088">
      <c r="B1088" s="64"/>
      <c r="C1088" s="64"/>
      <c r="D1088" s="64"/>
      <c r="E1088" s="64"/>
      <c r="F1088" s="64"/>
    </row>
    <row r="1089">
      <c r="B1089" s="64"/>
      <c r="C1089" s="64"/>
      <c r="D1089" s="64"/>
      <c r="E1089" s="64"/>
      <c r="F1089" s="64"/>
    </row>
    <row r="1090">
      <c r="B1090" s="64"/>
      <c r="C1090" s="64"/>
      <c r="D1090" s="64"/>
      <c r="E1090" s="64"/>
      <c r="F1090" s="64"/>
    </row>
    <row r="1091">
      <c r="B1091" s="64"/>
      <c r="C1091" s="64"/>
      <c r="D1091" s="64"/>
      <c r="E1091" s="64"/>
      <c r="F1091" s="64"/>
    </row>
    <row r="1092">
      <c r="B1092" s="64"/>
      <c r="C1092" s="64"/>
      <c r="D1092" s="64"/>
      <c r="E1092" s="64"/>
      <c r="F1092" s="64"/>
    </row>
    <row r="1093">
      <c r="B1093" s="64"/>
      <c r="C1093" s="64"/>
      <c r="D1093" s="64"/>
      <c r="E1093" s="64"/>
      <c r="F1093" s="64"/>
    </row>
    <row r="1094">
      <c r="B1094" s="64"/>
      <c r="C1094" s="64"/>
      <c r="D1094" s="64"/>
      <c r="E1094" s="64"/>
      <c r="F1094" s="64"/>
    </row>
    <row r="1095">
      <c r="B1095" s="64"/>
      <c r="C1095" s="64"/>
      <c r="D1095" s="64"/>
      <c r="E1095" s="64"/>
      <c r="F1095" s="64"/>
    </row>
    <row r="1096">
      <c r="B1096" s="64"/>
      <c r="C1096" s="64"/>
      <c r="D1096" s="64"/>
      <c r="E1096" s="64"/>
      <c r="F1096" s="64"/>
    </row>
    <row r="1097">
      <c r="B1097" s="64"/>
      <c r="C1097" s="64"/>
      <c r="D1097" s="64"/>
      <c r="E1097" s="64"/>
      <c r="F1097" s="64"/>
    </row>
    <row r="1098">
      <c r="B1098" s="64"/>
      <c r="C1098" s="64"/>
      <c r="D1098" s="64"/>
      <c r="E1098" s="64"/>
      <c r="F1098" s="64"/>
    </row>
    <row r="1099">
      <c r="B1099" s="64"/>
      <c r="C1099" s="64"/>
      <c r="D1099" s="64"/>
      <c r="E1099" s="64"/>
      <c r="F1099" s="64"/>
    </row>
    <row r="1100">
      <c r="B1100" s="64"/>
      <c r="C1100" s="64"/>
      <c r="D1100" s="64"/>
      <c r="E1100" s="64"/>
      <c r="F1100" s="64"/>
    </row>
    <row r="1101">
      <c r="B1101" s="64"/>
      <c r="C1101" s="64"/>
      <c r="D1101" s="64"/>
      <c r="E1101" s="64"/>
      <c r="F1101" s="64"/>
    </row>
    <row r="1102">
      <c r="B1102" s="64"/>
      <c r="C1102" s="64"/>
      <c r="D1102" s="64"/>
      <c r="E1102" s="64"/>
      <c r="F1102" s="64"/>
    </row>
    <row r="1103">
      <c r="B1103" s="64"/>
      <c r="C1103" s="64"/>
      <c r="D1103" s="64"/>
      <c r="E1103" s="64"/>
      <c r="F1103" s="64"/>
    </row>
    <row r="1104">
      <c r="B1104" s="64"/>
      <c r="C1104" s="64"/>
      <c r="D1104" s="64"/>
      <c r="E1104" s="64"/>
      <c r="F1104" s="64"/>
    </row>
    <row r="1105">
      <c r="B1105" s="64"/>
      <c r="C1105" s="64"/>
      <c r="D1105" s="64"/>
      <c r="E1105" s="64"/>
      <c r="F1105" s="64"/>
    </row>
    <row r="1106">
      <c r="B1106" s="64"/>
      <c r="C1106" s="64"/>
      <c r="D1106" s="64"/>
      <c r="E1106" s="64"/>
      <c r="F1106" s="64"/>
    </row>
    <row r="1107">
      <c r="B1107" s="64"/>
      <c r="C1107" s="64"/>
      <c r="D1107" s="64"/>
      <c r="E1107" s="64"/>
      <c r="F1107" s="64"/>
    </row>
    <row r="1108">
      <c r="B1108" s="64"/>
      <c r="C1108" s="64"/>
      <c r="D1108" s="64"/>
      <c r="E1108" s="64"/>
      <c r="F1108" s="64"/>
    </row>
    <row r="1109">
      <c r="B1109" s="64"/>
      <c r="C1109" s="64"/>
      <c r="D1109" s="64"/>
      <c r="E1109" s="64"/>
      <c r="F1109" s="64"/>
    </row>
    <row r="1110">
      <c r="B1110" s="64"/>
      <c r="C1110" s="64"/>
      <c r="D1110" s="64"/>
      <c r="E1110" s="64"/>
      <c r="F1110" s="64"/>
    </row>
    <row r="1111">
      <c r="B1111" s="64"/>
      <c r="C1111" s="64"/>
      <c r="D1111" s="64"/>
      <c r="E1111" s="64"/>
      <c r="F1111" s="64"/>
    </row>
    <row r="1112">
      <c r="B1112" s="64"/>
      <c r="C1112" s="64"/>
      <c r="D1112" s="64"/>
      <c r="E1112" s="64"/>
      <c r="F1112" s="64"/>
    </row>
    <row r="1113">
      <c r="B1113" s="64"/>
      <c r="C1113" s="64"/>
      <c r="D1113" s="64"/>
      <c r="E1113" s="64"/>
      <c r="F1113" s="64"/>
    </row>
    <row r="1114">
      <c r="B1114" s="64"/>
      <c r="C1114" s="64"/>
      <c r="D1114" s="64"/>
      <c r="E1114" s="64"/>
      <c r="F1114" s="64"/>
    </row>
    <row r="1115">
      <c r="B1115" s="64"/>
      <c r="C1115" s="64"/>
      <c r="D1115" s="64"/>
      <c r="E1115" s="64"/>
      <c r="F1115" s="64"/>
    </row>
    <row r="1116">
      <c r="B1116" s="64"/>
      <c r="C1116" s="64"/>
      <c r="D1116" s="64"/>
      <c r="E1116" s="64"/>
      <c r="F1116" s="64"/>
    </row>
    <row r="1117">
      <c r="B1117" s="64"/>
      <c r="C1117" s="64"/>
      <c r="D1117" s="64"/>
      <c r="E1117" s="64"/>
      <c r="F1117" s="64"/>
    </row>
    <row r="1118">
      <c r="B1118" s="64"/>
      <c r="C1118" s="64"/>
      <c r="D1118" s="64"/>
      <c r="E1118" s="64"/>
      <c r="F1118" s="64"/>
    </row>
    <row r="1119">
      <c r="B1119" s="64"/>
      <c r="C1119" s="64"/>
      <c r="D1119" s="64"/>
      <c r="E1119" s="64"/>
      <c r="F1119" s="64"/>
    </row>
    <row r="1120">
      <c r="B1120" s="64"/>
      <c r="C1120" s="64"/>
      <c r="D1120" s="64"/>
      <c r="E1120" s="64"/>
      <c r="F1120" s="64"/>
    </row>
    <row r="1121">
      <c r="B1121" s="64"/>
      <c r="C1121" s="64"/>
      <c r="D1121" s="64"/>
      <c r="E1121" s="64"/>
      <c r="F1121" s="64"/>
    </row>
    <row r="1122">
      <c r="B1122" s="64"/>
      <c r="C1122" s="64"/>
      <c r="D1122" s="64"/>
      <c r="E1122" s="64"/>
      <c r="F1122" s="64"/>
    </row>
    <row r="1123">
      <c r="B1123" s="64"/>
      <c r="C1123" s="64"/>
      <c r="D1123" s="64"/>
      <c r="E1123" s="64"/>
      <c r="F1123" s="64"/>
    </row>
    <row r="1124">
      <c r="B1124" s="64"/>
      <c r="C1124" s="64"/>
      <c r="D1124" s="64"/>
      <c r="E1124" s="64"/>
      <c r="F1124" s="64"/>
    </row>
    <row r="1125">
      <c r="B1125" s="64"/>
      <c r="C1125" s="64"/>
      <c r="D1125" s="64"/>
      <c r="E1125" s="64"/>
      <c r="F1125" s="64"/>
    </row>
    <row r="1126">
      <c r="B1126" s="64"/>
      <c r="C1126" s="64"/>
      <c r="D1126" s="64"/>
      <c r="E1126" s="64"/>
      <c r="F1126" s="64"/>
    </row>
    <row r="1127">
      <c r="B1127" s="64"/>
      <c r="C1127" s="64"/>
      <c r="D1127" s="64"/>
      <c r="E1127" s="64"/>
      <c r="F1127" s="64"/>
    </row>
    <row r="1128">
      <c r="B1128" s="64"/>
      <c r="C1128" s="64"/>
      <c r="D1128" s="64"/>
      <c r="E1128" s="64"/>
      <c r="F1128" s="64"/>
    </row>
    <row r="1129">
      <c r="B1129" s="64"/>
      <c r="C1129" s="64"/>
      <c r="D1129" s="64"/>
      <c r="E1129" s="64"/>
      <c r="F1129" s="64"/>
    </row>
    <row r="1130">
      <c r="B1130" s="64"/>
      <c r="C1130" s="64"/>
      <c r="D1130" s="64"/>
      <c r="E1130" s="64"/>
      <c r="F1130" s="64"/>
    </row>
    <row r="1131">
      <c r="B1131" s="64"/>
      <c r="C1131" s="64"/>
      <c r="D1131" s="64"/>
      <c r="E1131" s="64"/>
      <c r="F1131" s="64"/>
    </row>
    <row r="1132">
      <c r="B1132" s="64"/>
      <c r="C1132" s="64"/>
      <c r="D1132" s="64"/>
      <c r="E1132" s="64"/>
      <c r="F1132" s="64"/>
    </row>
    <row r="1133">
      <c r="B1133" s="64"/>
      <c r="C1133" s="64"/>
      <c r="D1133" s="64"/>
      <c r="E1133" s="64"/>
      <c r="F1133" s="64"/>
    </row>
    <row r="1134">
      <c r="B1134" s="64"/>
      <c r="C1134" s="64"/>
      <c r="D1134" s="64"/>
      <c r="E1134" s="64"/>
      <c r="F1134" s="64"/>
    </row>
    <row r="1135">
      <c r="B1135" s="64"/>
      <c r="C1135" s="64"/>
      <c r="D1135" s="64"/>
      <c r="E1135" s="64"/>
      <c r="F1135" s="64"/>
    </row>
    <row r="1136">
      <c r="B1136" s="64"/>
      <c r="C1136" s="64"/>
      <c r="D1136" s="64"/>
      <c r="E1136" s="64"/>
      <c r="F1136" s="64"/>
    </row>
    <row r="1137">
      <c r="B1137" s="64"/>
      <c r="C1137" s="64"/>
      <c r="D1137" s="64"/>
      <c r="E1137" s="64"/>
      <c r="F1137" s="64"/>
    </row>
    <row r="1138">
      <c r="B1138" s="64"/>
      <c r="C1138" s="64"/>
      <c r="D1138" s="64"/>
      <c r="E1138" s="64"/>
      <c r="F1138" s="64"/>
    </row>
    <row r="1139">
      <c r="B1139" s="64"/>
      <c r="C1139" s="64"/>
      <c r="D1139" s="64"/>
      <c r="E1139" s="64"/>
      <c r="F1139" s="64"/>
    </row>
    <row r="1140">
      <c r="B1140" s="64"/>
      <c r="C1140" s="64"/>
      <c r="D1140" s="64"/>
      <c r="E1140" s="64"/>
      <c r="F1140" s="64"/>
    </row>
    <row r="1141">
      <c r="B1141" s="64"/>
      <c r="C1141" s="64"/>
      <c r="D1141" s="64"/>
      <c r="E1141" s="64"/>
      <c r="F1141" s="64"/>
    </row>
    <row r="1142">
      <c r="B1142" s="64"/>
      <c r="C1142" s="64"/>
      <c r="D1142" s="64"/>
      <c r="E1142" s="64"/>
      <c r="F1142" s="64"/>
    </row>
    <row r="1143">
      <c r="B1143" s="64"/>
      <c r="C1143" s="64"/>
      <c r="D1143" s="64"/>
      <c r="E1143" s="64"/>
      <c r="F1143" s="64"/>
    </row>
    <row r="1144">
      <c r="B1144" s="64"/>
      <c r="C1144" s="64"/>
      <c r="D1144" s="64"/>
      <c r="E1144" s="64"/>
      <c r="F1144" s="64"/>
    </row>
    <row r="1145">
      <c r="B1145" s="64"/>
      <c r="C1145" s="64"/>
      <c r="D1145" s="64"/>
      <c r="E1145" s="64"/>
      <c r="F1145" s="64"/>
    </row>
    <row r="1146">
      <c r="B1146" s="64"/>
      <c r="C1146" s="64"/>
      <c r="D1146" s="64"/>
      <c r="E1146" s="64"/>
      <c r="F1146" s="64"/>
    </row>
    <row r="1147">
      <c r="B1147" s="64"/>
      <c r="C1147" s="64"/>
      <c r="D1147" s="64"/>
      <c r="E1147" s="64"/>
      <c r="F1147" s="64"/>
    </row>
    <row r="1148">
      <c r="B1148" s="64"/>
      <c r="C1148" s="64"/>
      <c r="D1148" s="64"/>
      <c r="E1148" s="64"/>
      <c r="F1148" s="64"/>
    </row>
    <row r="1149">
      <c r="B1149" s="64"/>
      <c r="C1149" s="64"/>
      <c r="D1149" s="64"/>
      <c r="E1149" s="64"/>
      <c r="F1149" s="64"/>
    </row>
    <row r="1150">
      <c r="B1150" s="64"/>
      <c r="C1150" s="64"/>
      <c r="D1150" s="64"/>
      <c r="E1150" s="64"/>
      <c r="F1150" s="64"/>
    </row>
    <row r="1151">
      <c r="B1151" s="64"/>
      <c r="C1151" s="64"/>
      <c r="D1151" s="64"/>
      <c r="E1151" s="64"/>
      <c r="F1151" s="64"/>
    </row>
    <row r="1152">
      <c r="B1152" s="64"/>
      <c r="C1152" s="64"/>
      <c r="D1152" s="64"/>
      <c r="E1152" s="64"/>
      <c r="F1152" s="64"/>
    </row>
    <row r="1153">
      <c r="B1153" s="64"/>
      <c r="C1153" s="64"/>
      <c r="D1153" s="64"/>
      <c r="E1153" s="64"/>
      <c r="F1153" s="64"/>
    </row>
    <row r="1154">
      <c r="B1154" s="64"/>
      <c r="C1154" s="64"/>
      <c r="D1154" s="64"/>
      <c r="E1154" s="64"/>
      <c r="F1154" s="64"/>
    </row>
    <row r="1155">
      <c r="B1155" s="64"/>
      <c r="C1155" s="64"/>
      <c r="D1155" s="64"/>
      <c r="E1155" s="64"/>
      <c r="F1155" s="64"/>
    </row>
    <row r="1156">
      <c r="B1156" s="64"/>
      <c r="C1156" s="64"/>
      <c r="D1156" s="64"/>
      <c r="E1156" s="64"/>
      <c r="F1156" s="64"/>
    </row>
    <row r="1157">
      <c r="B1157" s="64"/>
      <c r="C1157" s="64"/>
      <c r="D1157" s="64"/>
      <c r="E1157" s="64"/>
      <c r="F1157" s="64"/>
    </row>
    <row r="1158">
      <c r="B1158" s="64"/>
      <c r="C1158" s="64"/>
      <c r="D1158" s="64"/>
      <c r="E1158" s="64"/>
      <c r="F1158" s="64"/>
    </row>
    <row r="1159">
      <c r="B1159" s="64"/>
      <c r="C1159" s="64"/>
      <c r="D1159" s="64"/>
      <c r="E1159" s="64"/>
      <c r="F1159" s="64"/>
    </row>
    <row r="1160">
      <c r="B1160" s="64"/>
      <c r="C1160" s="64"/>
      <c r="D1160" s="64"/>
      <c r="E1160" s="64"/>
      <c r="F1160" s="64"/>
    </row>
    <row r="1161">
      <c r="B1161" s="64"/>
      <c r="C1161" s="64"/>
      <c r="D1161" s="64"/>
      <c r="E1161" s="64"/>
      <c r="F1161" s="64"/>
    </row>
    <row r="1162">
      <c r="B1162" s="64"/>
      <c r="C1162" s="64"/>
      <c r="D1162" s="64"/>
      <c r="E1162" s="64"/>
      <c r="F1162" s="64"/>
    </row>
    <row r="1163">
      <c r="B1163" s="64"/>
      <c r="C1163" s="64"/>
      <c r="D1163" s="64"/>
      <c r="E1163" s="64"/>
      <c r="F1163" s="64"/>
    </row>
    <row r="1164">
      <c r="B1164" s="64"/>
      <c r="C1164" s="64"/>
      <c r="D1164" s="64"/>
      <c r="E1164" s="64"/>
      <c r="F1164" s="64"/>
    </row>
    <row r="1165">
      <c r="B1165" s="64"/>
      <c r="C1165" s="64"/>
      <c r="D1165" s="64"/>
      <c r="E1165" s="64"/>
      <c r="F1165" s="64"/>
    </row>
    <row r="1166">
      <c r="B1166" s="64"/>
      <c r="C1166" s="64"/>
      <c r="D1166" s="64"/>
      <c r="E1166" s="64"/>
      <c r="F1166" s="64"/>
    </row>
    <row r="1167">
      <c r="B1167" s="64"/>
      <c r="C1167" s="64"/>
      <c r="D1167" s="64"/>
      <c r="E1167" s="64"/>
      <c r="F1167" s="64"/>
    </row>
    <row r="1168">
      <c r="B1168" s="64"/>
      <c r="C1168" s="64"/>
      <c r="D1168" s="64"/>
      <c r="E1168" s="64"/>
      <c r="F1168" s="64"/>
    </row>
    <row r="1169">
      <c r="B1169" s="64"/>
      <c r="C1169" s="64"/>
      <c r="D1169" s="64"/>
      <c r="E1169" s="64"/>
      <c r="F1169" s="64"/>
    </row>
    <row r="1170">
      <c r="B1170" s="64"/>
      <c r="C1170" s="64"/>
      <c r="D1170" s="64"/>
      <c r="E1170" s="64"/>
      <c r="F1170" s="64"/>
    </row>
    <row r="1171">
      <c r="B1171" s="64"/>
      <c r="C1171" s="64"/>
      <c r="D1171" s="64"/>
      <c r="E1171" s="64"/>
      <c r="F1171" s="64"/>
    </row>
    <row r="1172">
      <c r="B1172" s="64"/>
      <c r="C1172" s="64"/>
      <c r="D1172" s="64"/>
      <c r="E1172" s="64"/>
      <c r="F1172" s="64"/>
    </row>
    <row r="1173">
      <c r="B1173" s="64"/>
      <c r="C1173" s="64"/>
      <c r="D1173" s="64"/>
      <c r="E1173" s="64"/>
      <c r="F1173" s="64"/>
    </row>
    <row r="1174">
      <c r="B1174" s="64"/>
      <c r="C1174" s="64"/>
      <c r="D1174" s="64"/>
      <c r="E1174" s="64"/>
      <c r="F1174" s="64"/>
    </row>
    <row r="1175">
      <c r="B1175" s="64"/>
      <c r="C1175" s="64"/>
      <c r="D1175" s="64"/>
      <c r="E1175" s="64"/>
      <c r="F1175" s="64"/>
    </row>
    <row r="1176">
      <c r="B1176" s="64"/>
      <c r="C1176" s="64"/>
      <c r="D1176" s="64"/>
      <c r="E1176" s="64"/>
      <c r="F1176" s="64"/>
    </row>
    <row r="1177">
      <c r="B1177" s="64"/>
      <c r="C1177" s="64"/>
      <c r="D1177" s="64"/>
      <c r="E1177" s="64"/>
      <c r="F1177" s="64"/>
    </row>
    <row r="1178">
      <c r="B1178" s="64"/>
      <c r="C1178" s="64"/>
      <c r="D1178" s="64"/>
      <c r="E1178" s="64"/>
      <c r="F1178" s="64"/>
    </row>
    <row r="1179">
      <c r="B1179" s="64"/>
      <c r="C1179" s="64"/>
      <c r="D1179" s="64"/>
      <c r="E1179" s="64"/>
      <c r="F1179" s="64"/>
    </row>
    <row r="1180">
      <c r="B1180" s="64"/>
      <c r="C1180" s="64"/>
      <c r="D1180" s="64"/>
      <c r="E1180" s="64"/>
      <c r="F1180" s="64"/>
    </row>
    <row r="1181">
      <c r="B1181" s="64"/>
      <c r="C1181" s="64"/>
      <c r="D1181" s="64"/>
      <c r="E1181" s="64"/>
      <c r="F1181" s="64"/>
    </row>
    <row r="1182">
      <c r="B1182" s="64"/>
      <c r="C1182" s="64"/>
      <c r="D1182" s="64"/>
      <c r="E1182" s="64"/>
      <c r="F1182" s="64"/>
    </row>
    <row r="1183">
      <c r="B1183" s="64"/>
      <c r="C1183" s="64"/>
      <c r="D1183" s="64"/>
      <c r="E1183" s="64"/>
      <c r="F1183" s="64"/>
    </row>
    <row r="1184">
      <c r="B1184" s="64"/>
      <c r="C1184" s="64"/>
      <c r="D1184" s="64"/>
      <c r="E1184" s="64"/>
      <c r="F1184" s="64"/>
    </row>
    <row r="1185">
      <c r="B1185" s="64"/>
      <c r="C1185" s="64"/>
      <c r="D1185" s="64"/>
      <c r="E1185" s="64"/>
      <c r="F1185" s="64"/>
    </row>
    <row r="1186">
      <c r="B1186" s="64"/>
      <c r="C1186" s="64"/>
      <c r="D1186" s="64"/>
      <c r="E1186" s="64"/>
      <c r="F1186" s="64"/>
    </row>
    <row r="1187">
      <c r="B1187" s="64"/>
      <c r="C1187" s="64"/>
      <c r="D1187" s="64"/>
      <c r="E1187" s="64"/>
      <c r="F1187" s="64"/>
    </row>
    <row r="1188">
      <c r="B1188" s="64"/>
      <c r="C1188" s="64"/>
      <c r="D1188" s="64"/>
      <c r="E1188" s="64"/>
      <c r="F1188" s="64"/>
    </row>
    <row r="1189">
      <c r="B1189" s="64"/>
      <c r="C1189" s="64"/>
      <c r="D1189" s="64"/>
      <c r="E1189" s="64"/>
      <c r="F1189" s="64"/>
    </row>
    <row r="1190">
      <c r="B1190" s="64"/>
      <c r="C1190" s="64"/>
      <c r="D1190" s="64"/>
      <c r="E1190" s="64"/>
      <c r="F1190" s="64"/>
    </row>
    <row r="1191">
      <c r="B1191" s="64"/>
      <c r="C1191" s="64"/>
      <c r="D1191" s="64"/>
      <c r="E1191" s="64"/>
      <c r="F1191" s="64"/>
    </row>
    <row r="1192">
      <c r="B1192" s="64"/>
      <c r="C1192" s="64"/>
      <c r="D1192" s="64"/>
      <c r="E1192" s="64"/>
      <c r="F1192" s="64"/>
    </row>
    <row r="1193">
      <c r="B1193" s="64"/>
      <c r="C1193" s="64"/>
      <c r="D1193" s="64"/>
      <c r="E1193" s="64"/>
      <c r="F1193" s="64"/>
    </row>
    <row r="1194">
      <c r="B1194" s="64"/>
      <c r="C1194" s="64"/>
      <c r="D1194" s="64"/>
      <c r="E1194" s="64"/>
      <c r="F1194" s="64"/>
    </row>
    <row r="1195">
      <c r="B1195" s="64"/>
      <c r="C1195" s="64"/>
      <c r="D1195" s="64"/>
      <c r="E1195" s="64"/>
      <c r="F1195" s="64"/>
    </row>
    <row r="1196">
      <c r="B1196" s="64"/>
      <c r="C1196" s="64"/>
      <c r="D1196" s="64"/>
      <c r="E1196" s="64"/>
      <c r="F1196" s="64"/>
    </row>
    <row r="1197">
      <c r="B1197" s="64"/>
      <c r="C1197" s="64"/>
      <c r="D1197" s="64"/>
      <c r="E1197" s="64"/>
      <c r="F1197" s="64"/>
    </row>
    <row r="1198">
      <c r="B1198" s="64"/>
      <c r="C1198" s="64"/>
      <c r="D1198" s="64"/>
      <c r="E1198" s="64"/>
      <c r="F1198" s="64"/>
    </row>
    <row r="1199">
      <c r="B1199" s="64"/>
      <c r="C1199" s="64"/>
      <c r="D1199" s="64"/>
      <c r="E1199" s="64"/>
      <c r="F1199" s="64"/>
    </row>
    <row r="1200">
      <c r="B1200" s="64"/>
      <c r="C1200" s="64"/>
      <c r="D1200" s="64"/>
      <c r="E1200" s="64"/>
      <c r="F1200" s="64"/>
    </row>
    <row r="1201">
      <c r="B1201" s="64"/>
      <c r="C1201" s="64"/>
      <c r="D1201" s="64"/>
      <c r="E1201" s="64"/>
      <c r="F1201" s="64"/>
    </row>
    <row r="1202">
      <c r="B1202" s="64"/>
      <c r="C1202" s="64"/>
      <c r="D1202" s="64"/>
      <c r="E1202" s="64"/>
      <c r="F1202" s="64"/>
    </row>
    <row r="1203">
      <c r="B1203" s="64"/>
      <c r="C1203" s="64"/>
      <c r="D1203" s="64"/>
      <c r="E1203" s="64"/>
      <c r="F1203" s="64"/>
    </row>
    <row r="1204">
      <c r="B1204" s="64"/>
      <c r="C1204" s="64"/>
      <c r="D1204" s="64"/>
      <c r="E1204" s="64"/>
      <c r="F1204" s="64"/>
    </row>
    <row r="1205">
      <c r="B1205" s="64"/>
      <c r="C1205" s="64"/>
      <c r="D1205" s="64"/>
      <c r="E1205" s="64"/>
      <c r="F1205" s="64"/>
    </row>
    <row r="1206">
      <c r="B1206" s="64"/>
      <c r="C1206" s="64"/>
      <c r="D1206" s="64"/>
      <c r="E1206" s="64"/>
      <c r="F1206" s="64"/>
    </row>
    <row r="1207">
      <c r="B1207" s="64"/>
      <c r="C1207" s="64"/>
      <c r="D1207" s="64"/>
      <c r="E1207" s="64"/>
      <c r="F1207" s="64"/>
    </row>
    <row r="1208">
      <c r="B1208" s="64"/>
      <c r="C1208" s="64"/>
      <c r="D1208" s="64"/>
      <c r="E1208" s="64"/>
      <c r="F1208" s="64"/>
    </row>
    <row r="1209">
      <c r="B1209" s="64"/>
      <c r="C1209" s="64"/>
      <c r="D1209" s="64"/>
      <c r="E1209" s="64"/>
      <c r="F1209" s="64"/>
    </row>
    <row r="1210">
      <c r="B1210" s="64"/>
      <c r="C1210" s="64"/>
      <c r="D1210" s="64"/>
      <c r="E1210" s="64"/>
      <c r="F1210" s="64"/>
    </row>
    <row r="1211">
      <c r="B1211" s="64"/>
      <c r="C1211" s="64"/>
      <c r="D1211" s="64"/>
      <c r="E1211" s="64"/>
      <c r="F1211" s="64"/>
    </row>
    <row r="1212">
      <c r="B1212" s="64"/>
      <c r="C1212" s="64"/>
      <c r="D1212" s="64"/>
      <c r="E1212" s="64"/>
      <c r="F1212" s="64"/>
    </row>
    <row r="1213">
      <c r="B1213" s="64"/>
      <c r="C1213" s="64"/>
      <c r="D1213" s="64"/>
      <c r="E1213" s="64"/>
      <c r="F1213" s="64"/>
    </row>
    <row r="1214">
      <c r="B1214" s="64"/>
      <c r="C1214" s="64"/>
      <c r="D1214" s="64"/>
      <c r="E1214" s="64"/>
      <c r="F1214" s="64"/>
    </row>
    <row r="1215">
      <c r="B1215" s="64"/>
      <c r="C1215" s="64"/>
      <c r="D1215" s="64"/>
      <c r="E1215" s="64"/>
      <c r="F1215" s="64"/>
    </row>
    <row r="1216">
      <c r="B1216" s="64"/>
      <c r="C1216" s="64"/>
      <c r="D1216" s="64"/>
      <c r="E1216" s="64"/>
      <c r="F1216" s="64"/>
    </row>
    <row r="1217">
      <c r="B1217" s="64"/>
      <c r="C1217" s="64"/>
      <c r="D1217" s="64"/>
      <c r="E1217" s="64"/>
      <c r="F1217" s="64"/>
    </row>
    <row r="1218">
      <c r="B1218" s="64"/>
      <c r="C1218" s="64"/>
      <c r="D1218" s="64"/>
      <c r="E1218" s="64"/>
      <c r="F1218" s="64"/>
    </row>
    <row r="1219">
      <c r="B1219" s="64"/>
      <c r="C1219" s="64"/>
      <c r="D1219" s="64"/>
      <c r="E1219" s="64"/>
      <c r="F1219" s="64"/>
    </row>
    <row r="1220">
      <c r="B1220" s="64"/>
      <c r="C1220" s="64"/>
      <c r="D1220" s="64"/>
      <c r="E1220" s="64"/>
      <c r="F1220" s="64"/>
    </row>
    <row r="1221">
      <c r="B1221" s="64"/>
      <c r="C1221" s="64"/>
      <c r="D1221" s="64"/>
      <c r="E1221" s="64"/>
      <c r="F1221" s="64"/>
    </row>
    <row r="1222">
      <c r="B1222" s="64"/>
      <c r="C1222" s="64"/>
      <c r="D1222" s="64"/>
      <c r="E1222" s="64"/>
      <c r="F1222" s="64"/>
    </row>
    <row r="1223">
      <c r="B1223" s="64"/>
      <c r="C1223" s="64"/>
      <c r="D1223" s="64"/>
      <c r="E1223" s="64"/>
      <c r="F1223" s="64"/>
    </row>
    <row r="1224">
      <c r="B1224" s="64"/>
      <c r="C1224" s="64"/>
      <c r="D1224" s="64"/>
      <c r="E1224" s="64"/>
      <c r="F1224" s="64"/>
    </row>
    <row r="1225">
      <c r="B1225" s="64"/>
      <c r="C1225" s="64"/>
      <c r="D1225" s="64"/>
      <c r="E1225" s="64"/>
      <c r="F1225" s="64"/>
    </row>
    <row r="1226">
      <c r="B1226" s="64"/>
      <c r="C1226" s="64"/>
      <c r="D1226" s="64"/>
      <c r="E1226" s="64"/>
      <c r="F1226" s="64"/>
    </row>
    <row r="1227">
      <c r="B1227" s="64"/>
      <c r="C1227" s="64"/>
      <c r="D1227" s="64"/>
      <c r="E1227" s="64"/>
      <c r="F1227" s="64"/>
    </row>
    <row r="1228">
      <c r="B1228" s="64"/>
      <c r="C1228" s="64"/>
      <c r="D1228" s="64"/>
      <c r="E1228" s="64"/>
      <c r="F1228" s="64"/>
    </row>
    <row r="1229">
      <c r="B1229" s="64"/>
      <c r="C1229" s="64"/>
      <c r="D1229" s="64"/>
      <c r="E1229" s="64"/>
      <c r="F1229" s="64"/>
    </row>
    <row r="1230">
      <c r="B1230" s="64"/>
      <c r="C1230" s="64"/>
      <c r="D1230" s="64"/>
      <c r="E1230" s="64"/>
      <c r="F1230" s="64"/>
    </row>
    <row r="1231">
      <c r="B1231" s="64"/>
      <c r="C1231" s="64"/>
      <c r="D1231" s="64"/>
      <c r="E1231" s="64"/>
      <c r="F1231" s="64"/>
    </row>
    <row r="1232">
      <c r="B1232" s="64"/>
      <c r="C1232" s="64"/>
      <c r="D1232" s="64"/>
      <c r="E1232" s="64"/>
      <c r="F1232" s="64"/>
    </row>
    <row r="1233">
      <c r="B1233" s="64"/>
      <c r="C1233" s="64"/>
      <c r="D1233" s="64"/>
      <c r="E1233" s="64"/>
      <c r="F1233" s="64"/>
    </row>
    <row r="1234">
      <c r="B1234" s="64"/>
      <c r="C1234" s="64"/>
      <c r="D1234" s="64"/>
      <c r="E1234" s="64"/>
      <c r="F1234" s="64"/>
    </row>
    <row r="1235">
      <c r="B1235" s="64"/>
      <c r="C1235" s="64"/>
      <c r="D1235" s="64"/>
      <c r="E1235" s="64"/>
      <c r="F1235" s="64"/>
    </row>
    <row r="1236">
      <c r="B1236" s="64"/>
      <c r="C1236" s="64"/>
      <c r="D1236" s="64"/>
      <c r="E1236" s="64"/>
      <c r="F1236" s="64"/>
    </row>
    <row r="1237">
      <c r="B1237" s="64"/>
      <c r="C1237" s="64"/>
      <c r="D1237" s="64"/>
      <c r="E1237" s="64"/>
      <c r="F1237" s="64"/>
    </row>
    <row r="1238">
      <c r="B1238" s="64"/>
      <c r="C1238" s="64"/>
      <c r="D1238" s="64"/>
      <c r="E1238" s="64"/>
      <c r="F1238" s="64"/>
    </row>
    <row r="1239">
      <c r="B1239" s="64"/>
      <c r="C1239" s="64"/>
      <c r="D1239" s="64"/>
      <c r="E1239" s="64"/>
      <c r="F1239" s="64"/>
    </row>
    <row r="1240">
      <c r="B1240" s="64"/>
      <c r="C1240" s="64"/>
      <c r="D1240" s="64"/>
      <c r="E1240" s="64"/>
      <c r="F1240" s="64"/>
    </row>
    <row r="1241">
      <c r="B1241" s="64"/>
      <c r="C1241" s="64"/>
      <c r="D1241" s="64"/>
      <c r="E1241" s="64"/>
      <c r="F1241" s="64"/>
    </row>
    <row r="1242">
      <c r="B1242" s="64"/>
      <c r="C1242" s="64"/>
      <c r="D1242" s="64"/>
      <c r="E1242" s="64"/>
      <c r="F1242" s="64"/>
    </row>
    <row r="1243">
      <c r="B1243" s="64"/>
      <c r="C1243" s="64"/>
      <c r="D1243" s="64"/>
      <c r="E1243" s="64"/>
      <c r="F1243" s="64"/>
    </row>
    <row r="1244">
      <c r="B1244" s="64"/>
      <c r="C1244" s="64"/>
      <c r="D1244" s="64"/>
      <c r="E1244" s="64"/>
      <c r="F1244" s="64"/>
    </row>
    <row r="1245">
      <c r="B1245" s="64"/>
      <c r="C1245" s="64"/>
      <c r="D1245" s="64"/>
      <c r="E1245" s="64"/>
      <c r="F1245" s="64"/>
    </row>
    <row r="1246">
      <c r="B1246" s="64"/>
      <c r="C1246" s="64"/>
      <c r="D1246" s="64"/>
      <c r="E1246" s="64"/>
      <c r="F1246" s="64"/>
    </row>
    <row r="1247">
      <c r="B1247" s="64"/>
      <c r="C1247" s="64"/>
      <c r="D1247" s="64"/>
      <c r="E1247" s="64"/>
      <c r="F1247" s="64"/>
    </row>
    <row r="1248">
      <c r="B1248" s="64"/>
      <c r="C1248" s="64"/>
      <c r="D1248" s="64"/>
      <c r="E1248" s="64"/>
      <c r="F1248" s="64"/>
    </row>
    <row r="1249">
      <c r="B1249" s="64"/>
      <c r="C1249" s="64"/>
      <c r="D1249" s="64"/>
      <c r="E1249" s="64"/>
      <c r="F1249" s="64"/>
    </row>
    <row r="1250">
      <c r="B1250" s="64"/>
      <c r="C1250" s="64"/>
      <c r="D1250" s="64"/>
      <c r="E1250" s="64"/>
      <c r="F1250" s="64"/>
    </row>
    <row r="1251">
      <c r="B1251" s="64"/>
      <c r="C1251" s="64"/>
      <c r="D1251" s="64"/>
      <c r="E1251" s="64"/>
      <c r="F1251" s="64"/>
    </row>
    <row r="1252">
      <c r="B1252" s="64"/>
      <c r="C1252" s="64"/>
      <c r="D1252" s="64"/>
      <c r="E1252" s="64"/>
      <c r="F1252" s="64"/>
    </row>
    <row r="1253">
      <c r="B1253" s="64"/>
      <c r="C1253" s="64"/>
      <c r="D1253" s="64"/>
      <c r="E1253" s="64"/>
      <c r="F1253" s="64"/>
    </row>
    <row r="1254">
      <c r="B1254" s="64"/>
      <c r="C1254" s="64"/>
      <c r="D1254" s="64"/>
      <c r="E1254" s="64"/>
      <c r="F1254" s="64"/>
    </row>
    <row r="1255">
      <c r="B1255" s="64"/>
      <c r="C1255" s="64"/>
      <c r="D1255" s="64"/>
      <c r="E1255" s="64"/>
      <c r="F1255" s="64"/>
    </row>
    <row r="1256">
      <c r="B1256" s="64"/>
      <c r="C1256" s="64"/>
      <c r="D1256" s="64"/>
      <c r="E1256" s="64"/>
      <c r="F1256" s="64"/>
    </row>
    <row r="1257">
      <c r="B1257" s="64"/>
      <c r="C1257" s="64"/>
      <c r="D1257" s="64"/>
      <c r="E1257" s="64"/>
      <c r="F1257" s="64"/>
    </row>
    <row r="1258">
      <c r="B1258" s="64"/>
      <c r="C1258" s="64"/>
      <c r="D1258" s="64"/>
      <c r="E1258" s="64"/>
      <c r="F1258" s="64"/>
    </row>
    <row r="1259">
      <c r="B1259" s="64"/>
      <c r="C1259" s="64"/>
      <c r="D1259" s="64"/>
      <c r="E1259" s="64"/>
      <c r="F1259" s="64"/>
    </row>
    <row r="1260">
      <c r="B1260" s="64"/>
      <c r="C1260" s="64"/>
      <c r="D1260" s="64"/>
      <c r="E1260" s="64"/>
      <c r="F1260" s="64"/>
    </row>
    <row r="1261">
      <c r="B1261" s="64"/>
      <c r="C1261" s="64"/>
      <c r="D1261" s="64"/>
      <c r="E1261" s="64"/>
      <c r="F1261" s="64"/>
    </row>
    <row r="1262">
      <c r="B1262" s="64"/>
      <c r="C1262" s="64"/>
      <c r="D1262" s="64"/>
      <c r="E1262" s="64"/>
      <c r="F1262" s="64"/>
    </row>
    <row r="1263">
      <c r="B1263" s="64"/>
      <c r="C1263" s="64"/>
      <c r="D1263" s="64"/>
      <c r="E1263" s="64"/>
      <c r="F1263" s="64"/>
    </row>
    <row r="1264">
      <c r="B1264" s="64"/>
      <c r="C1264" s="64"/>
      <c r="D1264" s="64"/>
      <c r="E1264" s="64"/>
      <c r="F1264" s="64"/>
    </row>
    <row r="1265">
      <c r="B1265" s="64"/>
      <c r="C1265" s="64"/>
      <c r="D1265" s="64"/>
      <c r="E1265" s="64"/>
      <c r="F1265" s="64"/>
    </row>
    <row r="1266">
      <c r="B1266" s="64"/>
      <c r="C1266" s="64"/>
      <c r="D1266" s="64"/>
      <c r="E1266" s="64"/>
      <c r="F1266" s="64"/>
    </row>
    <row r="1267">
      <c r="B1267" s="64"/>
      <c r="C1267" s="64"/>
      <c r="D1267" s="64"/>
      <c r="E1267" s="64"/>
      <c r="F1267" s="64"/>
    </row>
    <row r="1268">
      <c r="B1268" s="64"/>
      <c r="C1268" s="64"/>
      <c r="D1268" s="64"/>
      <c r="E1268" s="64"/>
      <c r="F1268" s="64"/>
    </row>
    <row r="1269">
      <c r="B1269" s="64"/>
      <c r="C1269" s="64"/>
      <c r="D1269" s="64"/>
      <c r="E1269" s="64"/>
      <c r="F1269" s="64"/>
    </row>
    <row r="1270">
      <c r="B1270" s="64"/>
      <c r="C1270" s="64"/>
      <c r="D1270" s="64"/>
      <c r="E1270" s="64"/>
      <c r="F1270" s="64"/>
    </row>
    <row r="1271">
      <c r="B1271" s="64"/>
      <c r="C1271" s="64"/>
      <c r="D1271" s="64"/>
      <c r="E1271" s="64"/>
      <c r="F1271" s="64"/>
    </row>
    <row r="1272">
      <c r="B1272" s="64"/>
      <c r="C1272" s="64"/>
      <c r="D1272" s="64"/>
      <c r="E1272" s="64"/>
      <c r="F1272" s="64"/>
    </row>
    <row r="1273">
      <c r="B1273" s="64"/>
      <c r="C1273" s="64"/>
      <c r="D1273" s="64"/>
      <c r="E1273" s="64"/>
      <c r="F1273" s="64"/>
    </row>
    <row r="1274">
      <c r="B1274" s="64"/>
      <c r="C1274" s="64"/>
      <c r="D1274" s="64"/>
      <c r="E1274" s="64"/>
      <c r="F1274" s="64"/>
    </row>
    <row r="1275">
      <c r="B1275" s="64"/>
      <c r="C1275" s="64"/>
      <c r="D1275" s="64"/>
      <c r="E1275" s="64"/>
      <c r="F1275" s="64"/>
    </row>
    <row r="1276">
      <c r="B1276" s="64"/>
      <c r="C1276" s="64"/>
      <c r="D1276" s="64"/>
      <c r="E1276" s="64"/>
      <c r="F1276" s="64"/>
    </row>
    <row r="1277">
      <c r="B1277" s="64"/>
      <c r="C1277" s="64"/>
      <c r="D1277" s="64"/>
      <c r="E1277" s="64"/>
      <c r="F1277" s="64"/>
    </row>
    <row r="1278">
      <c r="B1278" s="64"/>
      <c r="C1278" s="64"/>
      <c r="D1278" s="64"/>
      <c r="E1278" s="64"/>
      <c r="F1278" s="64"/>
    </row>
    <row r="1279">
      <c r="B1279" s="64"/>
      <c r="C1279" s="64"/>
      <c r="D1279" s="64"/>
      <c r="E1279" s="64"/>
      <c r="F1279" s="64"/>
    </row>
    <row r="1280">
      <c r="B1280" s="64"/>
      <c r="C1280" s="64"/>
      <c r="D1280" s="64"/>
      <c r="E1280" s="64"/>
      <c r="F1280" s="64"/>
    </row>
    <row r="1281">
      <c r="B1281" s="64"/>
      <c r="C1281" s="64"/>
      <c r="D1281" s="64"/>
      <c r="E1281" s="64"/>
      <c r="F1281" s="64"/>
    </row>
    <row r="1282">
      <c r="B1282" s="64"/>
      <c r="C1282" s="64"/>
      <c r="D1282" s="64"/>
      <c r="E1282" s="64"/>
      <c r="F1282" s="64"/>
    </row>
    <row r="1283">
      <c r="B1283" s="64"/>
      <c r="C1283" s="64"/>
      <c r="D1283" s="64"/>
      <c r="E1283" s="64"/>
      <c r="F1283" s="64"/>
    </row>
    <row r="1284">
      <c r="B1284" s="64"/>
      <c r="C1284" s="64"/>
      <c r="D1284" s="64"/>
      <c r="E1284" s="64"/>
      <c r="F1284" s="64"/>
    </row>
    <row r="1285">
      <c r="B1285" s="64"/>
      <c r="C1285" s="64"/>
      <c r="D1285" s="64"/>
      <c r="E1285" s="64"/>
      <c r="F1285" s="64"/>
    </row>
    <row r="1286">
      <c r="B1286" s="64"/>
      <c r="C1286" s="64"/>
      <c r="D1286" s="64"/>
      <c r="E1286" s="64"/>
      <c r="F1286" s="64"/>
    </row>
    <row r="1287">
      <c r="B1287" s="64"/>
      <c r="C1287" s="64"/>
      <c r="D1287" s="64"/>
      <c r="E1287" s="64"/>
      <c r="F1287" s="64"/>
    </row>
    <row r="1288">
      <c r="B1288" s="64"/>
      <c r="C1288" s="64"/>
      <c r="D1288" s="64"/>
      <c r="E1288" s="64"/>
      <c r="F1288" s="64"/>
    </row>
    <row r="1289">
      <c r="B1289" s="64"/>
      <c r="C1289" s="64"/>
      <c r="D1289" s="64"/>
      <c r="E1289" s="64"/>
      <c r="F1289" s="64"/>
    </row>
    <row r="1290">
      <c r="B1290" s="64"/>
      <c r="C1290" s="64"/>
      <c r="D1290" s="64"/>
      <c r="E1290" s="64"/>
      <c r="F1290" s="64"/>
    </row>
    <row r="1291">
      <c r="B1291" s="64"/>
      <c r="C1291" s="64"/>
      <c r="D1291" s="64"/>
      <c r="E1291" s="64"/>
      <c r="F1291" s="64"/>
    </row>
    <row r="1292">
      <c r="B1292" s="64"/>
      <c r="C1292" s="64"/>
      <c r="D1292" s="64"/>
      <c r="E1292" s="64"/>
      <c r="F1292" s="64"/>
    </row>
    <row r="1293">
      <c r="B1293" s="64"/>
      <c r="C1293" s="64"/>
      <c r="D1293" s="64"/>
      <c r="E1293" s="64"/>
      <c r="F1293" s="64"/>
    </row>
    <row r="1294">
      <c r="B1294" s="64"/>
      <c r="C1294" s="64"/>
      <c r="D1294" s="64"/>
      <c r="E1294" s="64"/>
      <c r="F1294" s="64"/>
    </row>
    <row r="1295">
      <c r="B1295" s="64"/>
      <c r="C1295" s="64"/>
      <c r="D1295" s="64"/>
      <c r="E1295" s="64"/>
      <c r="F1295" s="64"/>
    </row>
    <row r="1296">
      <c r="B1296" s="64"/>
      <c r="C1296" s="64"/>
      <c r="D1296" s="64"/>
      <c r="E1296" s="64"/>
      <c r="F1296" s="64"/>
    </row>
    <row r="1297">
      <c r="B1297" s="64"/>
      <c r="C1297" s="64"/>
      <c r="D1297" s="64"/>
      <c r="E1297" s="64"/>
      <c r="F1297" s="64"/>
    </row>
    <row r="1298">
      <c r="B1298" s="64"/>
      <c r="C1298" s="64"/>
      <c r="D1298" s="64"/>
      <c r="E1298" s="64"/>
      <c r="F1298" s="64"/>
    </row>
    <row r="1299">
      <c r="B1299" s="64"/>
      <c r="C1299" s="64"/>
      <c r="D1299" s="64"/>
      <c r="E1299" s="64"/>
      <c r="F1299" s="64"/>
    </row>
    <row r="1300">
      <c r="B1300" s="64"/>
      <c r="C1300" s="64"/>
      <c r="D1300" s="64"/>
      <c r="E1300" s="64"/>
      <c r="F1300" s="64"/>
    </row>
    <row r="1301">
      <c r="B1301" s="64"/>
      <c r="C1301" s="64"/>
      <c r="D1301" s="64"/>
      <c r="E1301" s="64"/>
      <c r="F1301" s="64"/>
    </row>
    <row r="1302">
      <c r="B1302" s="64"/>
      <c r="C1302" s="64"/>
      <c r="D1302" s="64"/>
      <c r="E1302" s="64"/>
      <c r="F1302" s="64"/>
    </row>
    <row r="1303">
      <c r="B1303" s="64"/>
      <c r="C1303" s="64"/>
      <c r="D1303" s="64"/>
      <c r="E1303" s="64"/>
      <c r="F1303" s="64"/>
    </row>
    <row r="1304">
      <c r="B1304" s="64"/>
      <c r="C1304" s="64"/>
      <c r="D1304" s="64"/>
      <c r="E1304" s="64"/>
      <c r="F1304" s="64"/>
    </row>
    <row r="1305">
      <c r="B1305" s="64"/>
      <c r="C1305" s="64"/>
      <c r="D1305" s="64"/>
      <c r="E1305" s="64"/>
      <c r="F1305" s="64"/>
    </row>
    <row r="1306">
      <c r="B1306" s="64"/>
      <c r="C1306" s="64"/>
      <c r="D1306" s="64"/>
      <c r="E1306" s="64"/>
      <c r="F1306" s="64"/>
    </row>
    <row r="1307">
      <c r="B1307" s="64"/>
      <c r="C1307" s="64"/>
      <c r="D1307" s="64"/>
      <c r="E1307" s="64"/>
      <c r="F1307" s="64"/>
    </row>
    <row r="1308">
      <c r="B1308" s="64"/>
      <c r="C1308" s="64"/>
      <c r="D1308" s="64"/>
      <c r="E1308" s="64"/>
      <c r="F1308" s="64"/>
    </row>
    <row r="1309">
      <c r="B1309" s="64"/>
      <c r="C1309" s="64"/>
      <c r="D1309" s="64"/>
      <c r="E1309" s="64"/>
      <c r="F1309" s="64"/>
    </row>
    <row r="1310">
      <c r="B1310" s="64"/>
      <c r="C1310" s="64"/>
      <c r="D1310" s="64"/>
      <c r="E1310" s="64"/>
      <c r="F1310" s="64"/>
    </row>
    <row r="1311">
      <c r="B1311" s="64"/>
      <c r="C1311" s="64"/>
      <c r="D1311" s="64"/>
      <c r="E1311" s="64"/>
      <c r="F1311" s="64"/>
    </row>
    <row r="1312">
      <c r="B1312" s="64"/>
      <c r="C1312" s="64"/>
      <c r="D1312" s="64"/>
      <c r="E1312" s="64"/>
      <c r="F1312" s="64"/>
    </row>
    <row r="1313">
      <c r="B1313" s="64"/>
      <c r="C1313" s="64"/>
      <c r="D1313" s="64"/>
      <c r="E1313" s="64"/>
      <c r="F1313" s="64"/>
    </row>
    <row r="1314">
      <c r="B1314" s="64"/>
      <c r="C1314" s="64"/>
      <c r="D1314" s="64"/>
      <c r="E1314" s="64"/>
      <c r="F1314" s="64"/>
    </row>
    <row r="1315">
      <c r="B1315" s="64"/>
      <c r="C1315" s="64"/>
      <c r="D1315" s="64"/>
      <c r="E1315" s="64"/>
      <c r="F1315" s="64"/>
    </row>
    <row r="1316">
      <c r="B1316" s="64"/>
      <c r="C1316" s="64"/>
      <c r="D1316" s="64"/>
      <c r="E1316" s="64"/>
      <c r="F1316" s="64"/>
    </row>
    <row r="1317">
      <c r="B1317" s="64"/>
      <c r="C1317" s="64"/>
      <c r="D1317" s="64"/>
      <c r="E1317" s="64"/>
      <c r="F1317" s="64"/>
    </row>
    <row r="1318">
      <c r="B1318" s="64"/>
      <c r="C1318" s="64"/>
      <c r="D1318" s="64"/>
      <c r="E1318" s="64"/>
      <c r="F1318" s="64"/>
    </row>
    <row r="1319">
      <c r="B1319" s="64"/>
      <c r="C1319" s="64"/>
      <c r="D1319" s="64"/>
      <c r="E1319" s="64"/>
      <c r="F1319" s="64"/>
    </row>
    <row r="1320">
      <c r="B1320" s="64"/>
      <c r="C1320" s="64"/>
      <c r="D1320" s="64"/>
      <c r="E1320" s="64"/>
      <c r="F1320" s="64"/>
    </row>
    <row r="1321">
      <c r="B1321" s="64"/>
      <c r="C1321" s="64"/>
      <c r="D1321" s="64"/>
      <c r="E1321" s="64"/>
      <c r="F1321" s="64"/>
    </row>
    <row r="1322">
      <c r="B1322" s="64"/>
      <c r="C1322" s="64"/>
      <c r="D1322" s="64"/>
      <c r="E1322" s="64"/>
      <c r="F1322" s="64"/>
    </row>
    <row r="1323">
      <c r="B1323" s="64"/>
      <c r="C1323" s="64"/>
      <c r="D1323" s="64"/>
      <c r="E1323" s="64"/>
      <c r="F1323" s="64"/>
    </row>
    <row r="1324">
      <c r="B1324" s="64"/>
      <c r="C1324" s="64"/>
      <c r="D1324" s="64"/>
      <c r="E1324" s="64"/>
      <c r="F1324" s="64"/>
    </row>
    <row r="1325">
      <c r="B1325" s="64"/>
      <c r="C1325" s="64"/>
      <c r="D1325" s="64"/>
      <c r="E1325" s="64"/>
      <c r="F1325" s="64"/>
    </row>
    <row r="1326">
      <c r="B1326" s="64"/>
      <c r="C1326" s="64"/>
      <c r="D1326" s="64"/>
      <c r="E1326" s="64"/>
      <c r="F1326" s="64"/>
    </row>
    <row r="1327">
      <c r="B1327" s="64"/>
      <c r="C1327" s="64"/>
      <c r="D1327" s="64"/>
      <c r="E1327" s="64"/>
      <c r="F1327" s="64"/>
    </row>
    <row r="1328">
      <c r="B1328" s="64"/>
      <c r="C1328" s="64"/>
      <c r="D1328" s="64"/>
      <c r="E1328" s="64"/>
      <c r="F1328" s="64"/>
    </row>
    <row r="1329">
      <c r="B1329" s="64"/>
      <c r="C1329" s="64"/>
      <c r="D1329" s="64"/>
      <c r="E1329" s="64"/>
      <c r="F1329" s="64"/>
    </row>
    <row r="1330">
      <c r="B1330" s="64"/>
      <c r="C1330" s="64"/>
      <c r="D1330" s="64"/>
      <c r="E1330" s="64"/>
      <c r="F1330" s="64"/>
    </row>
    <row r="1331">
      <c r="B1331" s="64"/>
      <c r="C1331" s="64"/>
      <c r="D1331" s="64"/>
      <c r="E1331" s="64"/>
      <c r="F1331" s="64"/>
    </row>
    <row r="1332">
      <c r="B1332" s="64"/>
      <c r="C1332" s="64"/>
      <c r="D1332" s="64"/>
      <c r="E1332" s="64"/>
      <c r="F1332" s="64"/>
    </row>
    <row r="1333">
      <c r="B1333" s="64"/>
      <c r="C1333" s="64"/>
      <c r="D1333" s="64"/>
      <c r="E1333" s="64"/>
      <c r="F1333" s="64"/>
    </row>
    <row r="1334">
      <c r="B1334" s="64"/>
      <c r="C1334" s="64"/>
      <c r="D1334" s="64"/>
      <c r="E1334" s="64"/>
      <c r="F1334" s="64"/>
    </row>
    <row r="1335">
      <c r="B1335" s="64"/>
      <c r="C1335" s="64"/>
      <c r="D1335" s="64"/>
      <c r="E1335" s="64"/>
      <c r="F1335" s="64"/>
    </row>
    <row r="1336">
      <c r="B1336" s="64"/>
      <c r="C1336" s="64"/>
      <c r="D1336" s="64"/>
      <c r="E1336" s="64"/>
      <c r="F1336" s="64"/>
    </row>
    <row r="1337">
      <c r="B1337" s="64"/>
      <c r="C1337" s="64"/>
      <c r="D1337" s="64"/>
      <c r="E1337" s="64"/>
      <c r="F1337" s="64"/>
    </row>
    <row r="1338">
      <c r="B1338" s="64"/>
      <c r="C1338" s="64"/>
      <c r="D1338" s="64"/>
      <c r="E1338" s="64"/>
      <c r="F1338" s="64"/>
    </row>
    <row r="1339">
      <c r="B1339" s="64"/>
      <c r="C1339" s="64"/>
      <c r="D1339" s="64"/>
      <c r="E1339" s="64"/>
      <c r="F1339" s="64"/>
    </row>
    <row r="1340">
      <c r="B1340" s="64"/>
      <c r="C1340" s="64"/>
      <c r="D1340" s="64"/>
      <c r="E1340" s="64"/>
      <c r="F1340" s="64"/>
    </row>
    <row r="1341">
      <c r="B1341" s="64"/>
      <c r="C1341" s="64"/>
      <c r="D1341" s="64"/>
      <c r="E1341" s="64"/>
      <c r="F1341" s="64"/>
    </row>
    <row r="1342">
      <c r="B1342" s="64"/>
      <c r="C1342" s="64"/>
      <c r="D1342" s="64"/>
      <c r="E1342" s="64"/>
      <c r="F1342" s="64"/>
    </row>
    <row r="1343">
      <c r="B1343" s="64"/>
      <c r="C1343" s="64"/>
      <c r="D1343" s="64"/>
      <c r="E1343" s="64"/>
      <c r="F1343" s="64"/>
    </row>
    <row r="1344">
      <c r="B1344" s="64"/>
      <c r="C1344" s="64"/>
      <c r="D1344" s="64"/>
      <c r="E1344" s="64"/>
      <c r="F1344" s="64"/>
    </row>
    <row r="1345">
      <c r="B1345" s="64"/>
      <c r="C1345" s="64"/>
      <c r="D1345" s="64"/>
      <c r="E1345" s="64"/>
      <c r="F1345" s="64"/>
    </row>
    <row r="1346">
      <c r="B1346" s="64"/>
      <c r="C1346" s="64"/>
      <c r="D1346" s="64"/>
      <c r="E1346" s="64"/>
      <c r="F1346" s="64"/>
    </row>
    <row r="1347">
      <c r="B1347" s="64"/>
      <c r="C1347" s="64"/>
      <c r="D1347" s="64"/>
      <c r="E1347" s="64"/>
      <c r="F1347" s="64"/>
    </row>
    <row r="1348">
      <c r="B1348" s="64"/>
      <c r="C1348" s="64"/>
      <c r="D1348" s="64"/>
      <c r="E1348" s="64"/>
      <c r="F1348" s="64"/>
    </row>
    <row r="1349">
      <c r="B1349" s="64"/>
      <c r="C1349" s="64"/>
      <c r="D1349" s="64"/>
      <c r="E1349" s="64"/>
      <c r="F1349" s="64"/>
    </row>
    <row r="1350">
      <c r="B1350" s="64"/>
      <c r="C1350" s="64"/>
      <c r="D1350" s="64"/>
      <c r="E1350" s="64"/>
      <c r="F1350" s="64"/>
    </row>
    <row r="1351">
      <c r="B1351" s="64"/>
      <c r="C1351" s="64"/>
      <c r="D1351" s="64"/>
      <c r="E1351" s="64"/>
      <c r="F1351" s="64"/>
    </row>
    <row r="1352">
      <c r="B1352" s="64"/>
      <c r="C1352" s="64"/>
      <c r="D1352" s="64"/>
      <c r="E1352" s="64"/>
      <c r="F1352" s="64"/>
    </row>
    <row r="1353">
      <c r="B1353" s="64"/>
      <c r="C1353" s="64"/>
      <c r="D1353" s="64"/>
      <c r="E1353" s="64"/>
      <c r="F1353" s="64"/>
    </row>
    <row r="1354">
      <c r="B1354" s="64"/>
      <c r="C1354" s="64"/>
      <c r="D1354" s="64"/>
      <c r="E1354" s="64"/>
      <c r="F1354" s="64"/>
    </row>
    <row r="1355">
      <c r="B1355" s="64"/>
      <c r="C1355" s="64"/>
      <c r="D1355" s="64"/>
      <c r="E1355" s="64"/>
      <c r="F1355" s="64"/>
    </row>
    <row r="1356">
      <c r="B1356" s="64"/>
      <c r="C1356" s="64"/>
      <c r="D1356" s="64"/>
      <c r="E1356" s="64"/>
      <c r="F1356" s="64"/>
    </row>
    <row r="1357">
      <c r="B1357" s="64"/>
      <c r="C1357" s="64"/>
      <c r="D1357" s="64"/>
      <c r="E1357" s="64"/>
      <c r="F1357" s="64"/>
    </row>
    <row r="1358">
      <c r="B1358" s="64"/>
      <c r="C1358" s="64"/>
      <c r="D1358" s="64"/>
      <c r="E1358" s="64"/>
      <c r="F1358" s="64"/>
    </row>
    <row r="1359">
      <c r="B1359" s="64"/>
      <c r="C1359" s="64"/>
      <c r="D1359" s="64"/>
      <c r="E1359" s="64"/>
      <c r="F1359" s="64"/>
    </row>
    <row r="1360">
      <c r="B1360" s="64"/>
      <c r="C1360" s="64"/>
      <c r="D1360" s="64"/>
      <c r="E1360" s="64"/>
      <c r="F1360" s="64"/>
    </row>
    <row r="1361">
      <c r="B1361" s="64"/>
      <c r="C1361" s="64"/>
      <c r="D1361" s="64"/>
      <c r="E1361" s="64"/>
      <c r="F1361" s="64"/>
    </row>
    <row r="1362">
      <c r="B1362" s="64"/>
      <c r="C1362" s="64"/>
      <c r="D1362" s="64"/>
      <c r="E1362" s="64"/>
      <c r="F1362" s="64"/>
    </row>
    <row r="1363">
      <c r="B1363" s="64"/>
      <c r="C1363" s="64"/>
      <c r="D1363" s="64"/>
      <c r="E1363" s="64"/>
      <c r="F1363" s="64"/>
    </row>
    <row r="1364">
      <c r="B1364" s="64"/>
      <c r="C1364" s="64"/>
      <c r="D1364" s="64"/>
      <c r="E1364" s="64"/>
      <c r="F1364" s="64"/>
    </row>
    <row r="1365">
      <c r="B1365" s="64"/>
      <c r="C1365" s="64"/>
      <c r="D1365" s="64"/>
      <c r="E1365" s="64"/>
      <c r="F1365" s="64"/>
    </row>
    <row r="1366">
      <c r="B1366" s="64"/>
      <c r="C1366" s="64"/>
      <c r="D1366" s="64"/>
      <c r="E1366" s="64"/>
      <c r="F1366" s="64"/>
    </row>
    <row r="1367">
      <c r="B1367" s="64"/>
      <c r="C1367" s="64"/>
      <c r="D1367" s="64"/>
      <c r="E1367" s="64"/>
      <c r="F1367" s="64"/>
    </row>
    <row r="1368">
      <c r="B1368" s="64"/>
      <c r="C1368" s="64"/>
      <c r="D1368" s="64"/>
      <c r="E1368" s="64"/>
      <c r="F1368" s="64"/>
    </row>
    <row r="1369">
      <c r="B1369" s="64"/>
      <c r="C1369" s="64"/>
      <c r="D1369" s="64"/>
      <c r="E1369" s="64"/>
      <c r="F1369" s="64"/>
    </row>
    <row r="1370">
      <c r="B1370" s="64"/>
      <c r="C1370" s="64"/>
      <c r="D1370" s="64"/>
      <c r="E1370" s="64"/>
      <c r="F1370" s="64"/>
    </row>
    <row r="1371">
      <c r="B1371" s="64"/>
      <c r="C1371" s="64"/>
      <c r="D1371" s="64"/>
      <c r="E1371" s="64"/>
      <c r="F1371" s="64"/>
    </row>
    <row r="1372">
      <c r="B1372" s="64"/>
      <c r="C1372" s="64"/>
      <c r="D1372" s="64"/>
      <c r="E1372" s="64"/>
      <c r="F1372" s="64"/>
    </row>
    <row r="1373">
      <c r="B1373" s="64"/>
      <c r="C1373" s="64"/>
      <c r="D1373" s="64"/>
      <c r="E1373" s="64"/>
      <c r="F1373" s="64"/>
    </row>
    <row r="1374">
      <c r="B1374" s="64"/>
      <c r="C1374" s="64"/>
      <c r="D1374" s="64"/>
      <c r="E1374" s="64"/>
      <c r="F1374" s="64"/>
    </row>
    <row r="1375">
      <c r="B1375" s="64"/>
      <c r="C1375" s="64"/>
      <c r="D1375" s="64"/>
      <c r="E1375" s="64"/>
      <c r="F1375" s="64"/>
    </row>
    <row r="1376">
      <c r="B1376" s="64"/>
      <c r="C1376" s="64"/>
      <c r="D1376" s="64"/>
      <c r="E1376" s="64"/>
      <c r="F1376" s="64"/>
    </row>
    <row r="1377">
      <c r="B1377" s="64"/>
      <c r="C1377" s="64"/>
      <c r="D1377" s="64"/>
      <c r="E1377" s="64"/>
      <c r="F1377" s="64"/>
    </row>
    <row r="1378">
      <c r="B1378" s="64"/>
      <c r="C1378" s="64"/>
      <c r="D1378" s="64"/>
      <c r="E1378" s="64"/>
      <c r="F1378" s="64"/>
    </row>
    <row r="1379">
      <c r="B1379" s="64"/>
      <c r="C1379" s="64"/>
      <c r="D1379" s="64"/>
      <c r="E1379" s="64"/>
      <c r="F1379" s="64"/>
    </row>
    <row r="1380">
      <c r="B1380" s="64"/>
      <c r="C1380" s="64"/>
      <c r="D1380" s="64"/>
      <c r="E1380" s="64"/>
      <c r="F1380" s="64"/>
    </row>
    <row r="1381">
      <c r="B1381" s="64"/>
      <c r="C1381" s="64"/>
      <c r="D1381" s="64"/>
      <c r="E1381" s="64"/>
      <c r="F1381" s="64"/>
    </row>
    <row r="1382">
      <c r="B1382" s="64"/>
      <c r="C1382" s="64"/>
      <c r="D1382" s="64"/>
      <c r="E1382" s="64"/>
      <c r="F1382" s="64"/>
    </row>
    <row r="1383">
      <c r="B1383" s="64"/>
      <c r="C1383" s="64"/>
      <c r="D1383" s="64"/>
      <c r="E1383" s="64"/>
      <c r="F1383" s="64"/>
    </row>
    <row r="1384">
      <c r="B1384" s="64"/>
      <c r="C1384" s="64"/>
      <c r="D1384" s="64"/>
      <c r="E1384" s="64"/>
      <c r="F1384" s="64"/>
    </row>
    <row r="1385">
      <c r="B1385" s="64"/>
      <c r="C1385" s="64"/>
      <c r="D1385" s="64"/>
      <c r="E1385" s="64"/>
      <c r="F1385" s="64"/>
    </row>
    <row r="1386">
      <c r="B1386" s="64"/>
      <c r="C1386" s="64"/>
      <c r="D1386" s="64"/>
      <c r="E1386" s="64"/>
      <c r="F1386" s="64"/>
    </row>
    <row r="1387">
      <c r="B1387" s="64"/>
      <c r="C1387" s="64"/>
      <c r="D1387" s="64"/>
      <c r="E1387" s="64"/>
      <c r="F1387" s="64"/>
    </row>
    <row r="1388">
      <c r="B1388" s="64"/>
      <c r="C1388" s="64"/>
      <c r="D1388" s="64"/>
      <c r="E1388" s="64"/>
      <c r="F1388" s="64"/>
    </row>
    <row r="1389">
      <c r="B1389" s="64"/>
      <c r="C1389" s="64"/>
      <c r="D1389" s="64"/>
      <c r="E1389" s="64"/>
      <c r="F1389" s="64"/>
    </row>
    <row r="1390">
      <c r="B1390" s="64"/>
      <c r="C1390" s="64"/>
      <c r="D1390" s="64"/>
      <c r="E1390" s="64"/>
      <c r="F1390" s="64"/>
    </row>
    <row r="1391">
      <c r="B1391" s="64"/>
      <c r="C1391" s="64"/>
      <c r="D1391" s="64"/>
      <c r="E1391" s="64"/>
      <c r="F1391" s="64"/>
    </row>
    <row r="1392">
      <c r="B1392" s="64"/>
      <c r="C1392" s="64"/>
      <c r="D1392" s="64"/>
      <c r="E1392" s="64"/>
      <c r="F1392" s="64"/>
    </row>
    <row r="1393">
      <c r="B1393" s="64"/>
      <c r="C1393" s="64"/>
      <c r="D1393" s="64"/>
      <c r="E1393" s="64"/>
      <c r="F1393" s="64"/>
    </row>
    <row r="1394">
      <c r="B1394" s="64"/>
      <c r="C1394" s="64"/>
      <c r="D1394" s="64"/>
      <c r="E1394" s="64"/>
      <c r="F1394" s="64"/>
    </row>
    <row r="1395">
      <c r="B1395" s="64"/>
      <c r="C1395" s="64"/>
      <c r="D1395" s="64"/>
      <c r="E1395" s="64"/>
      <c r="F1395" s="64"/>
    </row>
    <row r="1396">
      <c r="B1396" s="64"/>
      <c r="C1396" s="64"/>
      <c r="D1396" s="64"/>
      <c r="E1396" s="64"/>
      <c r="F1396" s="64"/>
    </row>
    <row r="1397">
      <c r="B1397" s="64"/>
      <c r="C1397" s="64"/>
      <c r="D1397" s="64"/>
      <c r="E1397" s="64"/>
      <c r="F1397" s="64"/>
    </row>
    <row r="1398">
      <c r="B1398" s="64"/>
      <c r="C1398" s="64"/>
      <c r="D1398" s="64"/>
      <c r="E1398" s="64"/>
      <c r="F1398" s="64"/>
    </row>
    <row r="1399">
      <c r="B1399" s="64"/>
      <c r="C1399" s="64"/>
      <c r="D1399" s="64"/>
      <c r="E1399" s="64"/>
      <c r="F1399" s="64"/>
    </row>
    <row r="1400">
      <c r="B1400" s="64"/>
      <c r="C1400" s="64"/>
      <c r="D1400" s="64"/>
      <c r="E1400" s="64"/>
      <c r="F1400" s="64"/>
    </row>
    <row r="1401">
      <c r="B1401" s="64"/>
      <c r="C1401" s="64"/>
      <c r="D1401" s="64"/>
      <c r="E1401" s="64"/>
      <c r="F1401" s="64"/>
    </row>
    <row r="1402">
      <c r="B1402" s="64"/>
      <c r="C1402" s="64"/>
      <c r="D1402" s="64"/>
      <c r="E1402" s="64"/>
      <c r="F1402" s="64"/>
    </row>
    <row r="1403">
      <c r="B1403" s="64"/>
      <c r="C1403" s="64"/>
      <c r="D1403" s="64"/>
      <c r="E1403" s="64"/>
      <c r="F1403" s="64"/>
    </row>
    <row r="1404">
      <c r="B1404" s="64"/>
      <c r="C1404" s="64"/>
      <c r="D1404" s="64"/>
      <c r="E1404" s="64"/>
      <c r="F1404" s="64"/>
    </row>
    <row r="1405">
      <c r="B1405" s="64"/>
      <c r="C1405" s="64"/>
      <c r="D1405" s="64"/>
      <c r="E1405" s="64"/>
      <c r="F1405" s="64"/>
    </row>
    <row r="1406">
      <c r="B1406" s="64"/>
      <c r="C1406" s="64"/>
      <c r="D1406" s="64"/>
      <c r="E1406" s="64"/>
      <c r="F1406" s="64"/>
    </row>
    <row r="1407">
      <c r="B1407" s="64"/>
      <c r="C1407" s="64"/>
      <c r="D1407" s="64"/>
      <c r="E1407" s="64"/>
      <c r="F1407" s="64"/>
    </row>
    <row r="1408">
      <c r="B1408" s="64"/>
      <c r="C1408" s="64"/>
      <c r="D1408" s="64"/>
      <c r="E1408" s="64"/>
      <c r="F1408" s="64"/>
    </row>
    <row r="1409">
      <c r="B1409" s="64"/>
      <c r="C1409" s="64"/>
      <c r="D1409" s="64"/>
      <c r="E1409" s="64"/>
      <c r="F1409" s="64"/>
    </row>
    <row r="1410">
      <c r="B1410" s="64"/>
      <c r="C1410" s="64"/>
      <c r="D1410" s="64"/>
      <c r="E1410" s="64"/>
      <c r="F1410" s="64"/>
    </row>
    <row r="1411">
      <c r="B1411" s="64"/>
      <c r="C1411" s="64"/>
      <c r="D1411" s="64"/>
      <c r="E1411" s="64"/>
      <c r="F1411" s="64"/>
    </row>
    <row r="1412">
      <c r="B1412" s="64"/>
      <c r="C1412" s="64"/>
      <c r="D1412" s="64"/>
      <c r="E1412" s="64"/>
      <c r="F1412" s="64"/>
    </row>
    <row r="1413">
      <c r="B1413" s="64"/>
      <c r="C1413" s="64"/>
      <c r="D1413" s="64"/>
      <c r="E1413" s="64"/>
      <c r="F1413" s="64"/>
    </row>
    <row r="1414">
      <c r="B1414" s="64"/>
      <c r="C1414" s="64"/>
      <c r="D1414" s="64"/>
      <c r="E1414" s="64"/>
      <c r="F1414" s="64"/>
    </row>
    <row r="1415">
      <c r="B1415" s="64"/>
      <c r="C1415" s="64"/>
      <c r="D1415" s="64"/>
      <c r="E1415" s="64"/>
      <c r="F1415" s="64"/>
    </row>
    <row r="1416">
      <c r="B1416" s="64"/>
      <c r="C1416" s="64"/>
      <c r="D1416" s="64"/>
      <c r="E1416" s="64"/>
      <c r="F1416" s="64"/>
    </row>
    <row r="1417">
      <c r="B1417" s="64"/>
      <c r="C1417" s="64"/>
      <c r="D1417" s="64"/>
      <c r="E1417" s="64"/>
      <c r="F1417" s="64"/>
    </row>
    <row r="1418">
      <c r="B1418" s="64"/>
      <c r="C1418" s="64"/>
      <c r="D1418" s="64"/>
      <c r="E1418" s="64"/>
      <c r="F1418" s="64"/>
    </row>
    <row r="1419">
      <c r="B1419" s="64"/>
      <c r="C1419" s="64"/>
      <c r="D1419" s="64"/>
      <c r="E1419" s="64"/>
      <c r="F1419" s="64"/>
    </row>
    <row r="1420">
      <c r="B1420" s="64"/>
      <c r="C1420" s="64"/>
      <c r="D1420" s="64"/>
      <c r="E1420" s="64"/>
      <c r="F1420" s="64"/>
    </row>
    <row r="1421">
      <c r="B1421" s="64"/>
      <c r="C1421" s="64"/>
      <c r="D1421" s="64"/>
      <c r="E1421" s="64"/>
      <c r="F1421" s="64"/>
    </row>
    <row r="1422">
      <c r="B1422" s="64"/>
      <c r="C1422" s="64"/>
      <c r="D1422" s="64"/>
      <c r="E1422" s="64"/>
      <c r="F1422" s="64"/>
    </row>
    <row r="1423">
      <c r="B1423" s="64"/>
      <c r="C1423" s="64"/>
      <c r="D1423" s="64"/>
      <c r="E1423" s="64"/>
      <c r="F1423" s="64"/>
    </row>
    <row r="1424">
      <c r="B1424" s="64"/>
      <c r="C1424" s="64"/>
      <c r="D1424" s="64"/>
      <c r="E1424" s="64"/>
      <c r="F1424" s="64"/>
    </row>
    <row r="1425">
      <c r="B1425" s="64"/>
      <c r="C1425" s="64"/>
      <c r="D1425" s="64"/>
      <c r="E1425" s="64"/>
      <c r="F1425" s="64"/>
    </row>
    <row r="1426">
      <c r="B1426" s="64"/>
      <c r="C1426" s="64"/>
      <c r="D1426" s="64"/>
      <c r="E1426" s="64"/>
      <c r="F1426" s="64"/>
    </row>
    <row r="1427">
      <c r="B1427" s="64"/>
      <c r="C1427" s="64"/>
      <c r="D1427" s="64"/>
      <c r="E1427" s="64"/>
      <c r="F1427" s="64"/>
    </row>
    <row r="1428">
      <c r="B1428" s="64"/>
      <c r="C1428" s="64"/>
      <c r="D1428" s="64"/>
      <c r="E1428" s="64"/>
      <c r="F1428" s="64"/>
    </row>
    <row r="1429">
      <c r="B1429" s="64"/>
      <c r="C1429" s="64"/>
      <c r="D1429" s="64"/>
      <c r="E1429" s="64"/>
      <c r="F1429" s="64"/>
    </row>
    <row r="1430">
      <c r="B1430" s="64"/>
      <c r="C1430" s="64"/>
      <c r="D1430" s="64"/>
      <c r="E1430" s="64"/>
      <c r="F1430" s="64"/>
    </row>
    <row r="1431">
      <c r="B1431" s="64"/>
      <c r="C1431" s="64"/>
      <c r="D1431" s="64"/>
      <c r="E1431" s="64"/>
      <c r="F1431" s="64"/>
    </row>
    <row r="1432">
      <c r="B1432" s="64"/>
      <c r="C1432" s="64"/>
      <c r="D1432" s="64"/>
      <c r="E1432" s="64"/>
      <c r="F1432" s="64"/>
    </row>
    <row r="1433">
      <c r="B1433" s="64"/>
      <c r="C1433" s="64"/>
      <c r="D1433" s="64"/>
      <c r="E1433" s="64"/>
      <c r="F1433" s="64"/>
    </row>
    <row r="1434">
      <c r="B1434" s="64"/>
      <c r="C1434" s="64"/>
      <c r="D1434" s="64"/>
      <c r="E1434" s="64"/>
      <c r="F1434" s="64"/>
    </row>
    <row r="1435">
      <c r="B1435" s="64"/>
      <c r="C1435" s="64"/>
      <c r="D1435" s="64"/>
      <c r="E1435" s="64"/>
      <c r="F1435" s="64"/>
    </row>
    <row r="1436">
      <c r="B1436" s="64"/>
      <c r="C1436" s="64"/>
      <c r="D1436" s="64"/>
      <c r="E1436" s="64"/>
      <c r="F1436" s="64"/>
    </row>
    <row r="1437">
      <c r="B1437" s="64"/>
      <c r="C1437" s="64"/>
      <c r="D1437" s="64"/>
      <c r="E1437" s="64"/>
      <c r="F1437" s="64"/>
    </row>
    <row r="1438">
      <c r="B1438" s="64"/>
      <c r="C1438" s="64"/>
      <c r="D1438" s="64"/>
      <c r="E1438" s="64"/>
      <c r="F1438" s="64"/>
    </row>
    <row r="1439">
      <c r="B1439" s="64"/>
      <c r="C1439" s="64"/>
      <c r="D1439" s="64"/>
      <c r="E1439" s="64"/>
      <c r="F1439" s="64"/>
    </row>
    <row r="1440">
      <c r="B1440" s="64"/>
      <c r="C1440" s="64"/>
      <c r="D1440" s="64"/>
      <c r="E1440" s="64"/>
      <c r="F1440" s="64"/>
    </row>
    <row r="1441">
      <c r="B1441" s="64"/>
      <c r="C1441" s="64"/>
      <c r="D1441" s="64"/>
      <c r="E1441" s="64"/>
      <c r="F1441" s="64"/>
    </row>
    <row r="1442">
      <c r="B1442" s="64"/>
      <c r="C1442" s="64"/>
      <c r="D1442" s="64"/>
      <c r="E1442" s="64"/>
      <c r="F1442" s="64"/>
    </row>
    <row r="1443">
      <c r="B1443" s="64"/>
      <c r="C1443" s="64"/>
      <c r="D1443" s="64"/>
      <c r="E1443" s="64"/>
      <c r="F1443" s="64"/>
    </row>
    <row r="1444">
      <c r="B1444" s="64"/>
      <c r="C1444" s="64"/>
      <c r="D1444" s="64"/>
      <c r="E1444" s="64"/>
      <c r="F1444" s="64"/>
    </row>
    <row r="1445">
      <c r="B1445" s="64"/>
      <c r="C1445" s="64"/>
      <c r="D1445" s="64"/>
      <c r="E1445" s="64"/>
      <c r="F1445" s="64"/>
    </row>
    <row r="1446">
      <c r="B1446" s="64"/>
      <c r="C1446" s="64"/>
      <c r="D1446" s="64"/>
      <c r="E1446" s="64"/>
      <c r="F1446" s="64"/>
    </row>
    <row r="1447">
      <c r="B1447" s="64"/>
      <c r="C1447" s="64"/>
      <c r="D1447" s="64"/>
      <c r="E1447" s="64"/>
      <c r="F1447" s="64"/>
    </row>
    <row r="1448">
      <c r="B1448" s="64"/>
      <c r="C1448" s="64"/>
      <c r="D1448" s="64"/>
      <c r="E1448" s="64"/>
      <c r="F1448" s="64"/>
    </row>
    <row r="1449">
      <c r="B1449" s="64"/>
      <c r="C1449" s="64"/>
      <c r="D1449" s="64"/>
      <c r="E1449" s="64"/>
      <c r="F1449" s="64"/>
    </row>
    <row r="1450">
      <c r="B1450" s="64"/>
      <c r="C1450" s="64"/>
      <c r="D1450" s="64"/>
      <c r="E1450" s="64"/>
      <c r="F1450" s="64"/>
    </row>
    <row r="1451">
      <c r="B1451" s="64"/>
      <c r="C1451" s="64"/>
      <c r="D1451" s="64"/>
      <c r="E1451" s="64"/>
      <c r="F1451" s="64"/>
    </row>
    <row r="1452">
      <c r="B1452" s="64"/>
      <c r="C1452" s="64"/>
      <c r="D1452" s="64"/>
      <c r="E1452" s="64"/>
      <c r="F1452" s="64"/>
    </row>
    <row r="1453">
      <c r="B1453" s="64"/>
      <c r="C1453" s="64"/>
      <c r="D1453" s="64"/>
      <c r="E1453" s="64"/>
      <c r="F1453" s="64"/>
    </row>
    <row r="1454">
      <c r="B1454" s="64"/>
      <c r="C1454" s="64"/>
      <c r="D1454" s="64"/>
      <c r="E1454" s="64"/>
      <c r="F1454" s="64"/>
    </row>
    <row r="1455">
      <c r="B1455" s="64"/>
      <c r="C1455" s="64"/>
      <c r="D1455" s="64"/>
      <c r="E1455" s="64"/>
      <c r="F1455" s="64"/>
    </row>
    <row r="1456">
      <c r="B1456" s="64"/>
      <c r="C1456" s="64"/>
      <c r="D1456" s="64"/>
      <c r="E1456" s="64"/>
      <c r="F1456" s="64"/>
    </row>
    <row r="1457">
      <c r="B1457" s="64"/>
      <c r="C1457" s="64"/>
      <c r="D1457" s="64"/>
      <c r="E1457" s="64"/>
      <c r="F1457" s="64"/>
    </row>
    <row r="1458">
      <c r="B1458" s="64"/>
      <c r="C1458" s="64"/>
      <c r="D1458" s="64"/>
      <c r="E1458" s="64"/>
      <c r="F1458" s="64"/>
    </row>
    <row r="1459">
      <c r="B1459" s="64"/>
      <c r="C1459" s="64"/>
      <c r="D1459" s="64"/>
      <c r="E1459" s="64"/>
      <c r="F1459" s="64"/>
    </row>
    <row r="1460">
      <c r="B1460" s="64"/>
      <c r="C1460" s="64"/>
      <c r="D1460" s="64"/>
      <c r="E1460" s="64"/>
      <c r="F1460" s="64"/>
    </row>
    <row r="1461">
      <c r="B1461" s="64"/>
      <c r="C1461" s="64"/>
      <c r="D1461" s="64"/>
      <c r="E1461" s="64"/>
      <c r="F1461" s="64"/>
    </row>
    <row r="1462">
      <c r="B1462" s="64"/>
      <c r="C1462" s="64"/>
      <c r="D1462" s="64"/>
      <c r="E1462" s="64"/>
      <c r="F1462" s="64"/>
    </row>
    <row r="1463">
      <c r="B1463" s="64"/>
      <c r="C1463" s="64"/>
      <c r="D1463" s="64"/>
      <c r="E1463" s="64"/>
      <c r="F1463" s="64"/>
    </row>
    <row r="1464">
      <c r="B1464" s="64"/>
      <c r="C1464" s="64"/>
      <c r="D1464" s="64"/>
      <c r="E1464" s="64"/>
      <c r="F1464" s="64"/>
    </row>
    <row r="1465">
      <c r="B1465" s="64"/>
      <c r="C1465" s="64"/>
      <c r="D1465" s="64"/>
      <c r="E1465" s="64"/>
      <c r="F1465" s="64"/>
    </row>
    <row r="1466">
      <c r="B1466" s="64"/>
      <c r="C1466" s="64"/>
      <c r="D1466" s="64"/>
      <c r="E1466" s="64"/>
      <c r="F1466" s="64"/>
    </row>
    <row r="1467">
      <c r="B1467" s="64"/>
      <c r="C1467" s="64"/>
      <c r="D1467" s="64"/>
      <c r="E1467" s="64"/>
      <c r="F1467" s="64"/>
    </row>
    <row r="1468">
      <c r="B1468" s="64"/>
      <c r="C1468" s="64"/>
      <c r="D1468" s="64"/>
      <c r="E1468" s="64"/>
      <c r="F1468" s="64"/>
    </row>
    <row r="1469">
      <c r="B1469" s="64"/>
      <c r="C1469" s="64"/>
      <c r="D1469" s="64"/>
      <c r="E1469" s="64"/>
      <c r="F1469" s="64"/>
    </row>
    <row r="1470">
      <c r="B1470" s="64"/>
      <c r="C1470" s="64"/>
      <c r="D1470" s="64"/>
      <c r="E1470" s="64"/>
      <c r="F1470" s="64"/>
    </row>
    <row r="1471">
      <c r="B1471" s="64"/>
      <c r="C1471" s="64"/>
      <c r="D1471" s="64"/>
      <c r="E1471" s="64"/>
      <c r="F1471" s="64"/>
    </row>
    <row r="1472">
      <c r="B1472" s="64"/>
      <c r="C1472" s="64"/>
      <c r="D1472" s="64"/>
      <c r="E1472" s="64"/>
      <c r="F1472" s="64"/>
    </row>
    <row r="1473">
      <c r="B1473" s="64"/>
      <c r="C1473" s="64"/>
      <c r="D1473" s="64"/>
      <c r="E1473" s="64"/>
      <c r="F1473" s="64"/>
    </row>
    <row r="1474">
      <c r="B1474" s="64"/>
      <c r="C1474" s="64"/>
      <c r="D1474" s="64"/>
      <c r="E1474" s="64"/>
      <c r="F1474" s="64"/>
    </row>
    <row r="1475">
      <c r="B1475" s="64"/>
      <c r="C1475" s="64"/>
      <c r="D1475" s="64"/>
      <c r="E1475" s="64"/>
      <c r="F1475" s="64"/>
    </row>
    <row r="1476">
      <c r="B1476" s="64"/>
      <c r="C1476" s="64"/>
      <c r="D1476" s="64"/>
      <c r="E1476" s="64"/>
      <c r="F1476" s="64"/>
    </row>
    <row r="1477">
      <c r="B1477" s="64"/>
      <c r="C1477" s="64"/>
      <c r="D1477" s="64"/>
      <c r="E1477" s="64"/>
      <c r="F1477" s="64"/>
    </row>
    <row r="1478">
      <c r="B1478" s="64"/>
      <c r="C1478" s="64"/>
      <c r="D1478" s="64"/>
      <c r="E1478" s="64"/>
      <c r="F1478" s="64"/>
    </row>
    <row r="1479">
      <c r="B1479" s="64"/>
      <c r="C1479" s="64"/>
      <c r="D1479" s="64"/>
      <c r="E1479" s="64"/>
      <c r="F1479" s="64"/>
    </row>
    <row r="1480">
      <c r="B1480" s="64"/>
      <c r="C1480" s="64"/>
      <c r="D1480" s="64"/>
      <c r="E1480" s="64"/>
      <c r="F1480" s="64"/>
    </row>
    <row r="1481">
      <c r="B1481" s="64"/>
      <c r="C1481" s="64"/>
      <c r="D1481" s="64"/>
      <c r="E1481" s="64"/>
      <c r="F1481" s="64"/>
    </row>
    <row r="1482">
      <c r="B1482" s="64"/>
      <c r="C1482" s="64"/>
      <c r="D1482" s="64"/>
      <c r="E1482" s="64"/>
      <c r="F1482" s="64"/>
    </row>
    <row r="1483">
      <c r="B1483" s="64"/>
      <c r="C1483" s="64"/>
      <c r="D1483" s="64"/>
      <c r="E1483" s="64"/>
      <c r="F1483" s="64"/>
    </row>
    <row r="1484">
      <c r="B1484" s="64"/>
      <c r="C1484" s="64"/>
      <c r="D1484" s="64"/>
      <c r="E1484" s="64"/>
      <c r="F1484" s="64"/>
    </row>
    <row r="1485">
      <c r="B1485" s="64"/>
      <c r="C1485" s="64"/>
      <c r="D1485" s="64"/>
      <c r="E1485" s="64"/>
      <c r="F1485" s="64"/>
    </row>
    <row r="1486">
      <c r="B1486" s="64"/>
      <c r="C1486" s="64"/>
      <c r="D1486" s="64"/>
      <c r="E1486" s="64"/>
      <c r="F1486" s="64"/>
    </row>
    <row r="1487">
      <c r="B1487" s="64"/>
      <c r="C1487" s="64"/>
      <c r="D1487" s="64"/>
      <c r="E1487" s="64"/>
      <c r="F1487" s="64"/>
    </row>
    <row r="1488">
      <c r="B1488" s="64"/>
      <c r="C1488" s="64"/>
      <c r="D1488" s="64"/>
      <c r="E1488" s="64"/>
      <c r="F1488" s="64"/>
    </row>
    <row r="1489">
      <c r="B1489" s="64"/>
      <c r="C1489" s="64"/>
      <c r="D1489" s="64"/>
      <c r="E1489" s="64"/>
      <c r="F1489" s="64"/>
    </row>
    <row r="1490">
      <c r="B1490" s="64"/>
      <c r="C1490" s="64"/>
      <c r="D1490" s="64"/>
      <c r="E1490" s="64"/>
      <c r="F1490" s="64"/>
    </row>
    <row r="1491">
      <c r="B1491" s="64"/>
      <c r="C1491" s="64"/>
      <c r="D1491" s="64"/>
      <c r="E1491" s="64"/>
      <c r="F1491" s="64"/>
    </row>
    <row r="1492">
      <c r="B1492" s="64"/>
      <c r="C1492" s="64"/>
      <c r="D1492" s="64"/>
      <c r="E1492" s="64"/>
      <c r="F1492" s="64"/>
    </row>
    <row r="1493">
      <c r="B1493" s="64"/>
      <c r="C1493" s="64"/>
      <c r="D1493" s="64"/>
      <c r="E1493" s="64"/>
      <c r="F1493" s="64"/>
    </row>
    <row r="1494">
      <c r="B1494" s="64"/>
      <c r="C1494" s="64"/>
      <c r="D1494" s="64"/>
      <c r="E1494" s="64"/>
      <c r="F1494" s="64"/>
    </row>
    <row r="1495">
      <c r="B1495" s="64"/>
      <c r="C1495" s="64"/>
      <c r="D1495" s="64"/>
      <c r="E1495" s="64"/>
      <c r="F1495" s="64"/>
    </row>
    <row r="1496">
      <c r="B1496" s="64"/>
      <c r="C1496" s="64"/>
      <c r="D1496" s="64"/>
      <c r="E1496" s="64"/>
      <c r="F1496" s="64"/>
    </row>
    <row r="1497">
      <c r="B1497" s="64"/>
      <c r="C1497" s="64"/>
      <c r="D1497" s="64"/>
      <c r="E1497" s="64"/>
      <c r="F1497" s="64"/>
    </row>
    <row r="1498">
      <c r="B1498" s="64"/>
      <c r="C1498" s="64"/>
      <c r="D1498" s="64"/>
      <c r="E1498" s="64"/>
      <c r="F1498" s="64"/>
    </row>
    <row r="1499">
      <c r="B1499" s="64"/>
      <c r="C1499" s="64"/>
      <c r="D1499" s="64"/>
      <c r="E1499" s="64"/>
      <c r="F1499" s="64"/>
    </row>
    <row r="1500">
      <c r="B1500" s="64"/>
      <c r="C1500" s="64"/>
      <c r="D1500" s="64"/>
      <c r="E1500" s="64"/>
      <c r="F1500" s="64"/>
    </row>
    <row r="1501">
      <c r="B1501" s="64"/>
      <c r="C1501" s="64"/>
      <c r="D1501" s="64"/>
      <c r="E1501" s="64"/>
      <c r="F1501" s="64"/>
    </row>
    <row r="1502">
      <c r="B1502" s="64"/>
      <c r="C1502" s="64"/>
      <c r="D1502" s="64"/>
      <c r="E1502" s="64"/>
      <c r="F1502" s="64"/>
    </row>
    <row r="1503">
      <c r="B1503" s="64"/>
      <c r="C1503" s="64"/>
      <c r="D1503" s="64"/>
      <c r="E1503" s="64"/>
      <c r="F1503" s="64"/>
    </row>
    <row r="1504">
      <c r="B1504" s="64"/>
      <c r="C1504" s="64"/>
      <c r="D1504" s="64"/>
      <c r="E1504" s="64"/>
      <c r="F1504" s="64"/>
    </row>
    <row r="1505">
      <c r="B1505" s="64"/>
      <c r="C1505" s="64"/>
      <c r="D1505" s="64"/>
      <c r="E1505" s="64"/>
      <c r="F1505" s="64"/>
    </row>
    <row r="1506">
      <c r="B1506" s="64"/>
      <c r="C1506" s="64"/>
      <c r="D1506" s="64"/>
      <c r="E1506" s="64"/>
      <c r="F1506" s="64"/>
    </row>
    <row r="1507">
      <c r="B1507" s="64"/>
      <c r="C1507" s="64"/>
      <c r="D1507" s="64"/>
      <c r="E1507" s="64"/>
      <c r="F1507" s="64"/>
    </row>
    <row r="1508">
      <c r="B1508" s="64"/>
      <c r="C1508" s="64"/>
      <c r="D1508" s="64"/>
      <c r="E1508" s="64"/>
      <c r="F1508" s="64"/>
    </row>
    <row r="1509">
      <c r="B1509" s="64"/>
      <c r="C1509" s="64"/>
      <c r="D1509" s="64"/>
      <c r="E1509" s="64"/>
      <c r="F1509" s="64"/>
    </row>
    <row r="1510">
      <c r="B1510" s="64"/>
      <c r="C1510" s="64"/>
      <c r="D1510" s="64"/>
      <c r="E1510" s="64"/>
      <c r="F1510" s="64"/>
    </row>
    <row r="1511">
      <c r="B1511" s="64"/>
      <c r="C1511" s="64"/>
      <c r="D1511" s="64"/>
      <c r="E1511" s="64"/>
      <c r="F1511" s="64"/>
    </row>
    <row r="1512">
      <c r="B1512" s="64"/>
      <c r="C1512" s="64"/>
      <c r="D1512" s="64"/>
      <c r="E1512" s="64"/>
      <c r="F1512" s="64"/>
    </row>
    <row r="1513">
      <c r="B1513" s="64"/>
      <c r="C1513" s="64"/>
      <c r="D1513" s="64"/>
      <c r="E1513" s="64"/>
      <c r="F1513" s="64"/>
    </row>
    <row r="1514">
      <c r="B1514" s="64"/>
      <c r="C1514" s="64"/>
      <c r="D1514" s="64"/>
      <c r="E1514" s="64"/>
      <c r="F1514" s="64"/>
    </row>
    <row r="1515">
      <c r="B1515" s="64"/>
      <c r="C1515" s="64"/>
      <c r="D1515" s="64"/>
      <c r="E1515" s="64"/>
      <c r="F1515" s="64"/>
    </row>
    <row r="1516">
      <c r="B1516" s="64"/>
      <c r="C1516" s="64"/>
      <c r="D1516" s="64"/>
      <c r="E1516" s="64"/>
      <c r="F1516" s="64"/>
    </row>
    <row r="1517">
      <c r="B1517" s="64"/>
      <c r="C1517" s="64"/>
      <c r="D1517" s="64"/>
      <c r="E1517" s="64"/>
      <c r="F1517" s="64"/>
    </row>
    <row r="1518">
      <c r="B1518" s="64"/>
      <c r="C1518" s="64"/>
      <c r="D1518" s="64"/>
      <c r="E1518" s="64"/>
      <c r="F1518" s="64"/>
    </row>
    <row r="1519">
      <c r="B1519" s="64"/>
      <c r="C1519" s="64"/>
      <c r="D1519" s="64"/>
      <c r="E1519" s="64"/>
      <c r="F1519" s="64"/>
    </row>
    <row r="1520">
      <c r="B1520" s="64"/>
      <c r="C1520" s="64"/>
      <c r="D1520" s="64"/>
      <c r="E1520" s="64"/>
      <c r="F1520" s="64"/>
    </row>
    <row r="1521">
      <c r="B1521" s="64"/>
      <c r="C1521" s="64"/>
      <c r="D1521" s="64"/>
      <c r="E1521" s="64"/>
      <c r="F1521" s="64"/>
    </row>
    <row r="1522">
      <c r="B1522" s="64"/>
      <c r="C1522" s="64"/>
      <c r="D1522" s="64"/>
      <c r="E1522" s="64"/>
      <c r="F1522" s="64"/>
    </row>
    <row r="1523">
      <c r="B1523" s="64"/>
      <c r="C1523" s="64"/>
      <c r="D1523" s="64"/>
      <c r="E1523" s="64"/>
      <c r="F1523" s="64"/>
    </row>
    <row r="1524">
      <c r="B1524" s="64"/>
      <c r="C1524" s="64"/>
      <c r="D1524" s="64"/>
      <c r="E1524" s="64"/>
      <c r="F1524" s="64"/>
    </row>
    <row r="1525">
      <c r="B1525" s="64"/>
      <c r="C1525" s="64"/>
      <c r="D1525" s="64"/>
      <c r="E1525" s="64"/>
      <c r="F1525" s="64"/>
    </row>
    <row r="1526">
      <c r="B1526" s="64"/>
      <c r="C1526" s="64"/>
      <c r="D1526" s="64"/>
      <c r="E1526" s="64"/>
      <c r="F1526" s="64"/>
    </row>
    <row r="1527">
      <c r="B1527" s="64"/>
      <c r="C1527" s="64"/>
      <c r="D1527" s="64"/>
      <c r="E1527" s="64"/>
      <c r="F1527" s="64"/>
    </row>
    <row r="1528">
      <c r="B1528" s="64"/>
      <c r="C1528" s="64"/>
      <c r="D1528" s="64"/>
      <c r="E1528" s="64"/>
      <c r="F1528" s="64"/>
    </row>
    <row r="1529">
      <c r="B1529" s="64"/>
      <c r="C1529" s="64"/>
      <c r="D1529" s="64"/>
      <c r="E1529" s="64"/>
      <c r="F1529" s="64"/>
    </row>
    <row r="1530">
      <c r="B1530" s="64"/>
      <c r="C1530" s="64"/>
      <c r="D1530" s="64"/>
      <c r="E1530" s="64"/>
      <c r="F1530" s="64"/>
    </row>
    <row r="1531">
      <c r="B1531" s="64"/>
      <c r="C1531" s="64"/>
      <c r="D1531" s="64"/>
      <c r="E1531" s="64"/>
      <c r="F1531" s="64"/>
    </row>
    <row r="1532">
      <c r="B1532" s="64"/>
      <c r="C1532" s="64"/>
      <c r="D1532" s="64"/>
      <c r="E1532" s="64"/>
      <c r="F1532" s="64"/>
    </row>
    <row r="1533">
      <c r="B1533" s="64"/>
      <c r="C1533" s="64"/>
      <c r="D1533" s="64"/>
      <c r="E1533" s="64"/>
      <c r="F1533" s="64"/>
    </row>
    <row r="1534">
      <c r="B1534" s="64"/>
      <c r="C1534" s="64"/>
      <c r="D1534" s="64"/>
      <c r="E1534" s="64"/>
      <c r="F1534" s="64"/>
    </row>
    <row r="1535">
      <c r="B1535" s="64"/>
      <c r="C1535" s="64"/>
      <c r="D1535" s="64"/>
      <c r="E1535" s="64"/>
      <c r="F1535" s="64"/>
    </row>
    <row r="1536">
      <c r="B1536" s="64"/>
      <c r="C1536" s="64"/>
      <c r="D1536" s="64"/>
      <c r="E1536" s="64"/>
      <c r="F1536" s="64"/>
    </row>
    <row r="1537">
      <c r="B1537" s="64"/>
      <c r="C1537" s="64"/>
      <c r="D1537" s="64"/>
      <c r="E1537" s="64"/>
      <c r="F1537" s="64"/>
    </row>
    <row r="1538">
      <c r="B1538" s="64"/>
      <c r="C1538" s="64"/>
      <c r="D1538" s="64"/>
      <c r="E1538" s="64"/>
      <c r="F1538" s="64"/>
    </row>
    <row r="1539">
      <c r="B1539" s="64"/>
      <c r="C1539" s="64"/>
      <c r="D1539" s="64"/>
      <c r="E1539" s="64"/>
      <c r="F1539" s="64"/>
    </row>
    <row r="1540">
      <c r="B1540" s="64"/>
      <c r="C1540" s="64"/>
      <c r="D1540" s="64"/>
      <c r="E1540" s="64"/>
      <c r="F1540" s="64"/>
    </row>
    <row r="1541">
      <c r="B1541" s="64"/>
      <c r="C1541" s="64"/>
      <c r="D1541" s="64"/>
      <c r="E1541" s="64"/>
      <c r="F1541" s="64"/>
    </row>
    <row r="1542">
      <c r="B1542" s="64"/>
      <c r="C1542" s="64"/>
      <c r="D1542" s="64"/>
      <c r="E1542" s="64"/>
      <c r="F1542" s="64"/>
    </row>
    <row r="1543">
      <c r="B1543" s="64"/>
      <c r="C1543" s="64"/>
      <c r="D1543" s="64"/>
      <c r="E1543" s="64"/>
      <c r="F1543" s="64"/>
    </row>
    <row r="1544">
      <c r="B1544" s="64"/>
      <c r="C1544" s="64"/>
      <c r="D1544" s="64"/>
      <c r="E1544" s="64"/>
      <c r="F1544" s="64"/>
    </row>
    <row r="1545">
      <c r="B1545" s="64"/>
      <c r="C1545" s="64"/>
      <c r="D1545" s="64"/>
      <c r="E1545" s="64"/>
      <c r="F1545" s="64"/>
    </row>
    <row r="1546">
      <c r="B1546" s="64"/>
      <c r="C1546" s="64"/>
      <c r="D1546" s="64"/>
      <c r="E1546" s="64"/>
      <c r="F1546" s="64"/>
    </row>
    <row r="1547">
      <c r="B1547" s="64"/>
      <c r="C1547" s="64"/>
      <c r="D1547" s="64"/>
      <c r="E1547" s="64"/>
      <c r="F1547" s="64"/>
    </row>
    <row r="1548">
      <c r="B1548" s="64"/>
      <c r="C1548" s="64"/>
      <c r="D1548" s="64"/>
      <c r="E1548" s="64"/>
      <c r="F1548" s="64"/>
    </row>
    <row r="1549">
      <c r="B1549" s="64"/>
      <c r="C1549" s="64"/>
      <c r="D1549" s="64"/>
      <c r="E1549" s="64"/>
      <c r="F1549" s="64"/>
    </row>
    <row r="1550">
      <c r="B1550" s="64"/>
      <c r="C1550" s="64"/>
      <c r="D1550" s="64"/>
      <c r="E1550" s="64"/>
      <c r="F1550" s="64"/>
    </row>
    <row r="1551">
      <c r="B1551" s="64"/>
      <c r="C1551" s="64"/>
      <c r="D1551" s="64"/>
      <c r="E1551" s="64"/>
      <c r="F1551" s="64"/>
    </row>
    <row r="1552">
      <c r="B1552" s="64"/>
      <c r="C1552" s="64"/>
      <c r="D1552" s="64"/>
      <c r="E1552" s="64"/>
      <c r="F1552" s="64"/>
    </row>
    <row r="1553">
      <c r="B1553" s="64"/>
      <c r="C1553" s="64"/>
      <c r="D1553" s="64"/>
      <c r="E1553" s="64"/>
      <c r="F1553" s="64"/>
    </row>
    <row r="1554">
      <c r="B1554" s="64"/>
      <c r="C1554" s="64"/>
      <c r="D1554" s="64"/>
      <c r="E1554" s="64"/>
      <c r="F1554" s="64"/>
    </row>
    <row r="1555">
      <c r="B1555" s="64"/>
      <c r="C1555" s="64"/>
      <c r="D1555" s="64"/>
      <c r="E1555" s="64"/>
      <c r="F1555" s="64"/>
    </row>
    <row r="1556">
      <c r="B1556" s="64"/>
      <c r="C1556" s="64"/>
      <c r="D1556" s="64"/>
      <c r="E1556" s="64"/>
      <c r="F1556" s="64"/>
    </row>
    <row r="1557">
      <c r="B1557" s="64"/>
      <c r="C1557" s="64"/>
      <c r="D1557" s="64"/>
      <c r="E1557" s="64"/>
      <c r="F1557" s="64"/>
    </row>
    <row r="1558">
      <c r="B1558" s="64"/>
      <c r="C1558" s="64"/>
      <c r="D1558" s="64"/>
      <c r="E1558" s="64"/>
      <c r="F1558" s="64"/>
    </row>
    <row r="1559">
      <c r="B1559" s="64"/>
      <c r="C1559" s="64"/>
      <c r="D1559" s="64"/>
      <c r="E1559" s="64"/>
      <c r="F1559" s="64"/>
    </row>
    <row r="1560">
      <c r="B1560" s="64"/>
      <c r="C1560" s="64"/>
      <c r="D1560" s="64"/>
      <c r="E1560" s="64"/>
      <c r="F1560" s="64"/>
    </row>
    <row r="1561">
      <c r="B1561" s="64"/>
      <c r="C1561" s="64"/>
      <c r="D1561" s="64"/>
      <c r="E1561" s="64"/>
      <c r="F1561" s="64"/>
    </row>
    <row r="1562">
      <c r="B1562" s="64"/>
      <c r="C1562" s="64"/>
      <c r="D1562" s="64"/>
      <c r="E1562" s="64"/>
      <c r="F1562" s="64"/>
    </row>
    <row r="1563">
      <c r="B1563" s="64"/>
      <c r="C1563" s="64"/>
      <c r="D1563" s="64"/>
      <c r="E1563" s="64"/>
      <c r="F1563" s="64"/>
    </row>
    <row r="1564">
      <c r="B1564" s="64"/>
      <c r="C1564" s="64"/>
      <c r="D1564" s="64"/>
      <c r="E1564" s="64"/>
      <c r="F1564" s="64"/>
    </row>
    <row r="1565">
      <c r="B1565" s="64"/>
      <c r="C1565" s="64"/>
      <c r="D1565" s="64"/>
      <c r="E1565" s="64"/>
      <c r="F1565" s="64"/>
    </row>
    <row r="1566">
      <c r="B1566" s="64"/>
      <c r="C1566" s="64"/>
      <c r="D1566" s="64"/>
      <c r="E1566" s="64"/>
      <c r="F1566" s="64"/>
    </row>
    <row r="1567">
      <c r="B1567" s="64"/>
      <c r="C1567" s="64"/>
      <c r="D1567" s="64"/>
      <c r="E1567" s="64"/>
      <c r="F1567" s="64"/>
    </row>
    <row r="1568">
      <c r="B1568" s="64"/>
      <c r="C1568" s="64"/>
      <c r="D1568" s="64"/>
      <c r="E1568" s="64"/>
      <c r="F1568" s="64"/>
    </row>
    <row r="1569">
      <c r="B1569" s="64"/>
      <c r="C1569" s="64"/>
      <c r="D1569" s="64"/>
      <c r="E1569" s="64"/>
      <c r="F1569" s="64"/>
    </row>
    <row r="1570">
      <c r="B1570" s="64"/>
      <c r="C1570" s="64"/>
      <c r="D1570" s="64"/>
      <c r="E1570" s="64"/>
      <c r="F1570" s="64"/>
    </row>
    <row r="1571">
      <c r="B1571" s="64"/>
      <c r="C1571" s="64"/>
      <c r="D1571" s="64"/>
      <c r="E1571" s="64"/>
      <c r="F1571" s="64"/>
    </row>
    <row r="1572">
      <c r="B1572" s="64"/>
      <c r="C1572" s="64"/>
      <c r="D1572" s="64"/>
      <c r="E1572" s="64"/>
      <c r="F1572" s="64"/>
    </row>
    <row r="1573">
      <c r="B1573" s="64"/>
      <c r="C1573" s="64"/>
      <c r="D1573" s="64"/>
      <c r="E1573" s="64"/>
      <c r="F1573" s="64"/>
    </row>
    <row r="1574">
      <c r="B1574" s="64"/>
      <c r="C1574" s="64"/>
      <c r="D1574" s="64"/>
      <c r="E1574" s="64"/>
      <c r="F1574" s="64"/>
    </row>
    <row r="1575">
      <c r="B1575" s="64"/>
      <c r="C1575" s="64"/>
      <c r="D1575" s="64"/>
      <c r="E1575" s="64"/>
      <c r="F1575" s="64"/>
    </row>
    <row r="1576">
      <c r="B1576" s="64"/>
      <c r="C1576" s="64"/>
      <c r="D1576" s="64"/>
      <c r="E1576" s="64"/>
      <c r="F1576" s="64"/>
    </row>
    <row r="1577">
      <c r="B1577" s="64"/>
      <c r="C1577" s="64"/>
      <c r="D1577" s="64"/>
      <c r="E1577" s="64"/>
      <c r="F1577" s="64"/>
    </row>
    <row r="1578">
      <c r="B1578" s="64"/>
      <c r="C1578" s="64"/>
      <c r="D1578" s="64"/>
      <c r="E1578" s="64"/>
      <c r="F1578" s="64"/>
    </row>
    <row r="1579">
      <c r="B1579" s="64"/>
      <c r="C1579" s="64"/>
      <c r="D1579" s="64"/>
      <c r="E1579" s="64"/>
      <c r="F1579" s="64"/>
    </row>
    <row r="1580">
      <c r="B1580" s="64"/>
      <c r="C1580" s="64"/>
      <c r="D1580" s="64"/>
      <c r="E1580" s="64"/>
      <c r="F1580" s="64"/>
    </row>
    <row r="1581">
      <c r="B1581" s="64"/>
      <c r="C1581" s="64"/>
      <c r="D1581" s="64"/>
      <c r="E1581" s="64"/>
      <c r="F1581" s="64"/>
    </row>
    <row r="1582">
      <c r="B1582" s="64"/>
      <c r="C1582" s="64"/>
      <c r="D1582" s="64"/>
      <c r="E1582" s="64"/>
      <c r="F1582" s="64"/>
    </row>
    <row r="1583">
      <c r="B1583" s="64"/>
      <c r="C1583" s="64"/>
      <c r="D1583" s="64"/>
      <c r="E1583" s="64"/>
      <c r="F1583" s="64"/>
    </row>
    <row r="1584">
      <c r="B1584" s="64"/>
      <c r="C1584" s="64"/>
      <c r="D1584" s="64"/>
      <c r="E1584" s="64"/>
      <c r="F1584" s="64"/>
    </row>
    <row r="1585">
      <c r="B1585" s="64"/>
      <c r="C1585" s="64"/>
      <c r="D1585" s="64"/>
      <c r="E1585" s="64"/>
      <c r="F1585" s="64"/>
    </row>
    <row r="1586">
      <c r="B1586" s="64"/>
      <c r="C1586" s="64"/>
      <c r="D1586" s="64"/>
      <c r="E1586" s="64"/>
      <c r="F1586" s="64"/>
    </row>
    <row r="1587">
      <c r="B1587" s="64"/>
      <c r="C1587" s="64"/>
      <c r="D1587" s="64"/>
      <c r="E1587" s="64"/>
      <c r="F1587" s="64"/>
    </row>
    <row r="1588">
      <c r="B1588" s="64"/>
      <c r="C1588" s="64"/>
      <c r="D1588" s="64"/>
      <c r="E1588" s="64"/>
      <c r="F1588" s="64"/>
    </row>
    <row r="1589">
      <c r="B1589" s="64"/>
      <c r="C1589" s="64"/>
      <c r="D1589" s="64"/>
      <c r="E1589" s="64"/>
      <c r="F1589" s="64"/>
    </row>
    <row r="1590">
      <c r="B1590" s="64"/>
      <c r="C1590" s="64"/>
      <c r="D1590" s="64"/>
      <c r="E1590" s="64"/>
      <c r="F1590" s="64"/>
    </row>
    <row r="1591">
      <c r="B1591" s="64"/>
      <c r="C1591" s="64"/>
      <c r="D1591" s="64"/>
      <c r="E1591" s="64"/>
      <c r="F1591" s="64"/>
    </row>
    <row r="1592">
      <c r="B1592" s="64"/>
      <c r="C1592" s="64"/>
      <c r="D1592" s="64"/>
      <c r="E1592" s="64"/>
      <c r="F1592" s="64"/>
    </row>
    <row r="1593">
      <c r="B1593" s="64"/>
      <c r="C1593" s="64"/>
      <c r="D1593" s="64"/>
      <c r="E1593" s="64"/>
      <c r="F1593" s="64"/>
    </row>
    <row r="1594">
      <c r="B1594" s="64"/>
      <c r="C1594" s="64"/>
      <c r="D1594" s="64"/>
      <c r="E1594" s="64"/>
      <c r="F1594" s="64"/>
    </row>
    <row r="1595">
      <c r="B1595" s="64"/>
      <c r="C1595" s="64"/>
      <c r="D1595" s="64"/>
      <c r="E1595" s="64"/>
      <c r="F1595" s="64"/>
    </row>
    <row r="1596">
      <c r="B1596" s="64"/>
      <c r="C1596" s="64"/>
      <c r="D1596" s="64"/>
      <c r="E1596" s="64"/>
      <c r="F1596" s="64"/>
    </row>
    <row r="1597">
      <c r="B1597" s="64"/>
      <c r="C1597" s="64"/>
      <c r="D1597" s="64"/>
      <c r="E1597" s="64"/>
      <c r="F1597" s="64"/>
    </row>
    <row r="1598">
      <c r="B1598" s="64"/>
      <c r="C1598" s="64"/>
      <c r="D1598" s="64"/>
      <c r="E1598" s="64"/>
      <c r="F1598" s="64"/>
    </row>
    <row r="1599">
      <c r="B1599" s="64"/>
      <c r="C1599" s="64"/>
      <c r="D1599" s="64"/>
      <c r="E1599" s="64"/>
      <c r="F1599" s="64"/>
    </row>
    <row r="1600">
      <c r="B1600" s="64"/>
      <c r="C1600" s="64"/>
      <c r="D1600" s="64"/>
      <c r="E1600" s="64"/>
      <c r="F1600" s="64"/>
    </row>
    <row r="1601">
      <c r="B1601" s="64"/>
      <c r="C1601" s="64"/>
      <c r="D1601" s="64"/>
      <c r="E1601" s="64"/>
      <c r="F1601" s="64"/>
    </row>
    <row r="1602">
      <c r="B1602" s="64"/>
      <c r="C1602" s="64"/>
      <c r="D1602" s="64"/>
      <c r="E1602" s="64"/>
      <c r="F1602" s="64"/>
    </row>
    <row r="1603">
      <c r="B1603" s="64"/>
      <c r="C1603" s="64"/>
      <c r="D1603" s="64"/>
      <c r="E1603" s="64"/>
      <c r="F1603" s="64"/>
    </row>
    <row r="1604">
      <c r="B1604" s="64"/>
      <c r="C1604" s="64"/>
      <c r="D1604" s="64"/>
      <c r="E1604" s="64"/>
      <c r="F1604" s="64"/>
    </row>
    <row r="1605">
      <c r="B1605" s="64"/>
      <c r="C1605" s="64"/>
      <c r="D1605" s="64"/>
      <c r="E1605" s="64"/>
      <c r="F1605" s="64"/>
    </row>
    <row r="1606">
      <c r="B1606" s="64"/>
      <c r="C1606" s="64"/>
      <c r="D1606" s="64"/>
      <c r="E1606" s="64"/>
      <c r="F1606" s="64"/>
    </row>
    <row r="1607">
      <c r="B1607" s="64"/>
      <c r="C1607" s="64"/>
      <c r="D1607" s="64"/>
      <c r="E1607" s="64"/>
      <c r="F1607" s="64"/>
    </row>
    <row r="1608">
      <c r="B1608" s="64"/>
      <c r="C1608" s="64"/>
      <c r="D1608" s="64"/>
      <c r="E1608" s="64"/>
      <c r="F1608" s="64"/>
    </row>
    <row r="1609">
      <c r="B1609" s="64"/>
      <c r="C1609" s="64"/>
      <c r="D1609" s="64"/>
      <c r="E1609" s="64"/>
      <c r="F1609" s="64"/>
    </row>
    <row r="1610">
      <c r="B1610" s="64"/>
      <c r="C1610" s="64"/>
      <c r="D1610" s="64"/>
      <c r="E1610" s="64"/>
      <c r="F1610" s="64"/>
    </row>
    <row r="1611">
      <c r="B1611" s="64"/>
      <c r="C1611" s="64"/>
      <c r="D1611" s="64"/>
      <c r="E1611" s="64"/>
      <c r="F1611" s="64"/>
    </row>
    <row r="1612">
      <c r="B1612" s="64"/>
      <c r="C1612" s="64"/>
      <c r="D1612" s="64"/>
      <c r="E1612" s="64"/>
      <c r="F1612" s="64"/>
    </row>
    <row r="1613">
      <c r="B1613" s="64"/>
      <c r="C1613" s="64"/>
      <c r="D1613" s="64"/>
      <c r="E1613" s="64"/>
      <c r="F1613" s="64"/>
    </row>
    <row r="1614">
      <c r="B1614" s="64"/>
      <c r="C1614" s="64"/>
      <c r="D1614" s="64"/>
      <c r="E1614" s="64"/>
      <c r="F1614" s="64"/>
    </row>
    <row r="1615">
      <c r="B1615" s="64"/>
      <c r="C1615" s="64"/>
      <c r="D1615" s="64"/>
      <c r="E1615" s="64"/>
      <c r="F1615" s="64"/>
    </row>
    <row r="1616">
      <c r="B1616" s="64"/>
      <c r="C1616" s="64"/>
      <c r="D1616" s="64"/>
      <c r="E1616" s="64"/>
      <c r="F1616" s="64"/>
    </row>
    <row r="1617">
      <c r="B1617" s="64"/>
      <c r="C1617" s="64"/>
      <c r="D1617" s="64"/>
      <c r="E1617" s="64"/>
      <c r="F1617" s="64"/>
    </row>
    <row r="1618">
      <c r="B1618" s="64"/>
      <c r="C1618" s="64"/>
      <c r="D1618" s="64"/>
      <c r="E1618" s="64"/>
      <c r="F1618" s="64"/>
    </row>
    <row r="1619">
      <c r="B1619" s="64"/>
      <c r="C1619" s="64"/>
      <c r="D1619" s="64"/>
      <c r="E1619" s="64"/>
      <c r="F1619" s="64"/>
    </row>
    <row r="1620">
      <c r="B1620" s="64"/>
      <c r="C1620" s="64"/>
      <c r="D1620" s="64"/>
      <c r="E1620" s="64"/>
      <c r="F1620" s="64"/>
    </row>
    <row r="1621">
      <c r="B1621" s="64"/>
      <c r="C1621" s="64"/>
      <c r="D1621" s="64"/>
      <c r="E1621" s="64"/>
      <c r="F1621" s="64"/>
    </row>
    <row r="1622">
      <c r="B1622" s="64"/>
      <c r="C1622" s="64"/>
      <c r="D1622" s="64"/>
      <c r="E1622" s="64"/>
      <c r="F1622" s="64"/>
    </row>
    <row r="1623">
      <c r="B1623" s="64"/>
      <c r="C1623" s="64"/>
      <c r="D1623" s="64"/>
      <c r="E1623" s="64"/>
      <c r="F1623" s="64"/>
    </row>
    <row r="1624">
      <c r="B1624" s="64"/>
      <c r="C1624" s="64"/>
      <c r="D1624" s="64"/>
      <c r="E1624" s="64"/>
      <c r="F1624" s="64"/>
    </row>
    <row r="1625">
      <c r="B1625" s="64"/>
      <c r="C1625" s="64"/>
      <c r="D1625" s="64"/>
      <c r="E1625" s="64"/>
      <c r="F1625" s="64"/>
    </row>
    <row r="1626">
      <c r="B1626" s="64"/>
      <c r="C1626" s="64"/>
      <c r="D1626" s="64"/>
      <c r="E1626" s="64"/>
      <c r="F1626" s="64"/>
    </row>
    <row r="1627">
      <c r="B1627" s="64"/>
      <c r="C1627" s="64"/>
      <c r="D1627" s="64"/>
      <c r="E1627" s="64"/>
      <c r="F1627" s="64"/>
    </row>
    <row r="1628">
      <c r="B1628" s="64"/>
      <c r="C1628" s="64"/>
      <c r="D1628" s="64"/>
      <c r="E1628" s="64"/>
      <c r="F1628" s="64"/>
    </row>
    <row r="1629">
      <c r="B1629" s="64"/>
      <c r="C1629" s="64"/>
      <c r="D1629" s="64"/>
      <c r="E1629" s="64"/>
      <c r="F1629" s="64"/>
    </row>
    <row r="1630">
      <c r="B1630" s="64"/>
      <c r="C1630" s="64"/>
      <c r="D1630" s="64"/>
      <c r="E1630" s="64"/>
      <c r="F1630" s="64"/>
    </row>
    <row r="1631">
      <c r="B1631" s="64"/>
      <c r="C1631" s="64"/>
      <c r="D1631" s="64"/>
      <c r="E1631" s="64"/>
      <c r="F1631" s="64"/>
    </row>
    <row r="1632">
      <c r="B1632" s="64"/>
      <c r="C1632" s="64"/>
      <c r="D1632" s="64"/>
      <c r="E1632" s="64"/>
      <c r="F1632" s="64"/>
    </row>
    <row r="1633">
      <c r="B1633" s="64"/>
      <c r="C1633" s="64"/>
      <c r="D1633" s="64"/>
      <c r="E1633" s="64"/>
      <c r="F1633" s="64"/>
    </row>
    <row r="1634">
      <c r="B1634" s="64"/>
      <c r="C1634" s="64"/>
      <c r="D1634" s="64"/>
      <c r="E1634" s="64"/>
      <c r="F1634" s="64"/>
    </row>
    <row r="1635">
      <c r="B1635" s="64"/>
      <c r="C1635" s="64"/>
      <c r="D1635" s="64"/>
      <c r="E1635" s="64"/>
      <c r="F1635" s="64"/>
    </row>
    <row r="1636">
      <c r="B1636" s="64"/>
      <c r="C1636" s="64"/>
      <c r="D1636" s="64"/>
      <c r="E1636" s="64"/>
      <c r="F1636" s="64"/>
    </row>
    <row r="1637">
      <c r="B1637" s="64"/>
      <c r="C1637" s="64"/>
      <c r="D1637" s="64"/>
      <c r="E1637" s="64"/>
      <c r="F1637" s="64"/>
    </row>
    <row r="1638">
      <c r="B1638" s="64"/>
      <c r="C1638" s="64"/>
      <c r="D1638" s="64"/>
      <c r="E1638" s="64"/>
      <c r="F1638" s="64"/>
    </row>
    <row r="1639">
      <c r="B1639" s="64"/>
      <c r="C1639" s="64"/>
      <c r="D1639" s="64"/>
      <c r="E1639" s="64"/>
      <c r="F1639" s="64"/>
    </row>
    <row r="1640">
      <c r="B1640" s="64"/>
      <c r="C1640" s="64"/>
      <c r="D1640" s="64"/>
      <c r="E1640" s="64"/>
      <c r="F1640" s="64"/>
    </row>
    <row r="1641">
      <c r="B1641" s="64"/>
      <c r="C1641" s="64"/>
      <c r="D1641" s="64"/>
      <c r="E1641" s="64"/>
      <c r="F1641" s="64"/>
    </row>
    <row r="1642">
      <c r="B1642" s="64"/>
      <c r="C1642" s="64"/>
      <c r="D1642" s="64"/>
      <c r="E1642" s="64"/>
      <c r="F1642" s="64"/>
    </row>
    <row r="1643">
      <c r="B1643" s="64"/>
      <c r="C1643" s="64"/>
      <c r="D1643" s="64"/>
      <c r="E1643" s="64"/>
      <c r="F1643" s="64"/>
    </row>
    <row r="1644">
      <c r="B1644" s="64"/>
      <c r="C1644" s="64"/>
      <c r="D1644" s="64"/>
      <c r="E1644" s="64"/>
      <c r="F1644" s="64"/>
    </row>
    <row r="1645">
      <c r="B1645" s="64"/>
      <c r="C1645" s="64"/>
      <c r="D1645" s="64"/>
      <c r="E1645" s="64"/>
      <c r="F1645" s="64"/>
    </row>
    <row r="1646">
      <c r="B1646" s="64"/>
      <c r="C1646" s="64"/>
      <c r="D1646" s="64"/>
      <c r="E1646" s="64"/>
      <c r="F1646" s="64"/>
    </row>
    <row r="1647">
      <c r="B1647" s="64"/>
      <c r="C1647" s="64"/>
      <c r="D1647" s="64"/>
      <c r="E1647" s="64"/>
      <c r="F1647" s="64"/>
    </row>
    <row r="1648">
      <c r="B1648" s="64"/>
      <c r="C1648" s="64"/>
      <c r="D1648" s="64"/>
      <c r="E1648" s="64"/>
      <c r="F1648" s="64"/>
    </row>
    <row r="1649">
      <c r="B1649" s="64"/>
      <c r="C1649" s="64"/>
      <c r="D1649" s="64"/>
      <c r="E1649" s="64"/>
      <c r="F1649" s="64"/>
    </row>
    <row r="1650">
      <c r="B1650" s="64"/>
      <c r="C1650" s="64"/>
      <c r="D1650" s="64"/>
      <c r="E1650" s="64"/>
      <c r="F1650" s="64"/>
    </row>
    <row r="1651">
      <c r="B1651" s="64"/>
      <c r="C1651" s="64"/>
      <c r="D1651" s="64"/>
      <c r="E1651" s="64"/>
      <c r="F1651" s="64"/>
    </row>
    <row r="1652">
      <c r="B1652" s="64"/>
      <c r="C1652" s="64"/>
      <c r="D1652" s="64"/>
      <c r="E1652" s="64"/>
      <c r="F1652" s="64"/>
    </row>
    <row r="1653">
      <c r="B1653" s="64"/>
      <c r="C1653" s="64"/>
      <c r="D1653" s="64"/>
      <c r="E1653" s="64"/>
      <c r="F1653" s="64"/>
    </row>
    <row r="1654">
      <c r="B1654" s="64"/>
      <c r="C1654" s="64"/>
      <c r="D1654" s="64"/>
      <c r="E1654" s="64"/>
      <c r="F1654" s="64"/>
    </row>
    <row r="1655">
      <c r="B1655" s="64"/>
      <c r="C1655" s="64"/>
      <c r="D1655" s="64"/>
      <c r="E1655" s="64"/>
      <c r="F1655" s="64"/>
    </row>
    <row r="1656">
      <c r="B1656" s="64"/>
      <c r="C1656" s="64"/>
      <c r="D1656" s="64"/>
      <c r="E1656" s="64"/>
      <c r="F1656" s="64"/>
    </row>
    <row r="1657">
      <c r="B1657" s="64"/>
      <c r="C1657" s="64"/>
      <c r="D1657" s="64"/>
      <c r="E1657" s="64"/>
      <c r="F1657" s="64"/>
    </row>
    <row r="1658">
      <c r="B1658" s="64"/>
      <c r="C1658" s="64"/>
      <c r="D1658" s="64"/>
      <c r="E1658" s="64"/>
      <c r="F1658" s="64"/>
    </row>
    <row r="1659">
      <c r="B1659" s="64"/>
      <c r="C1659" s="64"/>
      <c r="D1659" s="64"/>
      <c r="E1659" s="64"/>
      <c r="F1659" s="64"/>
    </row>
    <row r="1660">
      <c r="B1660" s="64"/>
      <c r="C1660" s="64"/>
      <c r="D1660" s="64"/>
      <c r="E1660" s="64"/>
      <c r="F1660" s="64"/>
    </row>
    <row r="1661">
      <c r="B1661" s="64"/>
      <c r="C1661" s="64"/>
      <c r="D1661" s="64"/>
      <c r="E1661" s="64"/>
      <c r="F1661" s="64"/>
    </row>
    <row r="1662">
      <c r="B1662" s="64"/>
      <c r="C1662" s="64"/>
      <c r="D1662" s="64"/>
      <c r="E1662" s="64"/>
      <c r="F1662" s="64"/>
    </row>
    <row r="1663">
      <c r="B1663" s="64"/>
      <c r="C1663" s="64"/>
      <c r="D1663" s="64"/>
      <c r="E1663" s="64"/>
      <c r="F1663" s="64"/>
    </row>
    <row r="1664">
      <c r="B1664" s="64"/>
      <c r="C1664" s="64"/>
      <c r="D1664" s="64"/>
      <c r="E1664" s="64"/>
      <c r="F1664" s="64"/>
    </row>
    <row r="1665">
      <c r="B1665" s="64"/>
      <c r="C1665" s="64"/>
      <c r="D1665" s="64"/>
      <c r="E1665" s="64"/>
      <c r="F1665" s="64"/>
    </row>
    <row r="1666">
      <c r="B1666" s="64"/>
      <c r="C1666" s="64"/>
      <c r="D1666" s="64"/>
      <c r="E1666" s="64"/>
      <c r="F1666" s="64"/>
    </row>
    <row r="1667">
      <c r="B1667" s="64"/>
      <c r="C1667" s="64"/>
      <c r="D1667" s="64"/>
      <c r="E1667" s="64"/>
      <c r="F1667" s="64"/>
    </row>
    <row r="1668">
      <c r="B1668" s="64"/>
      <c r="C1668" s="64"/>
      <c r="D1668" s="64"/>
      <c r="E1668" s="64"/>
      <c r="F1668" s="64"/>
    </row>
    <row r="1669">
      <c r="B1669" s="64"/>
      <c r="C1669" s="64"/>
      <c r="D1669" s="64"/>
      <c r="E1669" s="64"/>
      <c r="F1669" s="64"/>
    </row>
    <row r="1670">
      <c r="B1670" s="64"/>
      <c r="C1670" s="64"/>
      <c r="D1670" s="64"/>
      <c r="E1670" s="64"/>
      <c r="F1670" s="64"/>
    </row>
    <row r="1671">
      <c r="B1671" s="64"/>
      <c r="C1671" s="64"/>
      <c r="D1671" s="64"/>
      <c r="E1671" s="64"/>
      <c r="F1671" s="64"/>
    </row>
    <row r="1672">
      <c r="B1672" s="64"/>
      <c r="C1672" s="64"/>
      <c r="D1672" s="64"/>
      <c r="E1672" s="64"/>
      <c r="F1672" s="64"/>
    </row>
    <row r="1673">
      <c r="B1673" s="64"/>
      <c r="C1673" s="64"/>
      <c r="D1673" s="64"/>
      <c r="E1673" s="64"/>
      <c r="F1673" s="64"/>
    </row>
    <row r="1674">
      <c r="B1674" s="64"/>
      <c r="C1674" s="64"/>
      <c r="D1674" s="64"/>
      <c r="E1674" s="64"/>
      <c r="F1674" s="64"/>
    </row>
    <row r="1675">
      <c r="B1675" s="64"/>
      <c r="C1675" s="64"/>
      <c r="D1675" s="64"/>
      <c r="E1675" s="64"/>
      <c r="F1675" s="64"/>
    </row>
    <row r="1676">
      <c r="B1676" s="64"/>
      <c r="C1676" s="64"/>
      <c r="D1676" s="64"/>
      <c r="E1676" s="64"/>
      <c r="F1676" s="64"/>
    </row>
    <row r="1677">
      <c r="B1677" s="64"/>
      <c r="C1677" s="64"/>
      <c r="D1677" s="64"/>
      <c r="E1677" s="64"/>
      <c r="F1677" s="64"/>
    </row>
    <row r="1678">
      <c r="B1678" s="64"/>
      <c r="C1678" s="64"/>
      <c r="D1678" s="64"/>
      <c r="E1678" s="64"/>
      <c r="F1678" s="64"/>
    </row>
    <row r="1679">
      <c r="B1679" s="64"/>
      <c r="C1679" s="64"/>
      <c r="D1679" s="64"/>
      <c r="E1679" s="64"/>
      <c r="F1679" s="64"/>
    </row>
    <row r="1680">
      <c r="B1680" s="64"/>
      <c r="C1680" s="64"/>
      <c r="D1680" s="64"/>
      <c r="E1680" s="64"/>
      <c r="F1680" s="64"/>
    </row>
    <row r="1681">
      <c r="B1681" s="64"/>
      <c r="C1681" s="64"/>
      <c r="D1681" s="64"/>
      <c r="E1681" s="64"/>
      <c r="F1681" s="64"/>
    </row>
    <row r="1682">
      <c r="B1682" s="64"/>
      <c r="C1682" s="64"/>
      <c r="D1682" s="64"/>
      <c r="E1682" s="64"/>
      <c r="F1682" s="64"/>
    </row>
    <row r="1683">
      <c r="B1683" s="64"/>
      <c r="C1683" s="64"/>
      <c r="D1683" s="64"/>
      <c r="E1683" s="64"/>
      <c r="F1683" s="64"/>
    </row>
    <row r="1684">
      <c r="B1684" s="64"/>
      <c r="C1684" s="64"/>
      <c r="D1684" s="64"/>
      <c r="E1684" s="64"/>
      <c r="F1684" s="64"/>
    </row>
    <row r="1685">
      <c r="B1685" s="64"/>
      <c r="C1685" s="64"/>
      <c r="D1685" s="64"/>
      <c r="E1685" s="64"/>
      <c r="F1685" s="64"/>
    </row>
    <row r="1686">
      <c r="B1686" s="64"/>
      <c r="C1686" s="64"/>
      <c r="D1686" s="64"/>
      <c r="E1686" s="64"/>
      <c r="F1686" s="64"/>
    </row>
    <row r="1687">
      <c r="B1687" s="64"/>
      <c r="C1687" s="64"/>
      <c r="D1687" s="64"/>
      <c r="E1687" s="64"/>
      <c r="F1687" s="64"/>
    </row>
    <row r="1688">
      <c r="B1688" s="64"/>
      <c r="C1688" s="64"/>
      <c r="D1688" s="64"/>
      <c r="E1688" s="64"/>
      <c r="F1688" s="64"/>
    </row>
    <row r="1689">
      <c r="B1689" s="64"/>
      <c r="C1689" s="64"/>
      <c r="D1689" s="64"/>
      <c r="E1689" s="64"/>
      <c r="F1689" s="64"/>
    </row>
    <row r="1690">
      <c r="B1690" s="64"/>
      <c r="C1690" s="64"/>
      <c r="D1690" s="64"/>
      <c r="E1690" s="64"/>
      <c r="F1690" s="64"/>
    </row>
    <row r="1691">
      <c r="B1691" s="64"/>
      <c r="C1691" s="64"/>
      <c r="D1691" s="64"/>
      <c r="E1691" s="64"/>
      <c r="F1691" s="64"/>
    </row>
    <row r="1692">
      <c r="B1692" s="64"/>
      <c r="C1692" s="64"/>
      <c r="D1692" s="64"/>
      <c r="E1692" s="64"/>
      <c r="F1692" s="64"/>
    </row>
    <row r="1693">
      <c r="B1693" s="64"/>
      <c r="C1693" s="64"/>
      <c r="D1693" s="64"/>
      <c r="E1693" s="64"/>
      <c r="F1693" s="64"/>
    </row>
    <row r="1694">
      <c r="B1694" s="64"/>
      <c r="C1694" s="64"/>
      <c r="D1694" s="64"/>
      <c r="E1694" s="64"/>
      <c r="F1694" s="64"/>
    </row>
    <row r="1695">
      <c r="B1695" s="64"/>
      <c r="C1695" s="64"/>
      <c r="D1695" s="64"/>
      <c r="E1695" s="64"/>
      <c r="F1695" s="64"/>
    </row>
    <row r="1696">
      <c r="B1696" s="64"/>
      <c r="C1696" s="64"/>
      <c r="D1696" s="64"/>
      <c r="E1696" s="64"/>
      <c r="F1696" s="64"/>
    </row>
    <row r="1697">
      <c r="B1697" s="64"/>
      <c r="C1697" s="64"/>
      <c r="D1697" s="64"/>
      <c r="E1697" s="64"/>
      <c r="F1697" s="64"/>
    </row>
    <row r="1698">
      <c r="B1698" s="64"/>
      <c r="C1698" s="64"/>
      <c r="D1698" s="64"/>
      <c r="E1698" s="64"/>
      <c r="F1698" s="64"/>
    </row>
    <row r="1699">
      <c r="B1699" s="64"/>
      <c r="C1699" s="64"/>
      <c r="D1699" s="64"/>
      <c r="E1699" s="64"/>
      <c r="F1699" s="64"/>
    </row>
    <row r="1700">
      <c r="B1700" s="64"/>
      <c r="C1700" s="64"/>
      <c r="D1700" s="64"/>
      <c r="E1700" s="64"/>
      <c r="F1700" s="64"/>
    </row>
    <row r="1701">
      <c r="B1701" s="64"/>
      <c r="C1701" s="64"/>
      <c r="D1701" s="64"/>
      <c r="E1701" s="64"/>
      <c r="F1701" s="64"/>
    </row>
    <row r="1702">
      <c r="B1702" s="64"/>
      <c r="C1702" s="64"/>
      <c r="D1702" s="64"/>
      <c r="E1702" s="64"/>
      <c r="F1702" s="64"/>
    </row>
    <row r="1703">
      <c r="B1703" s="64"/>
      <c r="C1703" s="64"/>
      <c r="D1703" s="64"/>
      <c r="E1703" s="64"/>
      <c r="F1703" s="64"/>
    </row>
    <row r="1704">
      <c r="B1704" s="64"/>
      <c r="C1704" s="64"/>
      <c r="D1704" s="64"/>
      <c r="E1704" s="64"/>
      <c r="F1704" s="64"/>
    </row>
    <row r="1705">
      <c r="B1705" s="64"/>
      <c r="C1705" s="64"/>
      <c r="D1705" s="64"/>
      <c r="E1705" s="64"/>
      <c r="F1705" s="64"/>
    </row>
    <row r="1706">
      <c r="B1706" s="64"/>
      <c r="C1706" s="64"/>
      <c r="D1706" s="64"/>
      <c r="E1706" s="64"/>
      <c r="F1706" s="64"/>
    </row>
    <row r="1707">
      <c r="B1707" s="64"/>
      <c r="C1707" s="64"/>
      <c r="D1707" s="64"/>
      <c r="E1707" s="64"/>
      <c r="F1707" s="64"/>
    </row>
    <row r="1708">
      <c r="B1708" s="64"/>
      <c r="C1708" s="64"/>
      <c r="D1708" s="64"/>
      <c r="E1708" s="64"/>
      <c r="F1708" s="64"/>
    </row>
    <row r="1709">
      <c r="B1709" s="64"/>
      <c r="C1709" s="64"/>
      <c r="D1709" s="64"/>
      <c r="E1709" s="64"/>
      <c r="F1709" s="64"/>
    </row>
    <row r="1710">
      <c r="B1710" s="64"/>
      <c r="C1710" s="64"/>
      <c r="D1710" s="64"/>
      <c r="E1710" s="64"/>
      <c r="F1710" s="64"/>
    </row>
    <row r="1711">
      <c r="B1711" s="64"/>
      <c r="C1711" s="64"/>
      <c r="D1711" s="64"/>
      <c r="E1711" s="64"/>
      <c r="F1711" s="64"/>
    </row>
    <row r="1712">
      <c r="B1712" s="64"/>
      <c r="C1712" s="64"/>
      <c r="D1712" s="64"/>
      <c r="E1712" s="64"/>
      <c r="F1712" s="64"/>
    </row>
    <row r="1713">
      <c r="B1713" s="64"/>
      <c r="C1713" s="64"/>
      <c r="D1713" s="64"/>
      <c r="E1713" s="64"/>
      <c r="F1713" s="64"/>
    </row>
    <row r="1714">
      <c r="B1714" s="64"/>
      <c r="C1714" s="64"/>
      <c r="D1714" s="64"/>
      <c r="E1714" s="64"/>
      <c r="F1714" s="64"/>
    </row>
    <row r="1715">
      <c r="B1715" s="64"/>
      <c r="C1715" s="64"/>
      <c r="D1715" s="64"/>
      <c r="E1715" s="64"/>
      <c r="F1715" s="64"/>
    </row>
    <row r="1716">
      <c r="B1716" s="64"/>
      <c r="C1716" s="64"/>
      <c r="D1716" s="64"/>
      <c r="E1716" s="64"/>
      <c r="F1716" s="64"/>
    </row>
    <row r="1717">
      <c r="B1717" s="64"/>
      <c r="C1717" s="64"/>
      <c r="D1717" s="64"/>
      <c r="E1717" s="64"/>
      <c r="F1717" s="64"/>
    </row>
    <row r="1718">
      <c r="B1718" s="64"/>
      <c r="C1718" s="64"/>
      <c r="D1718" s="64"/>
      <c r="E1718" s="64"/>
      <c r="F1718" s="64"/>
    </row>
    <row r="1719">
      <c r="B1719" s="64"/>
      <c r="C1719" s="64"/>
      <c r="D1719" s="64"/>
      <c r="E1719" s="64"/>
      <c r="F1719" s="64"/>
    </row>
    <row r="1720">
      <c r="B1720" s="64"/>
      <c r="C1720" s="64"/>
      <c r="D1720" s="64"/>
      <c r="E1720" s="64"/>
      <c r="F1720" s="64"/>
    </row>
    <row r="1721">
      <c r="B1721" s="64"/>
      <c r="C1721" s="64"/>
      <c r="D1721" s="64"/>
      <c r="E1721" s="64"/>
      <c r="F1721" s="64"/>
    </row>
    <row r="1722">
      <c r="B1722" s="64"/>
      <c r="C1722" s="64"/>
      <c r="D1722" s="64"/>
      <c r="E1722" s="64"/>
      <c r="F1722" s="64"/>
    </row>
    <row r="1723">
      <c r="B1723" s="64"/>
      <c r="C1723" s="64"/>
      <c r="D1723" s="64"/>
      <c r="E1723" s="64"/>
      <c r="F1723" s="64"/>
    </row>
    <row r="1724">
      <c r="B1724" s="64"/>
      <c r="C1724" s="64"/>
      <c r="D1724" s="64"/>
      <c r="E1724" s="64"/>
      <c r="F1724" s="64"/>
    </row>
    <row r="1725">
      <c r="B1725" s="64"/>
      <c r="C1725" s="64"/>
      <c r="D1725" s="64"/>
      <c r="E1725" s="64"/>
      <c r="F1725" s="64"/>
    </row>
    <row r="1726">
      <c r="B1726" s="64"/>
      <c r="C1726" s="64"/>
      <c r="D1726" s="64"/>
      <c r="E1726" s="64"/>
      <c r="F1726" s="64"/>
    </row>
    <row r="1727">
      <c r="B1727" s="64"/>
      <c r="C1727" s="64"/>
      <c r="D1727" s="64"/>
      <c r="E1727" s="64"/>
      <c r="F1727" s="64"/>
    </row>
    <row r="1728">
      <c r="B1728" s="64"/>
      <c r="C1728" s="64"/>
      <c r="D1728" s="64"/>
      <c r="E1728" s="64"/>
      <c r="F1728" s="64"/>
    </row>
    <row r="1729">
      <c r="B1729" s="64"/>
      <c r="C1729" s="64"/>
      <c r="D1729" s="64"/>
      <c r="E1729" s="64"/>
      <c r="F1729" s="64"/>
    </row>
    <row r="1730">
      <c r="B1730" s="64"/>
      <c r="C1730" s="64"/>
      <c r="D1730" s="64"/>
      <c r="E1730" s="64"/>
      <c r="F1730" s="64"/>
    </row>
    <row r="1731">
      <c r="B1731" s="64"/>
      <c r="C1731" s="64"/>
      <c r="D1731" s="64"/>
      <c r="E1731" s="64"/>
      <c r="F1731" s="64"/>
    </row>
    <row r="1732">
      <c r="B1732" s="64"/>
      <c r="C1732" s="64"/>
      <c r="D1732" s="64"/>
      <c r="E1732" s="64"/>
      <c r="F1732" s="64"/>
    </row>
    <row r="1733">
      <c r="B1733" s="64"/>
      <c r="C1733" s="64"/>
      <c r="D1733" s="64"/>
      <c r="E1733" s="64"/>
      <c r="F1733" s="64"/>
    </row>
    <row r="1734">
      <c r="B1734" s="64"/>
      <c r="C1734" s="64"/>
      <c r="D1734" s="64"/>
      <c r="E1734" s="64"/>
      <c r="F1734" s="64"/>
    </row>
    <row r="1735">
      <c r="B1735" s="64"/>
      <c r="C1735" s="64"/>
      <c r="D1735" s="64"/>
      <c r="E1735" s="64"/>
      <c r="F1735" s="64"/>
    </row>
    <row r="1736">
      <c r="B1736" s="64"/>
      <c r="C1736" s="64"/>
      <c r="D1736" s="64"/>
      <c r="E1736" s="64"/>
      <c r="F1736" s="64"/>
    </row>
    <row r="1737">
      <c r="B1737" s="64"/>
      <c r="C1737" s="64"/>
      <c r="D1737" s="64"/>
      <c r="E1737" s="64"/>
      <c r="F1737" s="64"/>
    </row>
    <row r="1738">
      <c r="B1738" s="64"/>
      <c r="C1738" s="64"/>
      <c r="D1738" s="64"/>
      <c r="E1738" s="64"/>
      <c r="F1738" s="64"/>
    </row>
    <row r="1739">
      <c r="B1739" s="64"/>
      <c r="C1739" s="64"/>
      <c r="D1739" s="64"/>
      <c r="E1739" s="64"/>
      <c r="F1739" s="64"/>
    </row>
    <row r="1740">
      <c r="B1740" s="64"/>
      <c r="C1740" s="64"/>
      <c r="D1740" s="64"/>
      <c r="E1740" s="64"/>
      <c r="F1740" s="64"/>
    </row>
    <row r="1741">
      <c r="B1741" s="64"/>
      <c r="C1741" s="64"/>
      <c r="D1741" s="64"/>
      <c r="E1741" s="64"/>
      <c r="F1741" s="64"/>
    </row>
    <row r="1742">
      <c r="B1742" s="64"/>
      <c r="C1742" s="64"/>
      <c r="D1742" s="64"/>
      <c r="E1742" s="64"/>
      <c r="F1742" s="64"/>
    </row>
    <row r="1743">
      <c r="B1743" s="64"/>
      <c r="C1743" s="64"/>
      <c r="D1743" s="64"/>
      <c r="E1743" s="64"/>
      <c r="F1743" s="64"/>
    </row>
    <row r="1744">
      <c r="B1744" s="64"/>
      <c r="C1744" s="64"/>
      <c r="D1744" s="64"/>
      <c r="E1744" s="64"/>
      <c r="F1744" s="64"/>
    </row>
    <row r="1745">
      <c r="B1745" s="64"/>
      <c r="C1745" s="64"/>
      <c r="D1745" s="64"/>
      <c r="E1745" s="64"/>
      <c r="F1745" s="64"/>
    </row>
    <row r="1746">
      <c r="B1746" s="64"/>
      <c r="C1746" s="64"/>
      <c r="D1746" s="64"/>
      <c r="E1746" s="64"/>
      <c r="F1746" s="64"/>
    </row>
    <row r="1747">
      <c r="B1747" s="64"/>
      <c r="C1747" s="64"/>
      <c r="D1747" s="64"/>
      <c r="E1747" s="64"/>
      <c r="F1747" s="64"/>
    </row>
    <row r="1748">
      <c r="B1748" s="64"/>
      <c r="C1748" s="64"/>
      <c r="D1748" s="64"/>
      <c r="E1748" s="64"/>
      <c r="F1748" s="64"/>
    </row>
    <row r="1749">
      <c r="B1749" s="64"/>
      <c r="C1749" s="64"/>
      <c r="D1749" s="64"/>
      <c r="E1749" s="64"/>
      <c r="F1749" s="64"/>
    </row>
    <row r="1750">
      <c r="B1750" s="64"/>
      <c r="C1750" s="64"/>
      <c r="D1750" s="64"/>
      <c r="E1750" s="64"/>
      <c r="F1750" s="64"/>
    </row>
    <row r="1751">
      <c r="B1751" s="64"/>
      <c r="C1751" s="64"/>
      <c r="D1751" s="64"/>
      <c r="E1751" s="64"/>
      <c r="F1751" s="64"/>
    </row>
    <row r="1752">
      <c r="B1752" s="64"/>
      <c r="C1752" s="64"/>
      <c r="D1752" s="64"/>
      <c r="E1752" s="64"/>
      <c r="F1752" s="64"/>
    </row>
    <row r="1753">
      <c r="B1753" s="64"/>
      <c r="C1753" s="64"/>
      <c r="D1753" s="64"/>
      <c r="E1753" s="64"/>
      <c r="F1753" s="64"/>
    </row>
    <row r="1754">
      <c r="B1754" s="64"/>
      <c r="C1754" s="64"/>
      <c r="D1754" s="64"/>
      <c r="E1754" s="64"/>
      <c r="F1754" s="64"/>
    </row>
    <row r="1755">
      <c r="B1755" s="64"/>
      <c r="C1755" s="64"/>
      <c r="D1755" s="64"/>
      <c r="E1755" s="64"/>
      <c r="F1755" s="64"/>
    </row>
    <row r="1756">
      <c r="B1756" s="64"/>
      <c r="C1756" s="64"/>
      <c r="D1756" s="64"/>
      <c r="E1756" s="64"/>
      <c r="F1756" s="64"/>
    </row>
    <row r="1757">
      <c r="B1757" s="64"/>
      <c r="C1757" s="64"/>
      <c r="D1757" s="64"/>
      <c r="E1757" s="64"/>
      <c r="F1757" s="64"/>
    </row>
    <row r="1758">
      <c r="B1758" s="64"/>
      <c r="C1758" s="64"/>
      <c r="D1758" s="64"/>
      <c r="E1758" s="64"/>
      <c r="F1758" s="64"/>
    </row>
    <row r="1759">
      <c r="B1759" s="64"/>
      <c r="C1759" s="64"/>
      <c r="D1759" s="64"/>
      <c r="E1759" s="64"/>
      <c r="F1759" s="64"/>
    </row>
    <row r="1760">
      <c r="B1760" s="64"/>
      <c r="C1760" s="64"/>
      <c r="D1760" s="64"/>
      <c r="E1760" s="64"/>
      <c r="F1760" s="64"/>
    </row>
    <row r="1761">
      <c r="B1761" s="64"/>
      <c r="C1761" s="64"/>
      <c r="D1761" s="64"/>
      <c r="E1761" s="64"/>
      <c r="F1761" s="64"/>
    </row>
    <row r="1762">
      <c r="B1762" s="64"/>
      <c r="C1762" s="64"/>
      <c r="D1762" s="64"/>
      <c r="E1762" s="64"/>
      <c r="F1762" s="64"/>
    </row>
    <row r="1763">
      <c r="B1763" s="64"/>
      <c r="C1763" s="64"/>
      <c r="D1763" s="64"/>
      <c r="E1763" s="64"/>
      <c r="F1763" s="64"/>
    </row>
    <row r="1764">
      <c r="B1764" s="64"/>
      <c r="C1764" s="64"/>
      <c r="D1764" s="64"/>
      <c r="E1764" s="64"/>
      <c r="F1764" s="64"/>
    </row>
    <row r="1765">
      <c r="B1765" s="64"/>
      <c r="C1765" s="64"/>
      <c r="D1765" s="64"/>
      <c r="E1765" s="64"/>
      <c r="F1765" s="64"/>
    </row>
    <row r="1766">
      <c r="B1766" s="64"/>
      <c r="C1766" s="64"/>
      <c r="D1766" s="64"/>
      <c r="E1766" s="64"/>
      <c r="F1766" s="64"/>
    </row>
    <row r="1767">
      <c r="B1767" s="64"/>
      <c r="C1767" s="64"/>
      <c r="D1767" s="64"/>
      <c r="E1767" s="64"/>
      <c r="F1767" s="64"/>
    </row>
    <row r="1768">
      <c r="B1768" s="64"/>
      <c r="C1768" s="64"/>
      <c r="D1768" s="64"/>
      <c r="E1768" s="64"/>
      <c r="F1768" s="64"/>
    </row>
    <row r="1769">
      <c r="B1769" s="64"/>
      <c r="C1769" s="64"/>
      <c r="D1769" s="64"/>
      <c r="E1769" s="64"/>
      <c r="F1769" s="64"/>
    </row>
    <row r="1770">
      <c r="B1770" s="64"/>
      <c r="C1770" s="64"/>
      <c r="D1770" s="64"/>
      <c r="E1770" s="64"/>
      <c r="F1770" s="64"/>
    </row>
    <row r="1771">
      <c r="B1771" s="64"/>
      <c r="C1771" s="64"/>
      <c r="D1771" s="64"/>
      <c r="E1771" s="64"/>
      <c r="F1771" s="64"/>
    </row>
    <row r="1772">
      <c r="B1772" s="64"/>
      <c r="C1772" s="64"/>
      <c r="D1772" s="64"/>
      <c r="E1772" s="64"/>
      <c r="F1772" s="64"/>
    </row>
    <row r="1773">
      <c r="B1773" s="64"/>
      <c r="C1773" s="64"/>
      <c r="D1773" s="64"/>
      <c r="E1773" s="64"/>
      <c r="F1773" s="64"/>
    </row>
    <row r="1774">
      <c r="B1774" s="64"/>
      <c r="C1774" s="64"/>
      <c r="D1774" s="64"/>
      <c r="E1774" s="64"/>
      <c r="F1774" s="64"/>
    </row>
    <row r="1775">
      <c r="B1775" s="64"/>
      <c r="C1775" s="64"/>
      <c r="D1775" s="64"/>
      <c r="E1775" s="64"/>
      <c r="F1775" s="64"/>
    </row>
    <row r="1776">
      <c r="B1776" s="64"/>
      <c r="C1776" s="64"/>
      <c r="D1776" s="64"/>
      <c r="E1776" s="64"/>
      <c r="F1776" s="64"/>
    </row>
    <row r="1777">
      <c r="B1777" s="64"/>
      <c r="C1777" s="64"/>
      <c r="D1777" s="64"/>
      <c r="E1777" s="64"/>
      <c r="F1777" s="64"/>
    </row>
    <row r="1778">
      <c r="B1778" s="64"/>
      <c r="C1778" s="64"/>
      <c r="D1778" s="64"/>
      <c r="E1778" s="64"/>
      <c r="F1778" s="64"/>
    </row>
    <row r="1779">
      <c r="B1779" s="64"/>
      <c r="C1779" s="64"/>
      <c r="D1779" s="64"/>
      <c r="E1779" s="64"/>
      <c r="F1779" s="64"/>
    </row>
    <row r="1780">
      <c r="B1780" s="64"/>
      <c r="C1780" s="64"/>
      <c r="D1780" s="64"/>
      <c r="E1780" s="64"/>
      <c r="F1780" s="64"/>
    </row>
    <row r="1781">
      <c r="B1781" s="64"/>
      <c r="C1781" s="64"/>
      <c r="D1781" s="64"/>
      <c r="E1781" s="64"/>
      <c r="F1781" s="64"/>
    </row>
    <row r="1782">
      <c r="B1782" s="64"/>
      <c r="C1782" s="64"/>
      <c r="D1782" s="64"/>
      <c r="E1782" s="64"/>
      <c r="F1782" s="64"/>
    </row>
    <row r="1783">
      <c r="B1783" s="64"/>
      <c r="C1783" s="64"/>
      <c r="D1783" s="64"/>
      <c r="E1783" s="64"/>
      <c r="F1783" s="64"/>
    </row>
    <row r="1784">
      <c r="B1784" s="64"/>
      <c r="C1784" s="64"/>
      <c r="D1784" s="64"/>
      <c r="E1784" s="64"/>
      <c r="F1784" s="64"/>
    </row>
    <row r="1785">
      <c r="B1785" s="64"/>
      <c r="C1785" s="64"/>
      <c r="D1785" s="64"/>
      <c r="E1785" s="64"/>
      <c r="F1785" s="64"/>
    </row>
    <row r="1786">
      <c r="B1786" s="64"/>
      <c r="C1786" s="64"/>
      <c r="D1786" s="64"/>
      <c r="E1786" s="64"/>
      <c r="F1786" s="64"/>
    </row>
    <row r="1787">
      <c r="B1787" s="64"/>
      <c r="C1787" s="64"/>
      <c r="D1787" s="64"/>
      <c r="E1787" s="64"/>
      <c r="F1787" s="64"/>
    </row>
    <row r="1788">
      <c r="B1788" s="64"/>
      <c r="C1788" s="64"/>
      <c r="D1788" s="64"/>
      <c r="E1788" s="64"/>
      <c r="F1788" s="64"/>
    </row>
    <row r="1789">
      <c r="B1789" s="64"/>
      <c r="C1789" s="64"/>
      <c r="D1789" s="64"/>
      <c r="E1789" s="64"/>
      <c r="F1789" s="64"/>
    </row>
    <row r="1790">
      <c r="B1790" s="64"/>
      <c r="C1790" s="64"/>
      <c r="D1790" s="64"/>
      <c r="E1790" s="64"/>
      <c r="F1790" s="64"/>
    </row>
    <row r="1791">
      <c r="B1791" s="64"/>
      <c r="C1791" s="64"/>
      <c r="D1791" s="64"/>
      <c r="E1791" s="64"/>
      <c r="F1791" s="64"/>
    </row>
    <row r="1792">
      <c r="B1792" s="64"/>
      <c r="C1792" s="64"/>
      <c r="D1792" s="64"/>
      <c r="E1792" s="64"/>
      <c r="F1792" s="64"/>
    </row>
    <row r="1793">
      <c r="B1793" s="64"/>
      <c r="C1793" s="64"/>
      <c r="D1793" s="64"/>
      <c r="E1793" s="64"/>
      <c r="F1793" s="64"/>
    </row>
    <row r="1794">
      <c r="B1794" s="64"/>
      <c r="C1794" s="64"/>
      <c r="D1794" s="64"/>
      <c r="E1794" s="64"/>
      <c r="F1794" s="64"/>
    </row>
    <row r="1795">
      <c r="B1795" s="64"/>
      <c r="C1795" s="64"/>
      <c r="D1795" s="64"/>
      <c r="E1795" s="64"/>
      <c r="F1795" s="64"/>
    </row>
    <row r="1796">
      <c r="B1796" s="64"/>
      <c r="C1796" s="64"/>
      <c r="D1796" s="64"/>
      <c r="E1796" s="64"/>
      <c r="F1796" s="64"/>
    </row>
    <row r="1797">
      <c r="B1797" s="64"/>
      <c r="C1797" s="64"/>
      <c r="D1797" s="64"/>
      <c r="E1797" s="64"/>
      <c r="F1797" s="64"/>
    </row>
    <row r="1798">
      <c r="B1798" s="64"/>
      <c r="C1798" s="64"/>
      <c r="D1798" s="64"/>
      <c r="E1798" s="64"/>
      <c r="F1798" s="64"/>
    </row>
    <row r="1799">
      <c r="B1799" s="64"/>
      <c r="C1799" s="64"/>
      <c r="D1799" s="64"/>
      <c r="E1799" s="64"/>
      <c r="F1799" s="64"/>
    </row>
    <row r="1800">
      <c r="B1800" s="64"/>
      <c r="C1800" s="64"/>
      <c r="D1800" s="64"/>
      <c r="E1800" s="64"/>
      <c r="F1800" s="64"/>
    </row>
    <row r="1801">
      <c r="B1801" s="64"/>
      <c r="C1801" s="64"/>
      <c r="D1801" s="64"/>
      <c r="E1801" s="64"/>
      <c r="F1801" s="64"/>
    </row>
    <row r="1802">
      <c r="B1802" s="64"/>
      <c r="C1802" s="64"/>
      <c r="D1802" s="64"/>
      <c r="E1802" s="64"/>
      <c r="F1802" s="64"/>
    </row>
    <row r="1803">
      <c r="B1803" s="64"/>
      <c r="C1803" s="64"/>
      <c r="D1803" s="64"/>
      <c r="E1803" s="64"/>
      <c r="F1803" s="64"/>
    </row>
    <row r="1804">
      <c r="B1804" s="64"/>
      <c r="C1804" s="64"/>
      <c r="D1804" s="64"/>
      <c r="E1804" s="64"/>
      <c r="F1804" s="64"/>
    </row>
    <row r="1805">
      <c r="B1805" s="64"/>
      <c r="C1805" s="64"/>
      <c r="D1805" s="64"/>
      <c r="E1805" s="64"/>
      <c r="F1805" s="64"/>
    </row>
    <row r="1806">
      <c r="B1806" s="64"/>
      <c r="C1806" s="64"/>
      <c r="D1806" s="64"/>
      <c r="E1806" s="64"/>
      <c r="F1806" s="64"/>
    </row>
    <row r="1807">
      <c r="B1807" s="64"/>
      <c r="C1807" s="64"/>
      <c r="D1807" s="64"/>
      <c r="E1807" s="64"/>
      <c r="F1807" s="64"/>
    </row>
    <row r="1808">
      <c r="B1808" s="64"/>
      <c r="C1808" s="64"/>
      <c r="D1808" s="64"/>
      <c r="E1808" s="64"/>
      <c r="F1808" s="64"/>
    </row>
    <row r="1809">
      <c r="B1809" s="64"/>
      <c r="C1809" s="64"/>
      <c r="D1809" s="64"/>
      <c r="E1809" s="64"/>
      <c r="F1809" s="64"/>
    </row>
    <row r="1810">
      <c r="B1810" s="64"/>
      <c r="C1810" s="64"/>
      <c r="D1810" s="64"/>
      <c r="E1810" s="64"/>
      <c r="F1810" s="64"/>
    </row>
    <row r="1811">
      <c r="B1811" s="64"/>
      <c r="C1811" s="64"/>
      <c r="D1811" s="64"/>
      <c r="E1811" s="64"/>
      <c r="F1811" s="64"/>
    </row>
    <row r="1812">
      <c r="B1812" s="64"/>
      <c r="C1812" s="64"/>
      <c r="D1812" s="64"/>
      <c r="E1812" s="64"/>
      <c r="F1812" s="64"/>
    </row>
    <row r="1813">
      <c r="B1813" s="64"/>
      <c r="C1813" s="64"/>
      <c r="D1813" s="64"/>
      <c r="E1813" s="64"/>
      <c r="F1813" s="64"/>
    </row>
    <row r="1814">
      <c r="B1814" s="64"/>
      <c r="C1814" s="64"/>
      <c r="D1814" s="64"/>
      <c r="E1814" s="64"/>
      <c r="F1814" s="64"/>
    </row>
    <row r="1815">
      <c r="B1815" s="64"/>
      <c r="C1815" s="64"/>
      <c r="D1815" s="64"/>
      <c r="E1815" s="64"/>
      <c r="F1815" s="64"/>
    </row>
    <row r="1816">
      <c r="B1816" s="64"/>
      <c r="C1816" s="64"/>
      <c r="D1816" s="64"/>
      <c r="E1816" s="64"/>
      <c r="F1816" s="64"/>
    </row>
    <row r="1817">
      <c r="B1817" s="64"/>
      <c r="C1817" s="64"/>
      <c r="D1817" s="64"/>
      <c r="E1817" s="64"/>
      <c r="F1817" s="64"/>
    </row>
    <row r="1818">
      <c r="B1818" s="64"/>
      <c r="C1818" s="64"/>
      <c r="D1818" s="64"/>
      <c r="E1818" s="64"/>
      <c r="F1818" s="64"/>
    </row>
    <row r="1819">
      <c r="B1819" s="64"/>
      <c r="C1819" s="64"/>
      <c r="D1819" s="64"/>
      <c r="E1819" s="64"/>
      <c r="F1819" s="64"/>
    </row>
    <row r="1820">
      <c r="B1820" s="64"/>
      <c r="C1820" s="64"/>
      <c r="D1820" s="64"/>
      <c r="E1820" s="64"/>
      <c r="F1820" s="64"/>
    </row>
    <row r="1821">
      <c r="B1821" s="64"/>
      <c r="C1821" s="64"/>
      <c r="D1821" s="64"/>
      <c r="E1821" s="64"/>
      <c r="F1821" s="64"/>
    </row>
    <row r="1822">
      <c r="B1822" s="64"/>
      <c r="C1822" s="64"/>
      <c r="D1822" s="64"/>
      <c r="E1822" s="64"/>
      <c r="F1822" s="64"/>
    </row>
    <row r="1823">
      <c r="B1823" s="64"/>
      <c r="C1823" s="64"/>
      <c r="D1823" s="64"/>
      <c r="E1823" s="64"/>
      <c r="F1823" s="64"/>
    </row>
    <row r="1824">
      <c r="B1824" s="64"/>
      <c r="C1824" s="64"/>
      <c r="D1824" s="64"/>
      <c r="E1824" s="64"/>
      <c r="F1824" s="64"/>
    </row>
    <row r="1825">
      <c r="B1825" s="64"/>
      <c r="C1825" s="64"/>
      <c r="D1825" s="64"/>
      <c r="E1825" s="64"/>
      <c r="F1825" s="64"/>
    </row>
    <row r="1826">
      <c r="B1826" s="64"/>
      <c r="C1826" s="64"/>
      <c r="D1826" s="64"/>
      <c r="E1826" s="64"/>
      <c r="F1826" s="64"/>
    </row>
    <row r="1827">
      <c r="B1827" s="64"/>
      <c r="C1827" s="64"/>
      <c r="D1827" s="64"/>
      <c r="E1827" s="64"/>
      <c r="F1827" s="64"/>
    </row>
    <row r="1828">
      <c r="B1828" s="64"/>
      <c r="C1828" s="64"/>
      <c r="D1828" s="64"/>
      <c r="E1828" s="64"/>
      <c r="F1828" s="64"/>
    </row>
    <row r="1829">
      <c r="B1829" s="64"/>
      <c r="C1829" s="64"/>
      <c r="D1829" s="64"/>
      <c r="E1829" s="64"/>
      <c r="F1829" s="64"/>
    </row>
    <row r="1830">
      <c r="B1830" s="64"/>
      <c r="C1830" s="64"/>
      <c r="D1830" s="64"/>
      <c r="E1830" s="64"/>
      <c r="F1830" s="64"/>
    </row>
    <row r="1831">
      <c r="B1831" s="64"/>
      <c r="C1831" s="64"/>
      <c r="D1831" s="64"/>
      <c r="E1831" s="64"/>
      <c r="F1831" s="64"/>
    </row>
    <row r="1832">
      <c r="B1832" s="64"/>
      <c r="C1832" s="64"/>
      <c r="D1832" s="64"/>
      <c r="E1832" s="64"/>
      <c r="F1832" s="64"/>
    </row>
    <row r="1833">
      <c r="B1833" s="64"/>
      <c r="C1833" s="64"/>
      <c r="D1833" s="64"/>
      <c r="E1833" s="64"/>
      <c r="F1833" s="64"/>
    </row>
    <row r="1834">
      <c r="B1834" s="64"/>
      <c r="C1834" s="64"/>
      <c r="D1834" s="64"/>
      <c r="E1834" s="64"/>
      <c r="F1834" s="64"/>
    </row>
    <row r="1835">
      <c r="B1835" s="64"/>
      <c r="C1835" s="64"/>
      <c r="D1835" s="64"/>
      <c r="E1835" s="64"/>
      <c r="F1835" s="64"/>
    </row>
    <row r="1836">
      <c r="B1836" s="64"/>
      <c r="C1836" s="64"/>
      <c r="D1836" s="64"/>
      <c r="E1836" s="64"/>
      <c r="F1836" s="64"/>
    </row>
    <row r="1837">
      <c r="B1837" s="64"/>
      <c r="C1837" s="64"/>
      <c r="D1837" s="64"/>
      <c r="E1837" s="64"/>
      <c r="F1837" s="64"/>
    </row>
    <row r="1838">
      <c r="B1838" s="64"/>
      <c r="C1838" s="64"/>
      <c r="D1838" s="64"/>
      <c r="E1838" s="64"/>
      <c r="F1838" s="64"/>
    </row>
    <row r="1839">
      <c r="B1839" s="64"/>
      <c r="C1839" s="64"/>
      <c r="D1839" s="64"/>
      <c r="E1839" s="64"/>
      <c r="F1839" s="64"/>
    </row>
    <row r="1840">
      <c r="B1840" s="64"/>
      <c r="C1840" s="64"/>
      <c r="D1840" s="64"/>
      <c r="E1840" s="64"/>
      <c r="F1840" s="64"/>
    </row>
    <row r="1841">
      <c r="B1841" s="64"/>
      <c r="C1841" s="64"/>
      <c r="D1841" s="64"/>
      <c r="E1841" s="64"/>
      <c r="F1841" s="64"/>
    </row>
    <row r="1842">
      <c r="B1842" s="64"/>
      <c r="C1842" s="64"/>
      <c r="D1842" s="64"/>
      <c r="E1842" s="64"/>
      <c r="F1842" s="64"/>
    </row>
    <row r="1843">
      <c r="B1843" s="64"/>
      <c r="C1843" s="64"/>
      <c r="D1843" s="64"/>
      <c r="E1843" s="64"/>
      <c r="F1843" s="64"/>
    </row>
    <row r="1844">
      <c r="B1844" s="64"/>
      <c r="C1844" s="64"/>
      <c r="D1844" s="64"/>
      <c r="E1844" s="64"/>
      <c r="F1844" s="64"/>
    </row>
    <row r="1845">
      <c r="B1845" s="64"/>
      <c r="C1845" s="64"/>
      <c r="D1845" s="64"/>
      <c r="E1845" s="64"/>
      <c r="F1845" s="64"/>
    </row>
    <row r="1846">
      <c r="B1846" s="64"/>
      <c r="C1846" s="64"/>
      <c r="D1846" s="64"/>
      <c r="E1846" s="64"/>
      <c r="F1846" s="64"/>
    </row>
    <row r="1847">
      <c r="B1847" s="64"/>
      <c r="C1847" s="64"/>
      <c r="D1847" s="64"/>
      <c r="E1847" s="64"/>
      <c r="F1847" s="64"/>
    </row>
    <row r="1848">
      <c r="B1848" s="64"/>
      <c r="C1848" s="64"/>
      <c r="D1848" s="64"/>
      <c r="E1848" s="64"/>
      <c r="F1848" s="64"/>
    </row>
    <row r="1849">
      <c r="B1849" s="64"/>
      <c r="C1849" s="64"/>
      <c r="D1849" s="64"/>
      <c r="E1849" s="64"/>
      <c r="F1849" s="64"/>
    </row>
    <row r="1850">
      <c r="B1850" s="64"/>
      <c r="C1850" s="64"/>
      <c r="D1850" s="64"/>
      <c r="E1850" s="64"/>
      <c r="F1850" s="64"/>
    </row>
    <row r="1851">
      <c r="B1851" s="64"/>
      <c r="C1851" s="64"/>
      <c r="D1851" s="64"/>
      <c r="E1851" s="64"/>
      <c r="F1851" s="64"/>
    </row>
    <row r="1852">
      <c r="B1852" s="64"/>
      <c r="C1852" s="64"/>
      <c r="D1852" s="64"/>
      <c r="E1852" s="64"/>
      <c r="F1852" s="64"/>
    </row>
    <row r="1853">
      <c r="B1853" s="64"/>
      <c r="C1853" s="64"/>
      <c r="D1853" s="64"/>
      <c r="E1853" s="64"/>
      <c r="F1853" s="64"/>
    </row>
    <row r="1854">
      <c r="B1854" s="64"/>
      <c r="C1854" s="64"/>
      <c r="D1854" s="64"/>
      <c r="E1854" s="64"/>
      <c r="F1854" s="64"/>
    </row>
    <row r="1855">
      <c r="B1855" s="64"/>
      <c r="C1855" s="64"/>
      <c r="D1855" s="64"/>
      <c r="E1855" s="64"/>
      <c r="F1855" s="64"/>
    </row>
    <row r="1856">
      <c r="B1856" s="64"/>
      <c r="C1856" s="64"/>
      <c r="D1856" s="64"/>
      <c r="E1856" s="64"/>
      <c r="F1856" s="64"/>
    </row>
    <row r="1857">
      <c r="B1857" s="64"/>
      <c r="C1857" s="64"/>
      <c r="D1857" s="64"/>
      <c r="E1857" s="64"/>
      <c r="F1857" s="64"/>
    </row>
    <row r="1858">
      <c r="B1858" s="64"/>
      <c r="C1858" s="64"/>
      <c r="D1858" s="64"/>
      <c r="E1858" s="64"/>
      <c r="F1858" s="64"/>
    </row>
    <row r="1859">
      <c r="B1859" s="64"/>
      <c r="C1859" s="64"/>
      <c r="D1859" s="64"/>
      <c r="E1859" s="64"/>
      <c r="F1859" s="64"/>
    </row>
    <row r="1860">
      <c r="B1860" s="64"/>
      <c r="C1860" s="64"/>
      <c r="D1860" s="64"/>
      <c r="E1860" s="64"/>
      <c r="F1860" s="64"/>
    </row>
    <row r="1861">
      <c r="B1861" s="64"/>
      <c r="C1861" s="64"/>
      <c r="D1861" s="64"/>
      <c r="E1861" s="64"/>
      <c r="F1861" s="64"/>
    </row>
    <row r="1862">
      <c r="B1862" s="64"/>
      <c r="C1862" s="64"/>
      <c r="D1862" s="64"/>
      <c r="E1862" s="64"/>
      <c r="F1862" s="64"/>
    </row>
    <row r="1863">
      <c r="B1863" s="64"/>
      <c r="C1863" s="64"/>
      <c r="D1863" s="64"/>
      <c r="E1863" s="64"/>
      <c r="F1863" s="64"/>
    </row>
    <row r="1864">
      <c r="B1864" s="64"/>
      <c r="C1864" s="64"/>
      <c r="D1864" s="64"/>
      <c r="E1864" s="64"/>
      <c r="F1864" s="64"/>
    </row>
    <row r="1865">
      <c r="B1865" s="64"/>
      <c r="C1865" s="64"/>
      <c r="D1865" s="64"/>
      <c r="E1865" s="64"/>
      <c r="F1865" s="64"/>
    </row>
    <row r="1866">
      <c r="B1866" s="64"/>
      <c r="C1866" s="64"/>
      <c r="D1866" s="64"/>
      <c r="E1866" s="64"/>
      <c r="F1866" s="64"/>
    </row>
    <row r="1867">
      <c r="B1867" s="64"/>
      <c r="C1867" s="64"/>
      <c r="D1867" s="64"/>
      <c r="E1867" s="64"/>
      <c r="F1867" s="64"/>
    </row>
    <row r="1868">
      <c r="B1868" s="64"/>
      <c r="C1868" s="64"/>
      <c r="D1868" s="64"/>
      <c r="E1868" s="64"/>
      <c r="F1868" s="64"/>
    </row>
    <row r="1869">
      <c r="B1869" s="64"/>
      <c r="C1869" s="64"/>
      <c r="D1869" s="64"/>
      <c r="E1869" s="64"/>
      <c r="F1869" s="64"/>
    </row>
    <row r="1870">
      <c r="B1870" s="64"/>
      <c r="C1870" s="64"/>
      <c r="D1870" s="64"/>
      <c r="E1870" s="64"/>
      <c r="F1870" s="64"/>
    </row>
    <row r="1871">
      <c r="B1871" s="64"/>
      <c r="C1871" s="64"/>
      <c r="D1871" s="64"/>
      <c r="E1871" s="64"/>
      <c r="F1871" s="64"/>
    </row>
    <row r="1872">
      <c r="B1872" s="64"/>
      <c r="C1872" s="64"/>
      <c r="D1872" s="64"/>
      <c r="E1872" s="64"/>
      <c r="F1872" s="64"/>
    </row>
    <row r="1873">
      <c r="B1873" s="64"/>
      <c r="C1873" s="64"/>
      <c r="D1873" s="64"/>
      <c r="E1873" s="64"/>
      <c r="F1873" s="64"/>
    </row>
    <row r="1874">
      <c r="B1874" s="64"/>
      <c r="C1874" s="64"/>
      <c r="D1874" s="64"/>
      <c r="E1874" s="64"/>
      <c r="F1874" s="64"/>
    </row>
    <row r="1875">
      <c r="B1875" s="64"/>
      <c r="C1875" s="64"/>
      <c r="D1875" s="64"/>
      <c r="E1875" s="64"/>
      <c r="F1875" s="64"/>
    </row>
    <row r="1876">
      <c r="B1876" s="64"/>
      <c r="C1876" s="64"/>
      <c r="D1876" s="64"/>
      <c r="E1876" s="64"/>
      <c r="F1876" s="64"/>
    </row>
    <row r="1877">
      <c r="B1877" s="64"/>
      <c r="C1877" s="64"/>
      <c r="D1877" s="64"/>
      <c r="E1877" s="64"/>
      <c r="F1877" s="64"/>
    </row>
    <row r="1878">
      <c r="B1878" s="64"/>
      <c r="C1878" s="64"/>
      <c r="D1878" s="64"/>
      <c r="E1878" s="64"/>
      <c r="F1878" s="64"/>
    </row>
    <row r="1879">
      <c r="B1879" s="64"/>
      <c r="C1879" s="64"/>
      <c r="D1879" s="64"/>
      <c r="E1879" s="64"/>
      <c r="F1879" s="64"/>
    </row>
    <row r="1880">
      <c r="B1880" s="64"/>
      <c r="C1880" s="64"/>
      <c r="D1880" s="64"/>
      <c r="E1880" s="64"/>
      <c r="F1880" s="64"/>
    </row>
    <row r="1881">
      <c r="B1881" s="64"/>
      <c r="C1881" s="64"/>
      <c r="D1881" s="64"/>
      <c r="E1881" s="64"/>
      <c r="F1881" s="64"/>
    </row>
    <row r="1882">
      <c r="B1882" s="64"/>
      <c r="C1882" s="64"/>
      <c r="D1882" s="64"/>
      <c r="E1882" s="64"/>
      <c r="F1882" s="64"/>
    </row>
    <row r="1883">
      <c r="B1883" s="64"/>
      <c r="C1883" s="64"/>
      <c r="D1883" s="64"/>
      <c r="E1883" s="64"/>
      <c r="F1883" s="64"/>
    </row>
    <row r="1884">
      <c r="B1884" s="64"/>
      <c r="C1884" s="64"/>
      <c r="D1884" s="64"/>
      <c r="E1884" s="64"/>
      <c r="F1884" s="64"/>
    </row>
    <row r="1885">
      <c r="B1885" s="64"/>
      <c r="C1885" s="64"/>
      <c r="D1885" s="64"/>
      <c r="E1885" s="64"/>
      <c r="F1885" s="64"/>
    </row>
    <row r="1886">
      <c r="B1886" s="64"/>
      <c r="C1886" s="64"/>
      <c r="D1886" s="64"/>
      <c r="E1886" s="64"/>
      <c r="F1886" s="64"/>
    </row>
    <row r="1887">
      <c r="B1887" s="64"/>
      <c r="C1887" s="64"/>
      <c r="D1887" s="64"/>
      <c r="E1887" s="64"/>
      <c r="F1887" s="64"/>
    </row>
    <row r="1888">
      <c r="B1888" s="64"/>
      <c r="C1888" s="64"/>
      <c r="D1888" s="64"/>
      <c r="E1888" s="64"/>
      <c r="F1888" s="64"/>
    </row>
    <row r="1889">
      <c r="B1889" s="64"/>
      <c r="C1889" s="64"/>
      <c r="D1889" s="64"/>
      <c r="E1889" s="64"/>
      <c r="F1889" s="64"/>
    </row>
    <row r="1890">
      <c r="B1890" s="64"/>
      <c r="C1890" s="64"/>
      <c r="D1890" s="64"/>
      <c r="E1890" s="64"/>
      <c r="F1890" s="64"/>
    </row>
    <row r="1891">
      <c r="B1891" s="64"/>
      <c r="C1891" s="64"/>
      <c r="D1891" s="64"/>
      <c r="E1891" s="64"/>
      <c r="F1891" s="64"/>
    </row>
    <row r="1892">
      <c r="B1892" s="64"/>
      <c r="C1892" s="64"/>
      <c r="D1892" s="64"/>
      <c r="E1892" s="64"/>
      <c r="F1892" s="64"/>
    </row>
    <row r="1893">
      <c r="B1893" s="64"/>
      <c r="C1893" s="64"/>
      <c r="D1893" s="64"/>
      <c r="E1893" s="64"/>
      <c r="F1893" s="64"/>
    </row>
    <row r="1894">
      <c r="B1894" s="64"/>
      <c r="C1894" s="64"/>
      <c r="D1894" s="64"/>
      <c r="E1894" s="64"/>
      <c r="F1894" s="64"/>
    </row>
    <row r="1895">
      <c r="B1895" s="64"/>
      <c r="C1895" s="64"/>
      <c r="D1895" s="64"/>
      <c r="E1895" s="64"/>
      <c r="F1895" s="64"/>
    </row>
    <row r="1896">
      <c r="B1896" s="64"/>
      <c r="C1896" s="64"/>
      <c r="D1896" s="64"/>
      <c r="E1896" s="64"/>
      <c r="F1896" s="64"/>
    </row>
    <row r="1897">
      <c r="B1897" s="64"/>
      <c r="C1897" s="64"/>
      <c r="D1897" s="64"/>
      <c r="E1897" s="64"/>
      <c r="F1897" s="64"/>
    </row>
    <row r="1898">
      <c r="B1898" s="64"/>
      <c r="C1898" s="64"/>
      <c r="D1898" s="64"/>
      <c r="E1898" s="64"/>
      <c r="F1898" s="64"/>
    </row>
    <row r="1899">
      <c r="B1899" s="64"/>
      <c r="C1899" s="64"/>
      <c r="D1899" s="64"/>
      <c r="E1899" s="64"/>
      <c r="F1899" s="64"/>
    </row>
    <row r="1900">
      <c r="B1900" s="64"/>
      <c r="C1900" s="64"/>
      <c r="D1900" s="64"/>
      <c r="E1900" s="64"/>
      <c r="F1900" s="64"/>
    </row>
    <row r="1901">
      <c r="B1901" s="64"/>
      <c r="C1901" s="64"/>
      <c r="D1901" s="64"/>
      <c r="E1901" s="64"/>
      <c r="F1901" s="64"/>
    </row>
    <row r="1902">
      <c r="B1902" s="64"/>
      <c r="C1902" s="64"/>
      <c r="D1902" s="64"/>
      <c r="E1902" s="64"/>
      <c r="F1902" s="64"/>
    </row>
    <row r="1903">
      <c r="B1903" s="64"/>
      <c r="C1903" s="64"/>
      <c r="D1903" s="64"/>
      <c r="E1903" s="64"/>
      <c r="F1903" s="64"/>
    </row>
    <row r="1904">
      <c r="B1904" s="64"/>
      <c r="C1904" s="64"/>
      <c r="D1904" s="64"/>
      <c r="E1904" s="64"/>
      <c r="F1904" s="64"/>
    </row>
    <row r="1905">
      <c r="B1905" s="64"/>
      <c r="C1905" s="64"/>
      <c r="D1905" s="64"/>
      <c r="E1905" s="64"/>
      <c r="F1905" s="64"/>
    </row>
    <row r="1906">
      <c r="B1906" s="64"/>
      <c r="C1906" s="64"/>
      <c r="D1906" s="64"/>
      <c r="E1906" s="64"/>
      <c r="F1906" s="64"/>
    </row>
    <row r="1907">
      <c r="B1907" s="64"/>
      <c r="C1907" s="64"/>
      <c r="D1907" s="64"/>
      <c r="E1907" s="64"/>
      <c r="F1907" s="64"/>
    </row>
    <row r="1908">
      <c r="B1908" s="64"/>
      <c r="C1908" s="64"/>
      <c r="D1908" s="64"/>
      <c r="E1908" s="64"/>
      <c r="F1908" s="64"/>
    </row>
    <row r="1909">
      <c r="B1909" s="64"/>
      <c r="C1909" s="64"/>
      <c r="D1909" s="64"/>
      <c r="E1909" s="64"/>
      <c r="F1909" s="64"/>
    </row>
    <row r="1910">
      <c r="B1910" s="64"/>
      <c r="C1910" s="64"/>
      <c r="D1910" s="64"/>
      <c r="E1910" s="64"/>
      <c r="F1910" s="64"/>
    </row>
    <row r="1911">
      <c r="B1911" s="64"/>
      <c r="C1911" s="64"/>
      <c r="D1911" s="64"/>
      <c r="E1911" s="64"/>
      <c r="F1911" s="64"/>
    </row>
    <row r="1912">
      <c r="B1912" s="64"/>
      <c r="C1912" s="64"/>
      <c r="D1912" s="64"/>
      <c r="E1912" s="64"/>
      <c r="F1912" s="64"/>
    </row>
    <row r="1913">
      <c r="B1913" s="64"/>
      <c r="C1913" s="64"/>
      <c r="D1913" s="64"/>
      <c r="E1913" s="64"/>
      <c r="F1913" s="64"/>
    </row>
    <row r="1914">
      <c r="B1914" s="64"/>
      <c r="C1914" s="64"/>
      <c r="D1914" s="64"/>
      <c r="E1914" s="64"/>
      <c r="F1914" s="64"/>
    </row>
    <row r="1915">
      <c r="B1915" s="64"/>
      <c r="C1915" s="64"/>
      <c r="D1915" s="64"/>
      <c r="E1915" s="64"/>
      <c r="F1915" s="64"/>
    </row>
    <row r="1916">
      <c r="B1916" s="64"/>
      <c r="C1916" s="64"/>
      <c r="D1916" s="64"/>
      <c r="E1916" s="64"/>
      <c r="F1916" s="64"/>
    </row>
    <row r="1917">
      <c r="B1917" s="64"/>
      <c r="C1917" s="64"/>
      <c r="D1917" s="64"/>
      <c r="E1917" s="64"/>
      <c r="F1917" s="64"/>
    </row>
    <row r="1918">
      <c r="B1918" s="64"/>
      <c r="C1918" s="64"/>
      <c r="D1918" s="64"/>
      <c r="E1918" s="64"/>
      <c r="F1918" s="64"/>
    </row>
    <row r="1919">
      <c r="B1919" s="64"/>
      <c r="C1919" s="64"/>
      <c r="D1919" s="64"/>
      <c r="E1919" s="64"/>
      <c r="F1919" s="64"/>
    </row>
    <row r="1920">
      <c r="B1920" s="64"/>
      <c r="C1920" s="64"/>
      <c r="D1920" s="64"/>
      <c r="E1920" s="64"/>
      <c r="F1920" s="64"/>
    </row>
    <row r="1921">
      <c r="B1921" s="64"/>
      <c r="C1921" s="64"/>
      <c r="D1921" s="64"/>
      <c r="E1921" s="64"/>
      <c r="F1921" s="64"/>
    </row>
    <row r="1922">
      <c r="B1922" s="64"/>
      <c r="C1922" s="64"/>
      <c r="D1922" s="64"/>
      <c r="E1922" s="64"/>
      <c r="F1922" s="64"/>
    </row>
    <row r="1923">
      <c r="B1923" s="64"/>
      <c r="C1923" s="64"/>
      <c r="D1923" s="64"/>
      <c r="E1923" s="64"/>
      <c r="F1923" s="64"/>
    </row>
    <row r="1924">
      <c r="B1924" s="64"/>
      <c r="C1924" s="64"/>
      <c r="D1924" s="64"/>
      <c r="E1924" s="64"/>
      <c r="F1924" s="64"/>
    </row>
    <row r="1925">
      <c r="B1925" s="64"/>
      <c r="C1925" s="64"/>
      <c r="D1925" s="64"/>
      <c r="E1925" s="64"/>
      <c r="F1925" s="64"/>
    </row>
    <row r="1926">
      <c r="B1926" s="64"/>
      <c r="C1926" s="64"/>
      <c r="D1926" s="64"/>
      <c r="E1926" s="64"/>
      <c r="F1926" s="64"/>
    </row>
    <row r="1927">
      <c r="B1927" s="64"/>
      <c r="C1927" s="64"/>
      <c r="D1927" s="64"/>
      <c r="E1927" s="64"/>
      <c r="F1927" s="64"/>
    </row>
    <row r="1928">
      <c r="B1928" s="64"/>
      <c r="C1928" s="64"/>
      <c r="D1928" s="64"/>
      <c r="E1928" s="64"/>
      <c r="F1928" s="64"/>
    </row>
    <row r="1929">
      <c r="B1929" s="64"/>
      <c r="C1929" s="64"/>
      <c r="D1929" s="64"/>
      <c r="E1929" s="64"/>
      <c r="F1929" s="64"/>
    </row>
    <row r="1930">
      <c r="B1930" s="64"/>
      <c r="C1930" s="64"/>
      <c r="D1930" s="64"/>
      <c r="E1930" s="64"/>
      <c r="F1930" s="64"/>
    </row>
    <row r="1931">
      <c r="B1931" s="64"/>
      <c r="C1931" s="64"/>
      <c r="D1931" s="64"/>
      <c r="E1931" s="64"/>
      <c r="F1931" s="64"/>
    </row>
    <row r="1932">
      <c r="B1932" s="64"/>
      <c r="C1932" s="64"/>
      <c r="D1932" s="64"/>
      <c r="E1932" s="64"/>
      <c r="F1932" s="64"/>
    </row>
    <row r="1933">
      <c r="B1933" s="64"/>
      <c r="C1933" s="64"/>
      <c r="D1933" s="64"/>
      <c r="E1933" s="64"/>
      <c r="F1933" s="64"/>
    </row>
    <row r="1934">
      <c r="B1934" s="64"/>
      <c r="C1934" s="64"/>
      <c r="D1934" s="64"/>
      <c r="E1934" s="64"/>
      <c r="F1934" s="64"/>
    </row>
    <row r="1935">
      <c r="B1935" s="64"/>
      <c r="C1935" s="64"/>
      <c r="D1935" s="64"/>
      <c r="E1935" s="64"/>
      <c r="F1935" s="64"/>
    </row>
    <row r="1936">
      <c r="B1936" s="64"/>
      <c r="C1936" s="64"/>
      <c r="D1936" s="64"/>
      <c r="E1936" s="64"/>
      <c r="F1936" s="64"/>
    </row>
    <row r="1937">
      <c r="B1937" s="64"/>
      <c r="C1937" s="64"/>
      <c r="D1937" s="64"/>
      <c r="E1937" s="64"/>
      <c r="F1937" s="64"/>
    </row>
    <row r="1938">
      <c r="B1938" s="64"/>
      <c r="C1938" s="64"/>
      <c r="D1938" s="64"/>
      <c r="E1938" s="64"/>
      <c r="F1938" s="64"/>
    </row>
    <row r="1939">
      <c r="B1939" s="64"/>
      <c r="C1939" s="64"/>
      <c r="D1939" s="64"/>
      <c r="E1939" s="64"/>
      <c r="F1939" s="64"/>
    </row>
    <row r="1940">
      <c r="B1940" s="64"/>
      <c r="C1940" s="64"/>
      <c r="D1940" s="64"/>
      <c r="E1940" s="64"/>
      <c r="F1940" s="64"/>
    </row>
    <row r="1941">
      <c r="B1941" s="64"/>
      <c r="C1941" s="64"/>
      <c r="D1941" s="64"/>
      <c r="E1941" s="64"/>
      <c r="F1941" s="64"/>
    </row>
    <row r="1942">
      <c r="B1942" s="64"/>
      <c r="C1942" s="64"/>
      <c r="D1942" s="64"/>
      <c r="E1942" s="64"/>
      <c r="F1942" s="64"/>
    </row>
    <row r="1943">
      <c r="B1943" s="64"/>
      <c r="C1943" s="64"/>
      <c r="D1943" s="64"/>
      <c r="E1943" s="64"/>
      <c r="F1943" s="64"/>
    </row>
    <row r="1944">
      <c r="B1944" s="64"/>
      <c r="C1944" s="64"/>
      <c r="D1944" s="64"/>
      <c r="E1944" s="64"/>
      <c r="F1944" s="64"/>
    </row>
    <row r="1945">
      <c r="B1945" s="64"/>
      <c r="C1945" s="64"/>
      <c r="D1945" s="64"/>
      <c r="E1945" s="64"/>
      <c r="F1945" s="64"/>
    </row>
    <row r="1946">
      <c r="B1946" s="64"/>
      <c r="C1946" s="64"/>
      <c r="D1946" s="64"/>
      <c r="E1946" s="64"/>
      <c r="F1946" s="64"/>
    </row>
    <row r="1947">
      <c r="B1947" s="64"/>
      <c r="C1947" s="64"/>
      <c r="D1947" s="64"/>
      <c r="E1947" s="64"/>
      <c r="F1947" s="64"/>
    </row>
    <row r="1948">
      <c r="B1948" s="64"/>
      <c r="C1948" s="64"/>
      <c r="D1948" s="64"/>
      <c r="E1948" s="64"/>
      <c r="F1948" s="64"/>
    </row>
    <row r="1949">
      <c r="B1949" s="64"/>
      <c r="C1949" s="64"/>
      <c r="D1949" s="64"/>
      <c r="E1949" s="64"/>
      <c r="F1949" s="64"/>
    </row>
    <row r="1950">
      <c r="B1950" s="64"/>
      <c r="C1950" s="64"/>
      <c r="D1950" s="64"/>
      <c r="E1950" s="64"/>
      <c r="F1950" s="64"/>
    </row>
    <row r="1951">
      <c r="B1951" s="64"/>
      <c r="C1951" s="64"/>
      <c r="D1951" s="64"/>
      <c r="E1951" s="64"/>
      <c r="F1951" s="64"/>
    </row>
    <row r="1952">
      <c r="B1952" s="64"/>
      <c r="C1952" s="64"/>
      <c r="D1952" s="64"/>
      <c r="E1952" s="64"/>
      <c r="F1952" s="64"/>
    </row>
    <row r="1953">
      <c r="B1953" s="64"/>
      <c r="C1953" s="64"/>
      <c r="D1953" s="64"/>
      <c r="E1953" s="64"/>
      <c r="F1953" s="64"/>
    </row>
    <row r="1954">
      <c r="B1954" s="64"/>
      <c r="C1954" s="64"/>
      <c r="D1954" s="64"/>
      <c r="E1954" s="64"/>
      <c r="F1954" s="64"/>
    </row>
    <row r="1955">
      <c r="B1955" s="64"/>
      <c r="C1955" s="64"/>
      <c r="D1955" s="64"/>
      <c r="E1955" s="64"/>
      <c r="F1955" s="64"/>
    </row>
    <row r="1956">
      <c r="B1956" s="64"/>
      <c r="C1956" s="64"/>
      <c r="D1956" s="64"/>
      <c r="E1956" s="64"/>
      <c r="F1956" s="64"/>
    </row>
    <row r="1957">
      <c r="B1957" s="64"/>
      <c r="C1957" s="64"/>
      <c r="D1957" s="64"/>
      <c r="E1957" s="64"/>
      <c r="F1957" s="64"/>
    </row>
    <row r="1958">
      <c r="B1958" s="64"/>
      <c r="C1958" s="64"/>
      <c r="D1958" s="64"/>
      <c r="E1958" s="64"/>
      <c r="F1958" s="64"/>
    </row>
    <row r="1959">
      <c r="B1959" s="64"/>
      <c r="C1959" s="64"/>
      <c r="D1959" s="64"/>
      <c r="E1959" s="64"/>
      <c r="F1959" s="64"/>
    </row>
    <row r="1960">
      <c r="B1960" s="64"/>
      <c r="C1960" s="64"/>
      <c r="D1960" s="64"/>
      <c r="E1960" s="64"/>
      <c r="F1960" s="64"/>
    </row>
    <row r="1961">
      <c r="B1961" s="64"/>
      <c r="C1961" s="64"/>
      <c r="D1961" s="64"/>
      <c r="E1961" s="64"/>
      <c r="F1961" s="64"/>
    </row>
    <row r="1962">
      <c r="B1962" s="64"/>
      <c r="C1962" s="64"/>
      <c r="D1962" s="64"/>
      <c r="E1962" s="64"/>
      <c r="F1962" s="64"/>
    </row>
    <row r="1963">
      <c r="B1963" s="64"/>
      <c r="C1963" s="64"/>
      <c r="D1963" s="64"/>
      <c r="E1963" s="64"/>
      <c r="F1963" s="64"/>
    </row>
    <row r="1964">
      <c r="B1964" s="64"/>
      <c r="C1964" s="64"/>
      <c r="D1964" s="64"/>
      <c r="E1964" s="64"/>
      <c r="F1964" s="64"/>
    </row>
    <row r="1965">
      <c r="B1965" s="64"/>
      <c r="C1965" s="64"/>
      <c r="D1965" s="64"/>
      <c r="E1965" s="64"/>
      <c r="F1965" s="64"/>
    </row>
    <row r="1966">
      <c r="B1966" s="64"/>
      <c r="C1966" s="64"/>
      <c r="D1966" s="64"/>
      <c r="E1966" s="64"/>
      <c r="F1966" s="64"/>
    </row>
    <row r="1967">
      <c r="B1967" s="64"/>
      <c r="C1967" s="64"/>
      <c r="D1967" s="64"/>
      <c r="E1967" s="64"/>
      <c r="F1967" s="64"/>
    </row>
    <row r="1968">
      <c r="B1968" s="64"/>
      <c r="C1968" s="64"/>
      <c r="D1968" s="64"/>
      <c r="E1968" s="64"/>
      <c r="F1968" s="64"/>
    </row>
    <row r="1969">
      <c r="B1969" s="64"/>
      <c r="C1969" s="64"/>
      <c r="D1969" s="64"/>
      <c r="E1969" s="64"/>
      <c r="F1969" s="64"/>
    </row>
    <row r="1970">
      <c r="B1970" s="64"/>
      <c r="C1970" s="64"/>
      <c r="D1970" s="64"/>
      <c r="E1970" s="64"/>
      <c r="F1970" s="64"/>
    </row>
    <row r="1971">
      <c r="B1971" s="64"/>
      <c r="C1971" s="64"/>
      <c r="D1971" s="64"/>
      <c r="E1971" s="64"/>
      <c r="F1971" s="64"/>
    </row>
    <row r="1972">
      <c r="B1972" s="64"/>
      <c r="C1972" s="64"/>
      <c r="D1972" s="64"/>
      <c r="E1972" s="64"/>
      <c r="F1972" s="64"/>
    </row>
    <row r="1973">
      <c r="B1973" s="64"/>
      <c r="C1973" s="64"/>
      <c r="D1973" s="64"/>
      <c r="E1973" s="64"/>
      <c r="F1973" s="64"/>
    </row>
    <row r="1974">
      <c r="B1974" s="64"/>
      <c r="C1974" s="64"/>
      <c r="D1974" s="64"/>
      <c r="E1974" s="64"/>
      <c r="F1974" s="64"/>
    </row>
    <row r="1975">
      <c r="B1975" s="64"/>
      <c r="C1975" s="64"/>
      <c r="D1975" s="64"/>
      <c r="E1975" s="64"/>
      <c r="F1975" s="64"/>
    </row>
    <row r="1976">
      <c r="B1976" s="64"/>
      <c r="C1976" s="64"/>
      <c r="D1976" s="64"/>
      <c r="E1976" s="64"/>
      <c r="F1976" s="64"/>
    </row>
    <row r="1977">
      <c r="B1977" s="64"/>
      <c r="C1977" s="64"/>
      <c r="D1977" s="64"/>
      <c r="E1977" s="64"/>
      <c r="F1977" s="64"/>
    </row>
    <row r="1978">
      <c r="B1978" s="64"/>
      <c r="C1978" s="64"/>
      <c r="D1978" s="64"/>
      <c r="E1978" s="64"/>
      <c r="F1978" s="64"/>
    </row>
    <row r="1979">
      <c r="B1979" s="64"/>
      <c r="C1979" s="64"/>
      <c r="D1979" s="64"/>
      <c r="E1979" s="64"/>
      <c r="F1979" s="64"/>
    </row>
    <row r="1980">
      <c r="B1980" s="64"/>
      <c r="C1980" s="64"/>
      <c r="D1980" s="64"/>
      <c r="E1980" s="64"/>
      <c r="F1980" s="64"/>
    </row>
    <row r="1981">
      <c r="B1981" s="64"/>
      <c r="C1981" s="64"/>
      <c r="D1981" s="64"/>
      <c r="E1981" s="64"/>
      <c r="F1981" s="64"/>
    </row>
    <row r="1982">
      <c r="B1982" s="64"/>
      <c r="C1982" s="64"/>
      <c r="D1982" s="64"/>
      <c r="E1982" s="64"/>
      <c r="F1982" s="64"/>
    </row>
    <row r="1983">
      <c r="B1983" s="64"/>
      <c r="C1983" s="64"/>
      <c r="D1983" s="64"/>
      <c r="E1983" s="64"/>
      <c r="F1983" s="64"/>
    </row>
    <row r="1984">
      <c r="B1984" s="64"/>
      <c r="C1984" s="64"/>
      <c r="D1984" s="64"/>
      <c r="E1984" s="64"/>
      <c r="F1984" s="64"/>
    </row>
    <row r="1985">
      <c r="B1985" s="64"/>
      <c r="C1985" s="64"/>
      <c r="D1985" s="64"/>
      <c r="E1985" s="64"/>
      <c r="F1985" s="64"/>
    </row>
    <row r="1986">
      <c r="B1986" s="64"/>
      <c r="C1986" s="64"/>
      <c r="D1986" s="64"/>
      <c r="E1986" s="64"/>
      <c r="F1986" s="64"/>
    </row>
    <row r="1987">
      <c r="B1987" s="64"/>
      <c r="C1987" s="64"/>
      <c r="D1987" s="64"/>
      <c r="E1987" s="64"/>
      <c r="F1987" s="64"/>
    </row>
    <row r="1988">
      <c r="B1988" s="64"/>
      <c r="C1988" s="64"/>
      <c r="D1988" s="64"/>
      <c r="E1988" s="64"/>
      <c r="F1988" s="64"/>
    </row>
    <row r="1989">
      <c r="B1989" s="64"/>
      <c r="C1989" s="64"/>
      <c r="D1989" s="64"/>
      <c r="E1989" s="64"/>
      <c r="F1989" s="64"/>
    </row>
    <row r="1990">
      <c r="B1990" s="64"/>
      <c r="C1990" s="64"/>
      <c r="D1990" s="64"/>
      <c r="E1990" s="64"/>
      <c r="F1990" s="64"/>
    </row>
    <row r="1991">
      <c r="B1991" s="64"/>
      <c r="C1991" s="64"/>
      <c r="D1991" s="64"/>
      <c r="E1991" s="64"/>
      <c r="F1991" s="64"/>
    </row>
    <row r="1992">
      <c r="B1992" s="64"/>
      <c r="C1992" s="64"/>
      <c r="D1992" s="64"/>
      <c r="E1992" s="64"/>
      <c r="F1992" s="64"/>
    </row>
    <row r="1993">
      <c r="B1993" s="64"/>
      <c r="C1993" s="64"/>
      <c r="D1993" s="64"/>
      <c r="E1993" s="64"/>
      <c r="F1993" s="64"/>
    </row>
    <row r="1994">
      <c r="B1994" s="64"/>
      <c r="C1994" s="64"/>
      <c r="D1994" s="64"/>
      <c r="E1994" s="64"/>
      <c r="F1994" s="64"/>
    </row>
    <row r="1995">
      <c r="B1995" s="64"/>
      <c r="C1995" s="64"/>
      <c r="D1995" s="64"/>
      <c r="E1995" s="64"/>
      <c r="F1995" s="64"/>
    </row>
    <row r="1996">
      <c r="B1996" s="64"/>
      <c r="C1996" s="64"/>
      <c r="D1996" s="64"/>
      <c r="E1996" s="64"/>
      <c r="F1996" s="64"/>
    </row>
    <row r="1997">
      <c r="B1997" s="64"/>
      <c r="C1997" s="64"/>
      <c r="D1997" s="64"/>
      <c r="E1997" s="64"/>
      <c r="F1997" s="64"/>
    </row>
    <row r="1998">
      <c r="B1998" s="64"/>
      <c r="C1998" s="64"/>
      <c r="D1998" s="64"/>
      <c r="E1998" s="64"/>
      <c r="F1998" s="64"/>
    </row>
    <row r="1999">
      <c r="B1999" s="64"/>
      <c r="C1999" s="64"/>
      <c r="D1999" s="64"/>
      <c r="E1999" s="64"/>
      <c r="F1999" s="64"/>
    </row>
    <row r="2000">
      <c r="B2000" s="64"/>
      <c r="C2000" s="64"/>
      <c r="D2000" s="64"/>
      <c r="E2000" s="64"/>
      <c r="F2000" s="64"/>
    </row>
    <row r="2001">
      <c r="B2001" s="64"/>
      <c r="C2001" s="64"/>
      <c r="D2001" s="64"/>
      <c r="E2001" s="64"/>
      <c r="F2001" s="64"/>
    </row>
    <row r="2002">
      <c r="B2002" s="64"/>
      <c r="C2002" s="64"/>
      <c r="D2002" s="64"/>
      <c r="E2002" s="64"/>
      <c r="F2002" s="64"/>
    </row>
    <row r="2003">
      <c r="B2003" s="64"/>
      <c r="C2003" s="64"/>
      <c r="D2003" s="64"/>
      <c r="E2003" s="64"/>
      <c r="F2003" s="64"/>
    </row>
    <row r="2004">
      <c r="B2004" s="64"/>
      <c r="C2004" s="64"/>
      <c r="D2004" s="64"/>
      <c r="E2004" s="64"/>
      <c r="F2004" s="64"/>
    </row>
    <row r="2005">
      <c r="B2005" s="64"/>
      <c r="C2005" s="64"/>
      <c r="D2005" s="64"/>
      <c r="E2005" s="64"/>
      <c r="F2005" s="64"/>
    </row>
    <row r="2006">
      <c r="B2006" s="64"/>
      <c r="C2006" s="64"/>
      <c r="D2006" s="64"/>
      <c r="E2006" s="64"/>
      <c r="F2006" s="64"/>
    </row>
    <row r="2007">
      <c r="B2007" s="64"/>
      <c r="C2007" s="64"/>
      <c r="D2007" s="64"/>
      <c r="E2007" s="64"/>
      <c r="F2007" s="64"/>
    </row>
    <row r="2008">
      <c r="B2008" s="64"/>
      <c r="C2008" s="64"/>
      <c r="D2008" s="64"/>
      <c r="E2008" s="64"/>
      <c r="F2008" s="64"/>
    </row>
    <row r="2009">
      <c r="B2009" s="64"/>
      <c r="C2009" s="64"/>
      <c r="D2009" s="64"/>
      <c r="E2009" s="64"/>
      <c r="F2009" s="64"/>
    </row>
    <row r="2010">
      <c r="B2010" s="64"/>
      <c r="C2010" s="64"/>
      <c r="D2010" s="64"/>
      <c r="E2010" s="64"/>
      <c r="F2010" s="64"/>
    </row>
    <row r="2011">
      <c r="B2011" s="64"/>
      <c r="C2011" s="64"/>
      <c r="D2011" s="64"/>
      <c r="E2011" s="64"/>
      <c r="F2011" s="64"/>
    </row>
    <row r="2012">
      <c r="B2012" s="64"/>
      <c r="C2012" s="64"/>
      <c r="D2012" s="64"/>
      <c r="E2012" s="64"/>
      <c r="F2012" s="64"/>
    </row>
    <row r="2013">
      <c r="B2013" s="64"/>
      <c r="C2013" s="64"/>
      <c r="D2013" s="64"/>
      <c r="E2013" s="64"/>
      <c r="F2013" s="64"/>
    </row>
    <row r="2014">
      <c r="B2014" s="64"/>
      <c r="C2014" s="64"/>
      <c r="D2014" s="64"/>
      <c r="E2014" s="64"/>
      <c r="F2014" s="64"/>
    </row>
    <row r="2015">
      <c r="B2015" s="64"/>
      <c r="C2015" s="64"/>
      <c r="D2015" s="64"/>
      <c r="E2015" s="64"/>
      <c r="F2015" s="64"/>
    </row>
    <row r="2016">
      <c r="B2016" s="64"/>
      <c r="C2016" s="64"/>
      <c r="D2016" s="64"/>
      <c r="E2016" s="64"/>
      <c r="F2016" s="64"/>
    </row>
    <row r="2017">
      <c r="B2017" s="64"/>
      <c r="C2017" s="64"/>
      <c r="D2017" s="64"/>
      <c r="E2017" s="64"/>
      <c r="F2017" s="64"/>
    </row>
    <row r="2018">
      <c r="B2018" s="64"/>
      <c r="C2018" s="64"/>
      <c r="D2018" s="64"/>
      <c r="E2018" s="64"/>
      <c r="F2018" s="64"/>
    </row>
    <row r="2019">
      <c r="B2019" s="64"/>
      <c r="C2019" s="64"/>
      <c r="D2019" s="64"/>
      <c r="E2019" s="64"/>
      <c r="F2019" s="64"/>
    </row>
    <row r="2020">
      <c r="B2020" s="64"/>
      <c r="C2020" s="64"/>
      <c r="D2020" s="64"/>
      <c r="E2020" s="64"/>
      <c r="F2020" s="64"/>
    </row>
    <row r="2021">
      <c r="B2021" s="64"/>
      <c r="C2021" s="64"/>
      <c r="D2021" s="64"/>
      <c r="E2021" s="64"/>
      <c r="F2021" s="64"/>
    </row>
    <row r="2022">
      <c r="B2022" s="64"/>
      <c r="C2022" s="64"/>
      <c r="D2022" s="64"/>
      <c r="E2022" s="64"/>
      <c r="F2022" s="64"/>
    </row>
    <row r="2023">
      <c r="B2023" s="64"/>
      <c r="C2023" s="64"/>
      <c r="D2023" s="64"/>
      <c r="E2023" s="64"/>
      <c r="F2023" s="64"/>
    </row>
    <row r="2024">
      <c r="B2024" s="64"/>
      <c r="C2024" s="64"/>
      <c r="D2024" s="64"/>
      <c r="E2024" s="64"/>
      <c r="F2024" s="64"/>
    </row>
    <row r="2025">
      <c r="B2025" s="64"/>
      <c r="C2025" s="64"/>
      <c r="D2025" s="64"/>
      <c r="E2025" s="64"/>
      <c r="F2025" s="64"/>
    </row>
    <row r="2026">
      <c r="B2026" s="64"/>
      <c r="C2026" s="64"/>
      <c r="D2026" s="64"/>
      <c r="E2026" s="64"/>
      <c r="F2026" s="64"/>
    </row>
    <row r="2027">
      <c r="B2027" s="64"/>
      <c r="C2027" s="64"/>
      <c r="D2027" s="64"/>
      <c r="E2027" s="64"/>
      <c r="F2027" s="64"/>
    </row>
    <row r="2028">
      <c r="B2028" s="64"/>
      <c r="C2028" s="64"/>
      <c r="D2028" s="64"/>
      <c r="E2028" s="64"/>
      <c r="F2028" s="64"/>
    </row>
    <row r="2029">
      <c r="B2029" s="64"/>
      <c r="C2029" s="64"/>
      <c r="D2029" s="64"/>
      <c r="E2029" s="64"/>
      <c r="F2029" s="64"/>
    </row>
    <row r="2030">
      <c r="B2030" s="64"/>
      <c r="C2030" s="64"/>
      <c r="D2030" s="64"/>
      <c r="E2030" s="64"/>
      <c r="F2030" s="64"/>
    </row>
    <row r="2031">
      <c r="B2031" s="64"/>
      <c r="C2031" s="64"/>
      <c r="D2031" s="64"/>
      <c r="E2031" s="64"/>
      <c r="F2031" s="64"/>
    </row>
    <row r="2032">
      <c r="B2032" s="64"/>
      <c r="C2032" s="64"/>
      <c r="D2032" s="64"/>
      <c r="E2032" s="64"/>
      <c r="F2032" s="64"/>
    </row>
    <row r="2033">
      <c r="B2033" s="64"/>
      <c r="C2033" s="64"/>
      <c r="D2033" s="64"/>
      <c r="E2033" s="64"/>
      <c r="F2033" s="64"/>
    </row>
    <row r="2034">
      <c r="B2034" s="64"/>
      <c r="C2034" s="64"/>
      <c r="D2034" s="64"/>
      <c r="E2034" s="64"/>
      <c r="F2034" s="64"/>
    </row>
    <row r="2035">
      <c r="B2035" s="64"/>
      <c r="C2035" s="64"/>
      <c r="D2035" s="64"/>
      <c r="E2035" s="64"/>
      <c r="F2035" s="64"/>
    </row>
    <row r="2036">
      <c r="B2036" s="64"/>
      <c r="C2036" s="64"/>
      <c r="D2036" s="64"/>
      <c r="E2036" s="64"/>
      <c r="F2036" s="64"/>
    </row>
    <row r="2037">
      <c r="B2037" s="64"/>
      <c r="C2037" s="64"/>
      <c r="D2037" s="64"/>
      <c r="E2037" s="64"/>
      <c r="F2037" s="64"/>
    </row>
    <row r="2038">
      <c r="B2038" s="64"/>
      <c r="C2038" s="64"/>
      <c r="D2038" s="64"/>
      <c r="E2038" s="64"/>
      <c r="F2038" s="64"/>
    </row>
    <row r="2039">
      <c r="B2039" s="64"/>
      <c r="C2039" s="64"/>
      <c r="D2039" s="64"/>
      <c r="E2039" s="64"/>
      <c r="F2039" s="64"/>
    </row>
    <row r="2040">
      <c r="B2040" s="64"/>
      <c r="C2040" s="64"/>
      <c r="D2040" s="64"/>
      <c r="E2040" s="64"/>
      <c r="F2040" s="64"/>
    </row>
    <row r="2041">
      <c r="B2041" s="64"/>
      <c r="C2041" s="64"/>
      <c r="D2041" s="64"/>
      <c r="E2041" s="64"/>
      <c r="F2041" s="64"/>
    </row>
    <row r="2042">
      <c r="B2042" s="64"/>
      <c r="C2042" s="64"/>
      <c r="D2042" s="64"/>
      <c r="E2042" s="64"/>
      <c r="F2042" s="64"/>
    </row>
    <row r="2043">
      <c r="B2043" s="64"/>
      <c r="C2043" s="64"/>
      <c r="D2043" s="64"/>
      <c r="E2043" s="64"/>
      <c r="F2043" s="64"/>
    </row>
    <row r="2044">
      <c r="B2044" s="64"/>
      <c r="C2044" s="64"/>
      <c r="D2044" s="64"/>
      <c r="E2044" s="64"/>
      <c r="F2044" s="64"/>
    </row>
    <row r="2045">
      <c r="B2045" s="64"/>
      <c r="C2045" s="64"/>
      <c r="D2045" s="64"/>
      <c r="E2045" s="64"/>
      <c r="F2045" s="64"/>
    </row>
    <row r="2046">
      <c r="B2046" s="64"/>
      <c r="C2046" s="64"/>
      <c r="D2046" s="64"/>
      <c r="E2046" s="64"/>
      <c r="F2046" s="64"/>
    </row>
    <row r="2047">
      <c r="B2047" s="64"/>
      <c r="C2047" s="64"/>
      <c r="D2047" s="64"/>
      <c r="E2047" s="64"/>
      <c r="F2047" s="64"/>
    </row>
    <row r="2048">
      <c r="B2048" s="64"/>
      <c r="C2048" s="64"/>
      <c r="D2048" s="64"/>
      <c r="E2048" s="64"/>
      <c r="F2048" s="64"/>
    </row>
    <row r="2049">
      <c r="B2049" s="64"/>
      <c r="C2049" s="64"/>
      <c r="D2049" s="64"/>
      <c r="E2049" s="64"/>
      <c r="F2049" s="64"/>
    </row>
    <row r="2050">
      <c r="B2050" s="64"/>
      <c r="C2050" s="64"/>
      <c r="D2050" s="64"/>
      <c r="E2050" s="64"/>
      <c r="F2050" s="64"/>
    </row>
    <row r="2051">
      <c r="B2051" s="64"/>
      <c r="C2051" s="64"/>
      <c r="D2051" s="64"/>
      <c r="E2051" s="64"/>
      <c r="F2051" s="64"/>
    </row>
    <row r="2052">
      <c r="B2052" s="64"/>
      <c r="C2052" s="64"/>
      <c r="D2052" s="64"/>
      <c r="E2052" s="64"/>
      <c r="F2052" s="64"/>
    </row>
    <row r="2053">
      <c r="B2053" s="64"/>
      <c r="C2053" s="64"/>
      <c r="D2053" s="64"/>
      <c r="E2053" s="64"/>
      <c r="F2053" s="64"/>
    </row>
    <row r="2054">
      <c r="B2054" s="64"/>
      <c r="C2054" s="64"/>
      <c r="D2054" s="64"/>
      <c r="E2054" s="64"/>
      <c r="F2054" s="64"/>
    </row>
    <row r="2055">
      <c r="B2055" s="64"/>
      <c r="C2055" s="64"/>
      <c r="D2055" s="64"/>
      <c r="E2055" s="64"/>
      <c r="F2055" s="64"/>
    </row>
    <row r="2056">
      <c r="B2056" s="64"/>
      <c r="C2056" s="64"/>
      <c r="D2056" s="64"/>
      <c r="E2056" s="64"/>
      <c r="F2056" s="64"/>
    </row>
    <row r="2057">
      <c r="B2057" s="64"/>
      <c r="C2057" s="64"/>
      <c r="D2057" s="64"/>
      <c r="E2057" s="64"/>
      <c r="F2057" s="64"/>
    </row>
    <row r="2058">
      <c r="B2058" s="64"/>
      <c r="C2058" s="64"/>
      <c r="D2058" s="64"/>
      <c r="E2058" s="64"/>
      <c r="F2058" s="64"/>
    </row>
    <row r="2059">
      <c r="B2059" s="64"/>
      <c r="C2059" s="64"/>
      <c r="D2059" s="64"/>
      <c r="E2059" s="64"/>
      <c r="F2059" s="64"/>
    </row>
    <row r="2060">
      <c r="B2060" s="64"/>
      <c r="C2060" s="64"/>
      <c r="D2060" s="64"/>
      <c r="E2060" s="64"/>
      <c r="F2060" s="64"/>
    </row>
    <row r="2061">
      <c r="B2061" s="64"/>
      <c r="C2061" s="64"/>
      <c r="D2061" s="64"/>
      <c r="E2061" s="64"/>
      <c r="F2061" s="64"/>
    </row>
    <row r="2062">
      <c r="B2062" s="64"/>
      <c r="C2062" s="64"/>
      <c r="D2062" s="64"/>
      <c r="E2062" s="64"/>
      <c r="F2062" s="64"/>
    </row>
    <row r="2063">
      <c r="B2063" s="64"/>
      <c r="C2063" s="64"/>
      <c r="D2063" s="64"/>
      <c r="E2063" s="64"/>
      <c r="F2063" s="64"/>
    </row>
    <row r="2064">
      <c r="B2064" s="64"/>
      <c r="C2064" s="64"/>
      <c r="D2064" s="64"/>
      <c r="E2064" s="64"/>
      <c r="F2064" s="64"/>
    </row>
    <row r="2065">
      <c r="B2065" s="64"/>
      <c r="C2065" s="64"/>
      <c r="D2065" s="64"/>
      <c r="E2065" s="64"/>
      <c r="F2065" s="64"/>
    </row>
    <row r="2066">
      <c r="B2066" s="64"/>
      <c r="C2066" s="64"/>
      <c r="D2066" s="64"/>
      <c r="E2066" s="64"/>
      <c r="F2066" s="64"/>
    </row>
    <row r="2067">
      <c r="B2067" s="64"/>
      <c r="C2067" s="64"/>
      <c r="D2067" s="64"/>
      <c r="E2067" s="64"/>
      <c r="F2067" s="64"/>
    </row>
    <row r="2068">
      <c r="B2068" s="64"/>
      <c r="C2068" s="64"/>
      <c r="D2068" s="64"/>
      <c r="E2068" s="64"/>
      <c r="F2068" s="64"/>
    </row>
    <row r="2069">
      <c r="B2069" s="64"/>
      <c r="C2069" s="64"/>
      <c r="D2069" s="64"/>
      <c r="E2069" s="64"/>
      <c r="F2069" s="64"/>
    </row>
    <row r="2070">
      <c r="B2070" s="64"/>
      <c r="C2070" s="64"/>
      <c r="D2070" s="64"/>
      <c r="E2070" s="64"/>
      <c r="F2070" s="64"/>
    </row>
    <row r="2071">
      <c r="B2071" s="64"/>
      <c r="C2071" s="64"/>
      <c r="D2071" s="64"/>
      <c r="E2071" s="64"/>
      <c r="F2071" s="64"/>
    </row>
    <row r="2072">
      <c r="B2072" s="64"/>
      <c r="C2072" s="64"/>
      <c r="D2072" s="64"/>
      <c r="E2072" s="64"/>
      <c r="F2072" s="64"/>
    </row>
    <row r="2073">
      <c r="B2073" s="64"/>
      <c r="C2073" s="64"/>
      <c r="D2073" s="64"/>
      <c r="E2073" s="64"/>
      <c r="F2073" s="64"/>
    </row>
    <row r="2074">
      <c r="B2074" s="64"/>
      <c r="C2074" s="64"/>
      <c r="D2074" s="64"/>
      <c r="E2074" s="64"/>
      <c r="F2074" s="64"/>
    </row>
    <row r="2075">
      <c r="B2075" s="64"/>
      <c r="C2075" s="64"/>
      <c r="D2075" s="64"/>
      <c r="E2075" s="64"/>
      <c r="F2075" s="64"/>
    </row>
    <row r="2076">
      <c r="B2076" s="64"/>
      <c r="C2076" s="64"/>
      <c r="D2076" s="64"/>
      <c r="E2076" s="64"/>
      <c r="F2076" s="64"/>
    </row>
    <row r="2077">
      <c r="B2077" s="64"/>
      <c r="C2077" s="64"/>
      <c r="D2077" s="64"/>
      <c r="E2077" s="64"/>
      <c r="F2077" s="64"/>
    </row>
    <row r="2078">
      <c r="B2078" s="64"/>
      <c r="C2078" s="64"/>
      <c r="D2078" s="64"/>
      <c r="E2078" s="64"/>
      <c r="F2078" s="64"/>
    </row>
    <row r="2079">
      <c r="B2079" s="64"/>
      <c r="C2079" s="64"/>
      <c r="D2079" s="64"/>
      <c r="E2079" s="64"/>
      <c r="F2079" s="64"/>
    </row>
    <row r="2080">
      <c r="B2080" s="64"/>
      <c r="C2080" s="64"/>
      <c r="D2080" s="64"/>
      <c r="E2080" s="64"/>
      <c r="F2080" s="64"/>
    </row>
    <row r="2081">
      <c r="B2081" s="64"/>
      <c r="C2081" s="64"/>
      <c r="D2081" s="64"/>
      <c r="E2081" s="64"/>
      <c r="F2081" s="64"/>
    </row>
    <row r="2082">
      <c r="B2082" s="64"/>
      <c r="C2082" s="64"/>
      <c r="D2082" s="64"/>
      <c r="E2082" s="64"/>
      <c r="F2082" s="64"/>
    </row>
    <row r="2083">
      <c r="B2083" s="64"/>
      <c r="C2083" s="64"/>
      <c r="D2083" s="64"/>
      <c r="E2083" s="64"/>
      <c r="F2083" s="64"/>
    </row>
    <row r="2084">
      <c r="B2084" s="64"/>
      <c r="C2084" s="64"/>
      <c r="D2084" s="64"/>
      <c r="E2084" s="64"/>
      <c r="F2084" s="64"/>
    </row>
    <row r="2085">
      <c r="B2085" s="64"/>
      <c r="C2085" s="64"/>
      <c r="D2085" s="64"/>
      <c r="E2085" s="64"/>
      <c r="F2085" s="64"/>
    </row>
    <row r="2086">
      <c r="B2086" s="64"/>
      <c r="C2086" s="64"/>
      <c r="D2086" s="64"/>
      <c r="E2086" s="64"/>
      <c r="F2086" s="64"/>
    </row>
    <row r="2087">
      <c r="B2087" s="64"/>
      <c r="C2087" s="64"/>
      <c r="D2087" s="64"/>
      <c r="E2087" s="64"/>
      <c r="F2087" s="64"/>
    </row>
    <row r="2088">
      <c r="B2088" s="64"/>
      <c r="C2088" s="64"/>
      <c r="D2088" s="64"/>
      <c r="E2088" s="64"/>
      <c r="F2088" s="64"/>
    </row>
    <row r="2089">
      <c r="B2089" s="64"/>
      <c r="C2089" s="64"/>
      <c r="D2089" s="64"/>
      <c r="E2089" s="64"/>
      <c r="F2089" s="64"/>
    </row>
    <row r="2090">
      <c r="B2090" s="64"/>
      <c r="C2090" s="64"/>
      <c r="D2090" s="64"/>
      <c r="E2090" s="64"/>
      <c r="F2090" s="64"/>
    </row>
    <row r="2091">
      <c r="B2091" s="64"/>
      <c r="C2091" s="64"/>
      <c r="D2091" s="64"/>
      <c r="E2091" s="64"/>
      <c r="F2091" s="64"/>
    </row>
    <row r="2092">
      <c r="B2092" s="64"/>
      <c r="C2092" s="64"/>
      <c r="D2092" s="64"/>
      <c r="E2092" s="64"/>
      <c r="F2092" s="64"/>
    </row>
    <row r="2093">
      <c r="B2093" s="64"/>
      <c r="C2093" s="64"/>
      <c r="D2093" s="64"/>
      <c r="E2093" s="64"/>
      <c r="F2093" s="64"/>
    </row>
    <row r="2094">
      <c r="B2094" s="64"/>
      <c r="C2094" s="64"/>
      <c r="D2094" s="64"/>
      <c r="E2094" s="64"/>
      <c r="F2094" s="64"/>
    </row>
    <row r="2095">
      <c r="B2095" s="64"/>
      <c r="C2095" s="64"/>
      <c r="D2095" s="64"/>
      <c r="E2095" s="64"/>
      <c r="F2095" s="64"/>
    </row>
    <row r="2096">
      <c r="B2096" s="64"/>
      <c r="C2096" s="64"/>
      <c r="D2096" s="64"/>
      <c r="E2096" s="64"/>
      <c r="F2096" s="64"/>
    </row>
    <row r="2097">
      <c r="B2097" s="64"/>
      <c r="C2097" s="64"/>
      <c r="D2097" s="64"/>
      <c r="E2097" s="64"/>
      <c r="F2097" s="64"/>
    </row>
    <row r="2098">
      <c r="B2098" s="64"/>
      <c r="C2098" s="64"/>
      <c r="D2098" s="64"/>
      <c r="E2098" s="64"/>
      <c r="F2098" s="64"/>
    </row>
    <row r="2099">
      <c r="B2099" s="64"/>
      <c r="C2099" s="64"/>
      <c r="D2099" s="64"/>
      <c r="E2099" s="64"/>
      <c r="F2099" s="64"/>
    </row>
    <row r="2100">
      <c r="B2100" s="64"/>
      <c r="C2100" s="64"/>
      <c r="D2100" s="64"/>
      <c r="E2100" s="64"/>
      <c r="F2100" s="64"/>
    </row>
    <row r="2101">
      <c r="B2101" s="64"/>
      <c r="C2101" s="64"/>
      <c r="D2101" s="64"/>
      <c r="E2101" s="64"/>
      <c r="F2101" s="64"/>
    </row>
    <row r="2102">
      <c r="B2102" s="64"/>
      <c r="C2102" s="64"/>
      <c r="D2102" s="64"/>
      <c r="E2102" s="64"/>
      <c r="F2102" s="64"/>
    </row>
    <row r="2103">
      <c r="B2103" s="64"/>
      <c r="C2103" s="64"/>
      <c r="D2103" s="64"/>
      <c r="E2103" s="64"/>
      <c r="F2103" s="64"/>
    </row>
    <row r="2104">
      <c r="B2104" s="64"/>
      <c r="C2104" s="64"/>
      <c r="D2104" s="64"/>
      <c r="E2104" s="64"/>
      <c r="F2104" s="64"/>
    </row>
    <row r="2105">
      <c r="B2105" s="64"/>
      <c r="C2105" s="64"/>
      <c r="D2105" s="64"/>
      <c r="E2105" s="64"/>
      <c r="F2105" s="64"/>
    </row>
    <row r="2106">
      <c r="B2106" s="64"/>
      <c r="C2106" s="64"/>
      <c r="D2106" s="64"/>
      <c r="E2106" s="64"/>
      <c r="F2106" s="64"/>
    </row>
    <row r="2107">
      <c r="B2107" s="64"/>
      <c r="C2107" s="64"/>
      <c r="D2107" s="64"/>
      <c r="E2107" s="64"/>
      <c r="F2107" s="64"/>
    </row>
    <row r="2108">
      <c r="B2108" s="64"/>
      <c r="C2108" s="64"/>
      <c r="D2108" s="64"/>
      <c r="E2108" s="64"/>
      <c r="F2108" s="64"/>
    </row>
    <row r="2109">
      <c r="B2109" s="64"/>
      <c r="C2109" s="64"/>
      <c r="D2109" s="64"/>
      <c r="E2109" s="64"/>
      <c r="F2109" s="64"/>
    </row>
    <row r="2110">
      <c r="B2110" s="64"/>
      <c r="C2110" s="64"/>
      <c r="D2110" s="64"/>
      <c r="E2110" s="64"/>
      <c r="F2110" s="64"/>
    </row>
    <row r="2111">
      <c r="B2111" s="64"/>
      <c r="C2111" s="64"/>
      <c r="D2111" s="64"/>
      <c r="E2111" s="64"/>
      <c r="F2111" s="64"/>
    </row>
    <row r="2112">
      <c r="B2112" s="64"/>
      <c r="C2112" s="64"/>
      <c r="D2112" s="64"/>
      <c r="E2112" s="64"/>
      <c r="F2112" s="64"/>
    </row>
    <row r="2113">
      <c r="B2113" s="64"/>
      <c r="C2113" s="64"/>
      <c r="D2113" s="64"/>
      <c r="E2113" s="64"/>
      <c r="F2113" s="64"/>
    </row>
    <row r="2114">
      <c r="B2114" s="64"/>
      <c r="C2114" s="64"/>
      <c r="D2114" s="64"/>
      <c r="E2114" s="64"/>
      <c r="F2114" s="64"/>
    </row>
    <row r="2115">
      <c r="B2115" s="64"/>
      <c r="C2115" s="64"/>
      <c r="D2115" s="64"/>
      <c r="E2115" s="64"/>
      <c r="F2115" s="64"/>
    </row>
    <row r="2116">
      <c r="B2116" s="64"/>
      <c r="C2116" s="64"/>
      <c r="D2116" s="64"/>
      <c r="E2116" s="64"/>
      <c r="F2116" s="64"/>
    </row>
    <row r="2117">
      <c r="B2117" s="64"/>
      <c r="C2117" s="64"/>
      <c r="D2117" s="64"/>
      <c r="E2117" s="64"/>
      <c r="F2117" s="64"/>
    </row>
    <row r="2118">
      <c r="B2118" s="64"/>
      <c r="C2118" s="64"/>
      <c r="D2118" s="64"/>
      <c r="E2118" s="64"/>
      <c r="F2118" s="64"/>
    </row>
    <row r="2119">
      <c r="B2119" s="64"/>
      <c r="C2119" s="64"/>
      <c r="D2119" s="64"/>
      <c r="E2119" s="64"/>
      <c r="F2119" s="64"/>
    </row>
    <row r="2120">
      <c r="B2120" s="64"/>
      <c r="C2120" s="64"/>
      <c r="D2120" s="64"/>
      <c r="E2120" s="64"/>
      <c r="F2120" s="64"/>
    </row>
    <row r="2121">
      <c r="B2121" s="64"/>
      <c r="C2121" s="64"/>
      <c r="D2121" s="64"/>
      <c r="E2121" s="64"/>
      <c r="F2121" s="64"/>
    </row>
    <row r="2122">
      <c r="B2122" s="64"/>
      <c r="C2122" s="64"/>
      <c r="D2122" s="64"/>
      <c r="E2122" s="64"/>
      <c r="F2122" s="64"/>
    </row>
    <row r="2123">
      <c r="B2123" s="64"/>
      <c r="C2123" s="64"/>
      <c r="D2123" s="64"/>
      <c r="E2123" s="64"/>
      <c r="F2123" s="64"/>
    </row>
    <row r="2124">
      <c r="B2124" s="64"/>
      <c r="C2124" s="64"/>
      <c r="D2124" s="64"/>
      <c r="E2124" s="64"/>
      <c r="F2124" s="64"/>
    </row>
    <row r="2125">
      <c r="B2125" s="64"/>
      <c r="C2125" s="64"/>
      <c r="D2125" s="64"/>
      <c r="E2125" s="64"/>
      <c r="F2125" s="64"/>
    </row>
    <row r="2126">
      <c r="B2126" s="64"/>
      <c r="C2126" s="64"/>
      <c r="D2126" s="64"/>
      <c r="E2126" s="64"/>
      <c r="F2126" s="64"/>
    </row>
    <row r="2127">
      <c r="B2127" s="64"/>
      <c r="C2127" s="64"/>
      <c r="D2127" s="64"/>
      <c r="E2127" s="64"/>
      <c r="F2127" s="64"/>
    </row>
    <row r="2128">
      <c r="B2128" s="64"/>
      <c r="C2128" s="64"/>
      <c r="D2128" s="64"/>
      <c r="E2128" s="64"/>
      <c r="F2128" s="64"/>
    </row>
    <row r="2129">
      <c r="B2129" s="64"/>
      <c r="C2129" s="64"/>
      <c r="D2129" s="64"/>
      <c r="E2129" s="64"/>
      <c r="F2129" s="64"/>
    </row>
    <row r="2130">
      <c r="B2130" s="64"/>
      <c r="C2130" s="64"/>
      <c r="D2130" s="64"/>
      <c r="E2130" s="64"/>
      <c r="F2130" s="64"/>
    </row>
    <row r="2131">
      <c r="B2131" s="64"/>
      <c r="C2131" s="64"/>
      <c r="D2131" s="64"/>
      <c r="E2131" s="64"/>
      <c r="F2131" s="64"/>
    </row>
    <row r="2132">
      <c r="B2132" s="64"/>
      <c r="C2132" s="64"/>
      <c r="D2132" s="64"/>
      <c r="E2132" s="64"/>
      <c r="F2132" s="64"/>
    </row>
    <row r="2133">
      <c r="B2133" s="64"/>
      <c r="C2133" s="64"/>
      <c r="D2133" s="64"/>
      <c r="E2133" s="64"/>
      <c r="F2133" s="64"/>
    </row>
    <row r="2134">
      <c r="B2134" s="64"/>
      <c r="C2134" s="64"/>
      <c r="D2134" s="64"/>
      <c r="E2134" s="64"/>
      <c r="F2134" s="64"/>
    </row>
    <row r="2135">
      <c r="B2135" s="64"/>
      <c r="C2135" s="64"/>
      <c r="D2135" s="64"/>
      <c r="E2135" s="64"/>
      <c r="F2135" s="64"/>
    </row>
    <row r="2136">
      <c r="B2136" s="64"/>
      <c r="C2136" s="64"/>
      <c r="D2136" s="64"/>
      <c r="E2136" s="64"/>
      <c r="F2136" s="64"/>
    </row>
    <row r="2137">
      <c r="B2137" s="64"/>
      <c r="C2137" s="64"/>
      <c r="D2137" s="64"/>
      <c r="E2137" s="64"/>
      <c r="F2137" s="64"/>
    </row>
    <row r="2138">
      <c r="B2138" s="64"/>
      <c r="C2138" s="64"/>
      <c r="D2138" s="64"/>
      <c r="E2138" s="64"/>
      <c r="F2138" s="64"/>
    </row>
    <row r="2139">
      <c r="B2139" s="64"/>
      <c r="C2139" s="64"/>
      <c r="D2139" s="64"/>
      <c r="E2139" s="64"/>
      <c r="F2139" s="64"/>
    </row>
    <row r="2140">
      <c r="B2140" s="64"/>
      <c r="C2140" s="64"/>
      <c r="D2140" s="64"/>
      <c r="E2140" s="64"/>
      <c r="F2140" s="64"/>
    </row>
    <row r="2141">
      <c r="B2141" s="64"/>
      <c r="C2141" s="64"/>
      <c r="D2141" s="64"/>
      <c r="E2141" s="64"/>
      <c r="F2141" s="64"/>
    </row>
    <row r="2142">
      <c r="B2142" s="64"/>
      <c r="C2142" s="64"/>
      <c r="D2142" s="64"/>
      <c r="E2142" s="64"/>
      <c r="F2142" s="64"/>
    </row>
    <row r="2143">
      <c r="B2143" s="64"/>
      <c r="C2143" s="64"/>
      <c r="D2143" s="64"/>
      <c r="E2143" s="64"/>
      <c r="F2143" s="64"/>
    </row>
    <row r="2144">
      <c r="B2144" s="64"/>
      <c r="C2144" s="64"/>
      <c r="D2144" s="64"/>
      <c r="E2144" s="64"/>
      <c r="F2144" s="64"/>
    </row>
    <row r="2145">
      <c r="B2145" s="64"/>
      <c r="C2145" s="64"/>
      <c r="D2145" s="64"/>
      <c r="E2145" s="64"/>
      <c r="F2145" s="64"/>
    </row>
    <row r="2146">
      <c r="B2146" s="64"/>
      <c r="C2146" s="64"/>
      <c r="D2146" s="64"/>
      <c r="E2146" s="64"/>
      <c r="F2146" s="64"/>
    </row>
    <row r="2147">
      <c r="B2147" s="64"/>
      <c r="C2147" s="64"/>
      <c r="D2147" s="64"/>
      <c r="E2147" s="64"/>
      <c r="F2147" s="64"/>
    </row>
    <row r="2148">
      <c r="B2148" s="64"/>
      <c r="C2148" s="64"/>
      <c r="D2148" s="64"/>
      <c r="E2148" s="64"/>
      <c r="F2148" s="64"/>
    </row>
    <row r="2149">
      <c r="B2149" s="64"/>
      <c r="C2149" s="64"/>
      <c r="D2149" s="64"/>
      <c r="E2149" s="64"/>
      <c r="F2149" s="64"/>
    </row>
    <row r="2150">
      <c r="B2150" s="64"/>
      <c r="C2150" s="64"/>
      <c r="D2150" s="64"/>
      <c r="E2150" s="64"/>
      <c r="F2150" s="64"/>
    </row>
    <row r="2151">
      <c r="B2151" s="64"/>
      <c r="C2151" s="64"/>
      <c r="D2151" s="64"/>
      <c r="E2151" s="64"/>
      <c r="F2151" s="64"/>
    </row>
    <row r="2152">
      <c r="B2152" s="64"/>
      <c r="C2152" s="64"/>
      <c r="D2152" s="64"/>
      <c r="E2152" s="64"/>
      <c r="F2152" s="64"/>
    </row>
    <row r="2153">
      <c r="B2153" s="64"/>
      <c r="C2153" s="64"/>
      <c r="D2153" s="64"/>
      <c r="E2153" s="64"/>
      <c r="F2153" s="64"/>
    </row>
    <row r="2154">
      <c r="B2154" s="64"/>
      <c r="C2154" s="64"/>
      <c r="D2154" s="64"/>
      <c r="E2154" s="64"/>
      <c r="F2154" s="64"/>
    </row>
    <row r="2155">
      <c r="B2155" s="64"/>
      <c r="C2155" s="64"/>
      <c r="D2155" s="64"/>
      <c r="E2155" s="64"/>
      <c r="F2155" s="64"/>
    </row>
    <row r="2156">
      <c r="B2156" s="64"/>
      <c r="C2156" s="64"/>
      <c r="D2156" s="64"/>
      <c r="E2156" s="64"/>
      <c r="F2156" s="64"/>
    </row>
    <row r="2157">
      <c r="B2157" s="64"/>
      <c r="C2157" s="64"/>
      <c r="D2157" s="64"/>
      <c r="E2157" s="64"/>
      <c r="F2157" s="64"/>
    </row>
    <row r="2158">
      <c r="B2158" s="64"/>
      <c r="C2158" s="64"/>
      <c r="D2158" s="64"/>
      <c r="E2158" s="64"/>
      <c r="F2158" s="64"/>
    </row>
    <row r="2159">
      <c r="B2159" s="64"/>
      <c r="C2159" s="64"/>
      <c r="D2159" s="64"/>
      <c r="E2159" s="64"/>
      <c r="F2159" s="64"/>
    </row>
    <row r="2160">
      <c r="B2160" s="64"/>
      <c r="C2160" s="64"/>
      <c r="D2160" s="64"/>
      <c r="E2160" s="64"/>
      <c r="F2160" s="64"/>
    </row>
    <row r="2161">
      <c r="B2161" s="64"/>
      <c r="C2161" s="64"/>
      <c r="D2161" s="64"/>
      <c r="E2161" s="64"/>
      <c r="F2161" s="64"/>
    </row>
    <row r="2162">
      <c r="B2162" s="64"/>
      <c r="C2162" s="64"/>
      <c r="D2162" s="64"/>
      <c r="E2162" s="64"/>
      <c r="F2162" s="64"/>
    </row>
    <row r="2163">
      <c r="B2163" s="64"/>
      <c r="C2163" s="64"/>
      <c r="D2163" s="64"/>
      <c r="E2163" s="64"/>
      <c r="F2163" s="64"/>
    </row>
    <row r="2164">
      <c r="B2164" s="64"/>
      <c r="C2164" s="64"/>
      <c r="D2164" s="64"/>
      <c r="E2164" s="64"/>
      <c r="F2164" s="64"/>
    </row>
    <row r="2165">
      <c r="B2165" s="64"/>
      <c r="C2165" s="64"/>
      <c r="D2165" s="64"/>
      <c r="E2165" s="64"/>
      <c r="F2165" s="64"/>
    </row>
    <row r="2166">
      <c r="B2166" s="64"/>
      <c r="C2166" s="64"/>
      <c r="D2166" s="64"/>
      <c r="E2166" s="64"/>
      <c r="F2166" s="64"/>
    </row>
    <row r="2167">
      <c r="B2167" s="64"/>
      <c r="C2167" s="64"/>
      <c r="D2167" s="64"/>
      <c r="E2167" s="64"/>
      <c r="F2167" s="64"/>
    </row>
    <row r="2168">
      <c r="B2168" s="64"/>
      <c r="C2168" s="64"/>
      <c r="D2168" s="64"/>
      <c r="E2168" s="64"/>
      <c r="F2168" s="64"/>
    </row>
    <row r="2169">
      <c r="B2169" s="64"/>
      <c r="C2169" s="64"/>
      <c r="D2169" s="64"/>
      <c r="E2169" s="64"/>
      <c r="F2169" s="64"/>
    </row>
    <row r="2170">
      <c r="B2170" s="64"/>
      <c r="C2170" s="64"/>
      <c r="D2170" s="64"/>
      <c r="E2170" s="64"/>
      <c r="F2170" s="64"/>
    </row>
    <row r="2171">
      <c r="B2171" s="64"/>
      <c r="C2171" s="64"/>
      <c r="D2171" s="64"/>
      <c r="E2171" s="64"/>
      <c r="F2171" s="64"/>
    </row>
    <row r="2172">
      <c r="B2172" s="64"/>
      <c r="C2172" s="64"/>
      <c r="D2172" s="64"/>
      <c r="E2172" s="64"/>
      <c r="F2172" s="64"/>
    </row>
    <row r="2173">
      <c r="B2173" s="64"/>
      <c r="C2173" s="64"/>
      <c r="D2173" s="64"/>
      <c r="E2173" s="64"/>
      <c r="F2173" s="64"/>
    </row>
    <row r="2174">
      <c r="B2174" s="64"/>
      <c r="C2174" s="64"/>
      <c r="D2174" s="64"/>
      <c r="E2174" s="64"/>
      <c r="F2174" s="64"/>
    </row>
    <row r="2175">
      <c r="B2175" s="64"/>
      <c r="C2175" s="64"/>
      <c r="D2175" s="64"/>
      <c r="E2175" s="64"/>
      <c r="F2175" s="64"/>
    </row>
    <row r="2176">
      <c r="B2176" s="64"/>
      <c r="C2176" s="64"/>
      <c r="D2176" s="64"/>
      <c r="E2176" s="64"/>
      <c r="F2176" s="64"/>
    </row>
    <row r="2177">
      <c r="B2177" s="64"/>
      <c r="C2177" s="64"/>
      <c r="D2177" s="64"/>
      <c r="E2177" s="64"/>
      <c r="F2177" s="64"/>
    </row>
    <row r="2178">
      <c r="B2178" s="64"/>
      <c r="C2178" s="64"/>
      <c r="D2178" s="64"/>
      <c r="E2178" s="64"/>
      <c r="F2178" s="64"/>
    </row>
    <row r="2179">
      <c r="B2179" s="64"/>
      <c r="C2179" s="64"/>
      <c r="D2179" s="64"/>
      <c r="E2179" s="64"/>
      <c r="F2179" s="64"/>
    </row>
    <row r="2180">
      <c r="B2180" s="64"/>
      <c r="C2180" s="64"/>
      <c r="D2180" s="64"/>
      <c r="E2180" s="64"/>
      <c r="F2180" s="64"/>
    </row>
    <row r="2181">
      <c r="B2181" s="64"/>
      <c r="C2181" s="64"/>
      <c r="D2181" s="64"/>
      <c r="E2181" s="64"/>
      <c r="F2181" s="64"/>
    </row>
    <row r="2182">
      <c r="B2182" s="64"/>
      <c r="C2182" s="64"/>
      <c r="D2182" s="64"/>
      <c r="E2182" s="64"/>
      <c r="F2182" s="64"/>
    </row>
    <row r="2183">
      <c r="B2183" s="64"/>
      <c r="C2183" s="64"/>
      <c r="D2183" s="64"/>
      <c r="E2183" s="64"/>
      <c r="F2183" s="64"/>
    </row>
    <row r="2184">
      <c r="B2184" s="64"/>
      <c r="C2184" s="64"/>
      <c r="D2184" s="64"/>
      <c r="E2184" s="64"/>
      <c r="F2184" s="64"/>
    </row>
    <row r="2185">
      <c r="B2185" s="64"/>
      <c r="C2185" s="64"/>
      <c r="D2185" s="64"/>
      <c r="E2185" s="64"/>
      <c r="F2185" s="64"/>
    </row>
    <row r="2186">
      <c r="B2186" s="64"/>
      <c r="C2186" s="64"/>
      <c r="D2186" s="64"/>
      <c r="E2186" s="64"/>
      <c r="F2186" s="64"/>
    </row>
    <row r="2187">
      <c r="B2187" s="64"/>
      <c r="C2187" s="64"/>
      <c r="D2187" s="64"/>
      <c r="E2187" s="64"/>
      <c r="F2187" s="64"/>
    </row>
    <row r="2188">
      <c r="B2188" s="64"/>
      <c r="C2188" s="64"/>
      <c r="D2188" s="64"/>
      <c r="E2188" s="64"/>
      <c r="F2188" s="64"/>
    </row>
    <row r="2189">
      <c r="B2189" s="64"/>
      <c r="C2189" s="64"/>
      <c r="D2189" s="64"/>
      <c r="E2189" s="64"/>
      <c r="F2189" s="64"/>
    </row>
    <row r="2190">
      <c r="B2190" s="64"/>
      <c r="C2190" s="64"/>
      <c r="D2190" s="64"/>
      <c r="E2190" s="64"/>
      <c r="F2190" s="64"/>
    </row>
    <row r="2191">
      <c r="B2191" s="64"/>
      <c r="C2191" s="64"/>
      <c r="D2191" s="64"/>
      <c r="E2191" s="64"/>
      <c r="F2191" s="64"/>
    </row>
    <row r="2192">
      <c r="B2192" s="64"/>
      <c r="C2192" s="64"/>
      <c r="D2192" s="64"/>
      <c r="E2192" s="64"/>
      <c r="F2192" s="64"/>
    </row>
    <row r="2193">
      <c r="B2193" s="64"/>
      <c r="C2193" s="64"/>
      <c r="D2193" s="64"/>
      <c r="E2193" s="64"/>
      <c r="F2193" s="64"/>
    </row>
    <row r="2194">
      <c r="B2194" s="64"/>
      <c r="C2194" s="64"/>
      <c r="D2194" s="64"/>
      <c r="E2194" s="64"/>
      <c r="F2194" s="64"/>
    </row>
    <row r="2195">
      <c r="B2195" s="64"/>
      <c r="C2195" s="64"/>
      <c r="D2195" s="64"/>
      <c r="E2195" s="64"/>
      <c r="F2195" s="64"/>
    </row>
    <row r="2196">
      <c r="B2196" s="64"/>
      <c r="C2196" s="64"/>
      <c r="D2196" s="64"/>
      <c r="E2196" s="64"/>
      <c r="F2196" s="64"/>
    </row>
    <row r="2197">
      <c r="B2197" s="64"/>
      <c r="C2197" s="64"/>
      <c r="D2197" s="64"/>
      <c r="E2197" s="64"/>
      <c r="F2197" s="64"/>
    </row>
    <row r="2198">
      <c r="B2198" s="64"/>
      <c r="C2198" s="64"/>
      <c r="D2198" s="64"/>
      <c r="E2198" s="64"/>
      <c r="F2198" s="64"/>
    </row>
    <row r="2199">
      <c r="B2199" s="64"/>
      <c r="C2199" s="64"/>
      <c r="D2199" s="64"/>
      <c r="E2199" s="64"/>
      <c r="F2199" s="64"/>
    </row>
    <row r="2200">
      <c r="B2200" s="64"/>
      <c r="C2200" s="64"/>
      <c r="D2200" s="64"/>
      <c r="E2200" s="64"/>
      <c r="F2200" s="64"/>
    </row>
    <row r="2201">
      <c r="B2201" s="64"/>
      <c r="C2201" s="64"/>
      <c r="D2201" s="64"/>
      <c r="E2201" s="64"/>
      <c r="F2201" s="64"/>
    </row>
    <row r="2202">
      <c r="B2202" s="64"/>
      <c r="C2202" s="64"/>
      <c r="D2202" s="64"/>
      <c r="E2202" s="64"/>
      <c r="F2202" s="64"/>
    </row>
    <row r="2203">
      <c r="B2203" s="64"/>
      <c r="C2203" s="64"/>
      <c r="D2203" s="64"/>
      <c r="E2203" s="64"/>
      <c r="F2203" s="64"/>
    </row>
    <row r="2204">
      <c r="B2204" s="64"/>
      <c r="C2204" s="64"/>
      <c r="D2204" s="64"/>
      <c r="E2204" s="64"/>
      <c r="F2204" s="64"/>
    </row>
    <row r="2205">
      <c r="B2205" s="64"/>
      <c r="C2205" s="64"/>
      <c r="D2205" s="64"/>
      <c r="E2205" s="64"/>
      <c r="F2205" s="64"/>
    </row>
    <row r="2206">
      <c r="B2206" s="64"/>
      <c r="C2206" s="64"/>
      <c r="D2206" s="64"/>
      <c r="E2206" s="64"/>
      <c r="F2206" s="64"/>
    </row>
    <row r="2207">
      <c r="B2207" s="64"/>
      <c r="C2207" s="64"/>
      <c r="D2207" s="64"/>
      <c r="E2207" s="64"/>
      <c r="F2207" s="64"/>
    </row>
    <row r="2208">
      <c r="B2208" s="64"/>
      <c r="C2208" s="64"/>
      <c r="D2208" s="64"/>
      <c r="E2208" s="64"/>
      <c r="F2208" s="64"/>
    </row>
    <row r="2209">
      <c r="B2209" s="64"/>
      <c r="C2209" s="64"/>
      <c r="D2209" s="64"/>
      <c r="E2209" s="64"/>
      <c r="F2209" s="64"/>
    </row>
    <row r="2210">
      <c r="B2210" s="64"/>
      <c r="C2210" s="64"/>
      <c r="D2210" s="64"/>
      <c r="E2210" s="64"/>
      <c r="F2210" s="64"/>
    </row>
    <row r="2211">
      <c r="B2211" s="64"/>
      <c r="C2211" s="64"/>
      <c r="D2211" s="64"/>
      <c r="E2211" s="64"/>
      <c r="F2211" s="64"/>
    </row>
    <row r="2212">
      <c r="B2212" s="64"/>
      <c r="C2212" s="64"/>
      <c r="D2212" s="64"/>
      <c r="E2212" s="64"/>
      <c r="F2212" s="64"/>
    </row>
    <row r="2213">
      <c r="B2213" s="64"/>
      <c r="C2213" s="64"/>
      <c r="D2213" s="64"/>
      <c r="E2213" s="64"/>
      <c r="F2213" s="64"/>
    </row>
    <row r="2214">
      <c r="B2214" s="64"/>
      <c r="C2214" s="64"/>
      <c r="D2214" s="64"/>
      <c r="E2214" s="64"/>
      <c r="F2214" s="64"/>
    </row>
    <row r="2215">
      <c r="B2215" s="64"/>
      <c r="C2215" s="64"/>
      <c r="D2215" s="64"/>
      <c r="E2215" s="64"/>
      <c r="F2215" s="64"/>
    </row>
    <row r="2216">
      <c r="B2216" s="64"/>
      <c r="C2216" s="64"/>
      <c r="D2216" s="64"/>
      <c r="E2216" s="64"/>
      <c r="F2216" s="64"/>
    </row>
    <row r="2217">
      <c r="B2217" s="64"/>
      <c r="C2217" s="64"/>
      <c r="D2217" s="64"/>
      <c r="E2217" s="64"/>
      <c r="F2217" s="64"/>
    </row>
    <row r="2218">
      <c r="B2218" s="64"/>
      <c r="C2218" s="64"/>
      <c r="D2218" s="64"/>
      <c r="E2218" s="64"/>
      <c r="F2218" s="64"/>
    </row>
    <row r="2219">
      <c r="B2219" s="64"/>
      <c r="C2219" s="64"/>
      <c r="D2219" s="64"/>
      <c r="E2219" s="64"/>
      <c r="F2219" s="64"/>
    </row>
    <row r="2220">
      <c r="B2220" s="64"/>
      <c r="C2220" s="64"/>
      <c r="D2220" s="64"/>
      <c r="E2220" s="64"/>
      <c r="F2220" s="64"/>
    </row>
    <row r="2221">
      <c r="B2221" s="64"/>
      <c r="C2221" s="64"/>
      <c r="D2221" s="64"/>
      <c r="E2221" s="64"/>
      <c r="F2221" s="64"/>
    </row>
    <row r="2222">
      <c r="B2222" s="64"/>
      <c r="C2222" s="64"/>
      <c r="D2222" s="64"/>
      <c r="E2222" s="64"/>
      <c r="F2222" s="64"/>
    </row>
    <row r="2223">
      <c r="B2223" s="64"/>
      <c r="C2223" s="64"/>
      <c r="D2223" s="64"/>
      <c r="E2223" s="64"/>
      <c r="F2223" s="64"/>
    </row>
    <row r="2224">
      <c r="B2224" s="64"/>
      <c r="C2224" s="64"/>
      <c r="D2224" s="64"/>
      <c r="E2224" s="64"/>
      <c r="F2224" s="64"/>
    </row>
    <row r="2225">
      <c r="B2225" s="64"/>
      <c r="C2225" s="64"/>
      <c r="D2225" s="64"/>
      <c r="E2225" s="64"/>
      <c r="F2225" s="64"/>
    </row>
    <row r="2226">
      <c r="B2226" s="64"/>
      <c r="C2226" s="64"/>
      <c r="D2226" s="64"/>
      <c r="E2226" s="64"/>
      <c r="F2226" s="64"/>
    </row>
    <row r="2227">
      <c r="B2227" s="64"/>
      <c r="C2227" s="64"/>
      <c r="D2227" s="64"/>
      <c r="E2227" s="64"/>
      <c r="F2227" s="64"/>
    </row>
    <row r="2228">
      <c r="B2228" s="64"/>
      <c r="C2228" s="64"/>
      <c r="D2228" s="64"/>
      <c r="E2228" s="64"/>
      <c r="F2228" s="64"/>
    </row>
    <row r="2229">
      <c r="B2229" s="64"/>
      <c r="C2229" s="64"/>
      <c r="D2229" s="64"/>
      <c r="E2229" s="64"/>
      <c r="F2229" s="64"/>
    </row>
    <row r="2230">
      <c r="B2230" s="64"/>
      <c r="C2230" s="64"/>
      <c r="D2230" s="64"/>
      <c r="E2230" s="64"/>
      <c r="F2230" s="64"/>
    </row>
    <row r="2231">
      <c r="B2231" s="64"/>
      <c r="C2231" s="64"/>
      <c r="D2231" s="64"/>
      <c r="E2231" s="64"/>
      <c r="F2231" s="64"/>
    </row>
    <row r="2232">
      <c r="B2232" s="64"/>
      <c r="C2232" s="64"/>
      <c r="D2232" s="64"/>
      <c r="E2232" s="64"/>
      <c r="F2232" s="64"/>
    </row>
    <row r="2233">
      <c r="B2233" s="64"/>
      <c r="C2233" s="64"/>
      <c r="D2233" s="64"/>
      <c r="E2233" s="64"/>
      <c r="F2233" s="64"/>
    </row>
    <row r="2234">
      <c r="B2234" s="64"/>
      <c r="C2234" s="64"/>
      <c r="D2234" s="64"/>
      <c r="E2234" s="64"/>
      <c r="F2234" s="64"/>
    </row>
    <row r="2235">
      <c r="B2235" s="64"/>
      <c r="C2235" s="64"/>
      <c r="D2235" s="64"/>
      <c r="E2235" s="64"/>
      <c r="F2235" s="64"/>
    </row>
    <row r="2236">
      <c r="B2236" s="64"/>
      <c r="C2236" s="64"/>
      <c r="D2236" s="64"/>
      <c r="E2236" s="64"/>
      <c r="F2236" s="64"/>
    </row>
    <row r="2237">
      <c r="B2237" s="64"/>
      <c r="C2237" s="64"/>
      <c r="D2237" s="64"/>
      <c r="E2237" s="64"/>
      <c r="F2237" s="64"/>
    </row>
    <row r="2238">
      <c r="B2238" s="64"/>
      <c r="C2238" s="64"/>
      <c r="D2238" s="64"/>
      <c r="E2238" s="64"/>
      <c r="F2238" s="64"/>
    </row>
    <row r="2239">
      <c r="B2239" s="64"/>
      <c r="C2239" s="64"/>
      <c r="D2239" s="64"/>
      <c r="E2239" s="64"/>
      <c r="F2239" s="64"/>
    </row>
    <row r="2240">
      <c r="B2240" s="64"/>
      <c r="C2240" s="64"/>
      <c r="D2240" s="64"/>
      <c r="E2240" s="64"/>
      <c r="F2240" s="64"/>
    </row>
    <row r="2241">
      <c r="B2241" s="64"/>
      <c r="C2241" s="64"/>
      <c r="D2241" s="64"/>
      <c r="E2241" s="64"/>
      <c r="F2241" s="64"/>
    </row>
    <row r="2242">
      <c r="B2242" s="64"/>
      <c r="C2242" s="64"/>
      <c r="D2242" s="64"/>
      <c r="E2242" s="64"/>
      <c r="F2242" s="64"/>
    </row>
    <row r="2243">
      <c r="B2243" s="64"/>
      <c r="C2243" s="64"/>
      <c r="D2243" s="64"/>
      <c r="E2243" s="64"/>
      <c r="F2243" s="64"/>
    </row>
    <row r="2244">
      <c r="B2244" s="64"/>
      <c r="C2244" s="64"/>
      <c r="D2244" s="64"/>
      <c r="E2244" s="64"/>
      <c r="F2244" s="64"/>
    </row>
    <row r="2245">
      <c r="B2245" s="64"/>
      <c r="C2245" s="64"/>
      <c r="D2245" s="64"/>
      <c r="E2245" s="64"/>
      <c r="F2245" s="64"/>
    </row>
    <row r="2246">
      <c r="B2246" s="64"/>
      <c r="C2246" s="64"/>
      <c r="D2246" s="64"/>
      <c r="E2246" s="64"/>
      <c r="F2246" s="64"/>
    </row>
    <row r="2247">
      <c r="B2247" s="64"/>
      <c r="C2247" s="64"/>
      <c r="D2247" s="64"/>
      <c r="E2247" s="64"/>
      <c r="F2247" s="64"/>
    </row>
    <row r="2248">
      <c r="B2248" s="64"/>
      <c r="C2248" s="64"/>
      <c r="D2248" s="64"/>
      <c r="E2248" s="64"/>
      <c r="F2248" s="64"/>
    </row>
    <row r="2249">
      <c r="B2249" s="64"/>
      <c r="C2249" s="64"/>
      <c r="D2249" s="64"/>
      <c r="E2249" s="64"/>
      <c r="F2249" s="64"/>
    </row>
    <row r="2250">
      <c r="B2250" s="64"/>
      <c r="C2250" s="64"/>
      <c r="D2250" s="64"/>
      <c r="E2250" s="64"/>
      <c r="F2250" s="64"/>
    </row>
    <row r="2251">
      <c r="B2251" s="64"/>
      <c r="C2251" s="64"/>
      <c r="D2251" s="64"/>
      <c r="E2251" s="64"/>
      <c r="F2251" s="64"/>
    </row>
    <row r="2252">
      <c r="B2252" s="64"/>
      <c r="C2252" s="64"/>
      <c r="D2252" s="64"/>
      <c r="E2252" s="64"/>
      <c r="F2252" s="64"/>
    </row>
    <row r="2253">
      <c r="B2253" s="64"/>
      <c r="C2253" s="64"/>
      <c r="D2253" s="64"/>
      <c r="E2253" s="64"/>
      <c r="F2253" s="64"/>
    </row>
    <row r="2254">
      <c r="B2254" s="64"/>
      <c r="C2254" s="64"/>
      <c r="D2254" s="64"/>
      <c r="E2254" s="64"/>
      <c r="F2254" s="64"/>
    </row>
    <row r="2255">
      <c r="B2255" s="64"/>
      <c r="C2255" s="64"/>
      <c r="D2255" s="64"/>
      <c r="E2255" s="64"/>
      <c r="F2255" s="64"/>
    </row>
    <row r="2256">
      <c r="B2256" s="64"/>
      <c r="C2256" s="64"/>
      <c r="D2256" s="64"/>
      <c r="E2256" s="64"/>
      <c r="F2256" s="64"/>
    </row>
    <row r="2257">
      <c r="B2257" s="64"/>
      <c r="C2257" s="64"/>
      <c r="D2257" s="64"/>
      <c r="E2257" s="64"/>
      <c r="F2257" s="64"/>
    </row>
    <row r="2258">
      <c r="B2258" s="64"/>
      <c r="C2258" s="64"/>
      <c r="D2258" s="64"/>
      <c r="E2258" s="64"/>
      <c r="F2258" s="64"/>
    </row>
    <row r="2259">
      <c r="B2259" s="64"/>
      <c r="C2259" s="64"/>
      <c r="D2259" s="64"/>
      <c r="E2259" s="64"/>
      <c r="F2259" s="64"/>
    </row>
    <row r="2260">
      <c r="B2260" s="64"/>
      <c r="C2260" s="64"/>
      <c r="D2260" s="64"/>
      <c r="E2260" s="64"/>
      <c r="F2260" s="64"/>
    </row>
    <row r="2261">
      <c r="B2261" s="64"/>
      <c r="C2261" s="64"/>
      <c r="D2261" s="64"/>
      <c r="E2261" s="64"/>
      <c r="F2261" s="64"/>
    </row>
    <row r="2262">
      <c r="B2262" s="64"/>
      <c r="C2262" s="64"/>
      <c r="D2262" s="64"/>
      <c r="E2262" s="64"/>
      <c r="F2262" s="64"/>
    </row>
    <row r="2263">
      <c r="B2263" s="64"/>
      <c r="C2263" s="64"/>
      <c r="D2263" s="64"/>
      <c r="E2263" s="64"/>
      <c r="F2263" s="64"/>
    </row>
    <row r="2264">
      <c r="B2264" s="64"/>
      <c r="C2264" s="64"/>
      <c r="D2264" s="64"/>
      <c r="E2264" s="64"/>
      <c r="F2264" s="64"/>
    </row>
    <row r="2265">
      <c r="B2265" s="64"/>
      <c r="C2265" s="64"/>
      <c r="D2265" s="64"/>
      <c r="E2265" s="64"/>
      <c r="F2265" s="64"/>
    </row>
    <row r="2266">
      <c r="B2266" s="64"/>
      <c r="C2266" s="64"/>
      <c r="D2266" s="64"/>
      <c r="E2266" s="64"/>
      <c r="F2266" s="64"/>
    </row>
    <row r="2267">
      <c r="B2267" s="64"/>
      <c r="C2267" s="64"/>
      <c r="D2267" s="64"/>
      <c r="E2267" s="64"/>
      <c r="F2267" s="64"/>
    </row>
    <row r="2268">
      <c r="B2268" s="64"/>
      <c r="C2268" s="64"/>
      <c r="D2268" s="64"/>
      <c r="E2268" s="64"/>
      <c r="F2268" s="64"/>
    </row>
    <row r="2269">
      <c r="B2269" s="64"/>
      <c r="C2269" s="64"/>
      <c r="D2269" s="64"/>
      <c r="E2269" s="64"/>
      <c r="F2269" s="64"/>
    </row>
    <row r="2270">
      <c r="B2270" s="64"/>
      <c r="C2270" s="64"/>
      <c r="D2270" s="64"/>
      <c r="E2270" s="64"/>
      <c r="F2270" s="64"/>
    </row>
    <row r="2271">
      <c r="B2271" s="64"/>
      <c r="C2271" s="64"/>
      <c r="D2271" s="64"/>
      <c r="E2271" s="64"/>
      <c r="F2271" s="64"/>
    </row>
    <row r="2272">
      <c r="B2272" s="64"/>
      <c r="C2272" s="64"/>
      <c r="D2272" s="64"/>
      <c r="E2272" s="64"/>
      <c r="F2272" s="64"/>
    </row>
    <row r="2273">
      <c r="B2273" s="64"/>
      <c r="C2273" s="64"/>
      <c r="D2273" s="64"/>
      <c r="E2273" s="64"/>
      <c r="F2273" s="64"/>
    </row>
    <row r="2274">
      <c r="B2274" s="64"/>
      <c r="C2274" s="64"/>
      <c r="D2274" s="64"/>
      <c r="E2274" s="64"/>
      <c r="F2274" s="64"/>
    </row>
    <row r="2275">
      <c r="B2275" s="64"/>
      <c r="C2275" s="64"/>
      <c r="D2275" s="64"/>
      <c r="E2275" s="64"/>
      <c r="F2275" s="64"/>
    </row>
    <row r="2276">
      <c r="B2276" s="64"/>
      <c r="C2276" s="64"/>
      <c r="D2276" s="64"/>
      <c r="E2276" s="64"/>
      <c r="F2276" s="64"/>
    </row>
    <row r="2277">
      <c r="B2277" s="64"/>
      <c r="C2277" s="64"/>
      <c r="D2277" s="64"/>
      <c r="E2277" s="64"/>
      <c r="F2277" s="64"/>
    </row>
    <row r="2278">
      <c r="B2278" s="64"/>
      <c r="C2278" s="64"/>
      <c r="D2278" s="64"/>
      <c r="E2278" s="64"/>
      <c r="F2278" s="64"/>
    </row>
    <row r="2279">
      <c r="B2279" s="64"/>
      <c r="C2279" s="64"/>
      <c r="D2279" s="64"/>
      <c r="E2279" s="64"/>
      <c r="F2279" s="64"/>
    </row>
    <row r="2280">
      <c r="B2280" s="64"/>
      <c r="C2280" s="64"/>
      <c r="D2280" s="64"/>
      <c r="E2280" s="64"/>
      <c r="F2280" s="64"/>
    </row>
    <row r="2281">
      <c r="B2281" s="64"/>
      <c r="C2281" s="64"/>
      <c r="D2281" s="64"/>
      <c r="E2281" s="64"/>
      <c r="F2281" s="64"/>
    </row>
    <row r="2282">
      <c r="B2282" s="64"/>
      <c r="C2282" s="64"/>
      <c r="D2282" s="64"/>
      <c r="E2282" s="64"/>
      <c r="F2282" s="64"/>
    </row>
    <row r="2283">
      <c r="B2283" s="64"/>
      <c r="C2283" s="64"/>
      <c r="D2283" s="64"/>
      <c r="E2283" s="64"/>
      <c r="F2283" s="64"/>
    </row>
    <row r="2284">
      <c r="B2284" s="64"/>
      <c r="C2284" s="64"/>
      <c r="D2284" s="64"/>
      <c r="E2284" s="64"/>
      <c r="F2284" s="64"/>
    </row>
    <row r="2285">
      <c r="B2285" s="64"/>
      <c r="C2285" s="64"/>
      <c r="D2285" s="64"/>
      <c r="E2285" s="64"/>
      <c r="F2285" s="64"/>
    </row>
    <row r="2286">
      <c r="B2286" s="64"/>
      <c r="C2286" s="64"/>
      <c r="D2286" s="64"/>
      <c r="E2286" s="64"/>
      <c r="F2286" s="64"/>
    </row>
    <row r="2287">
      <c r="B2287" s="64"/>
      <c r="C2287" s="64"/>
      <c r="D2287" s="64"/>
      <c r="E2287" s="64"/>
      <c r="F2287" s="64"/>
    </row>
    <row r="2288">
      <c r="B2288" s="64"/>
      <c r="C2288" s="64"/>
      <c r="D2288" s="64"/>
      <c r="E2288" s="64"/>
      <c r="F2288" s="64"/>
    </row>
    <row r="2289">
      <c r="B2289" s="64"/>
      <c r="C2289" s="64"/>
      <c r="D2289" s="64"/>
      <c r="E2289" s="64"/>
      <c r="F2289" s="64"/>
    </row>
    <row r="2290">
      <c r="B2290" s="64"/>
      <c r="C2290" s="64"/>
      <c r="D2290" s="64"/>
      <c r="E2290" s="64"/>
      <c r="F2290" s="64"/>
    </row>
    <row r="2291">
      <c r="B2291" s="64"/>
      <c r="C2291" s="64"/>
      <c r="D2291" s="64"/>
      <c r="E2291" s="64"/>
      <c r="F2291" s="64"/>
    </row>
    <row r="2292">
      <c r="B2292" s="64"/>
      <c r="C2292" s="64"/>
      <c r="D2292" s="64"/>
      <c r="E2292" s="64"/>
      <c r="F2292" s="64"/>
    </row>
    <row r="2293">
      <c r="B2293" s="64"/>
      <c r="C2293" s="64"/>
      <c r="D2293" s="64"/>
      <c r="E2293" s="64"/>
      <c r="F2293" s="64"/>
    </row>
    <row r="2294">
      <c r="B2294" s="64"/>
      <c r="C2294" s="64"/>
      <c r="D2294" s="64"/>
      <c r="E2294" s="64"/>
      <c r="F2294" s="64"/>
    </row>
    <row r="2295">
      <c r="B2295" s="64"/>
      <c r="C2295" s="64"/>
      <c r="D2295" s="64"/>
      <c r="E2295" s="64"/>
      <c r="F2295" s="64"/>
    </row>
    <row r="2296">
      <c r="B2296" s="64"/>
      <c r="C2296" s="64"/>
      <c r="D2296" s="64"/>
      <c r="E2296" s="64"/>
      <c r="F2296" s="64"/>
    </row>
    <row r="2297">
      <c r="B2297" s="64"/>
      <c r="C2297" s="64"/>
      <c r="D2297" s="64"/>
      <c r="E2297" s="64"/>
      <c r="F2297" s="64"/>
    </row>
    <row r="2298">
      <c r="B2298" s="64"/>
      <c r="C2298" s="64"/>
      <c r="D2298" s="64"/>
      <c r="E2298" s="64"/>
      <c r="F2298" s="64"/>
    </row>
    <row r="2299">
      <c r="B2299" s="64"/>
      <c r="C2299" s="64"/>
      <c r="D2299" s="64"/>
      <c r="E2299" s="64"/>
      <c r="F2299" s="64"/>
    </row>
    <row r="2300">
      <c r="B2300" s="64"/>
      <c r="C2300" s="64"/>
      <c r="D2300" s="64"/>
      <c r="E2300" s="64"/>
      <c r="F2300" s="64"/>
    </row>
    <row r="2301">
      <c r="B2301" s="64"/>
      <c r="C2301" s="64"/>
      <c r="D2301" s="64"/>
      <c r="E2301" s="64"/>
      <c r="F2301" s="64"/>
    </row>
    <row r="2302">
      <c r="B2302" s="64"/>
      <c r="C2302" s="64"/>
      <c r="D2302" s="64"/>
      <c r="E2302" s="64"/>
      <c r="F2302" s="64"/>
    </row>
    <row r="2303">
      <c r="B2303" s="64"/>
      <c r="C2303" s="64"/>
      <c r="D2303" s="64"/>
      <c r="E2303" s="64"/>
      <c r="F2303" s="64"/>
    </row>
    <row r="2304">
      <c r="B2304" s="64"/>
      <c r="C2304" s="64"/>
      <c r="D2304" s="64"/>
      <c r="E2304" s="64"/>
      <c r="F2304" s="64"/>
    </row>
    <row r="2305">
      <c r="B2305" s="64"/>
      <c r="C2305" s="64"/>
      <c r="D2305" s="64"/>
      <c r="E2305" s="64"/>
      <c r="F2305" s="64"/>
    </row>
    <row r="2306">
      <c r="B2306" s="64"/>
      <c r="C2306" s="64"/>
      <c r="D2306" s="64"/>
      <c r="E2306" s="64"/>
      <c r="F2306" s="64"/>
    </row>
    <row r="2307">
      <c r="B2307" s="64"/>
      <c r="C2307" s="64"/>
      <c r="D2307" s="64"/>
      <c r="E2307" s="64"/>
      <c r="F2307" s="64"/>
    </row>
    <row r="2308">
      <c r="B2308" s="64"/>
      <c r="C2308" s="64"/>
      <c r="D2308" s="64"/>
      <c r="E2308" s="64"/>
      <c r="F2308" s="64"/>
    </row>
    <row r="2309">
      <c r="B2309" s="64"/>
      <c r="C2309" s="64"/>
      <c r="D2309" s="64"/>
      <c r="E2309" s="64"/>
      <c r="F2309" s="64"/>
    </row>
    <row r="2310">
      <c r="B2310" s="64"/>
      <c r="C2310" s="64"/>
      <c r="D2310" s="64"/>
      <c r="E2310" s="64"/>
      <c r="F2310" s="64"/>
    </row>
    <row r="2311">
      <c r="B2311" s="64"/>
      <c r="C2311" s="64"/>
      <c r="D2311" s="64"/>
      <c r="E2311" s="64"/>
      <c r="F2311" s="64"/>
    </row>
    <row r="2312">
      <c r="B2312" s="64"/>
      <c r="C2312" s="64"/>
      <c r="D2312" s="64"/>
      <c r="E2312" s="64"/>
      <c r="F2312" s="64"/>
    </row>
    <row r="2313">
      <c r="B2313" s="64"/>
      <c r="C2313" s="64"/>
      <c r="D2313" s="64"/>
      <c r="E2313" s="64"/>
      <c r="F2313" s="64"/>
    </row>
    <row r="2314">
      <c r="B2314" s="64"/>
      <c r="C2314" s="64"/>
      <c r="D2314" s="64"/>
      <c r="E2314" s="64"/>
      <c r="F2314" s="64"/>
    </row>
    <row r="2315">
      <c r="B2315" s="64"/>
      <c r="C2315" s="64"/>
      <c r="D2315" s="64"/>
      <c r="E2315" s="64"/>
      <c r="F2315" s="64"/>
    </row>
    <row r="2316">
      <c r="B2316" s="64"/>
      <c r="C2316" s="64"/>
      <c r="D2316" s="64"/>
      <c r="E2316" s="64"/>
      <c r="F2316" s="64"/>
    </row>
    <row r="2317">
      <c r="B2317" s="64"/>
      <c r="C2317" s="64"/>
      <c r="D2317" s="64"/>
      <c r="E2317" s="64"/>
      <c r="F2317" s="64"/>
    </row>
    <row r="2318">
      <c r="B2318" s="64"/>
      <c r="C2318" s="64"/>
      <c r="D2318" s="64"/>
      <c r="E2318" s="64"/>
      <c r="F2318" s="64"/>
    </row>
    <row r="2319">
      <c r="B2319" s="64"/>
      <c r="C2319" s="64"/>
      <c r="D2319" s="64"/>
      <c r="E2319" s="64"/>
      <c r="F2319" s="64"/>
    </row>
    <row r="2320">
      <c r="B2320" s="64"/>
      <c r="C2320" s="64"/>
      <c r="D2320" s="64"/>
      <c r="E2320" s="64"/>
      <c r="F2320" s="64"/>
    </row>
    <row r="2321">
      <c r="B2321" s="64"/>
      <c r="C2321" s="64"/>
      <c r="D2321" s="64"/>
      <c r="E2321" s="64"/>
      <c r="F2321" s="64"/>
    </row>
    <row r="2322">
      <c r="B2322" s="64"/>
      <c r="C2322" s="64"/>
      <c r="D2322" s="64"/>
      <c r="E2322" s="64"/>
      <c r="F2322" s="64"/>
    </row>
    <row r="2323">
      <c r="B2323" s="64"/>
      <c r="C2323" s="64"/>
      <c r="D2323" s="64"/>
      <c r="E2323" s="64"/>
      <c r="F2323" s="64"/>
    </row>
    <row r="2324">
      <c r="B2324" s="64"/>
      <c r="C2324" s="64"/>
      <c r="D2324" s="64"/>
      <c r="E2324" s="64"/>
      <c r="F2324" s="64"/>
    </row>
    <row r="2325">
      <c r="B2325" s="64"/>
      <c r="C2325" s="64"/>
      <c r="D2325" s="64"/>
      <c r="E2325" s="64"/>
      <c r="F2325" s="64"/>
    </row>
    <row r="2326">
      <c r="B2326" s="64"/>
      <c r="C2326" s="64"/>
      <c r="D2326" s="64"/>
      <c r="E2326" s="64"/>
      <c r="F2326" s="64"/>
    </row>
    <row r="2327">
      <c r="B2327" s="64"/>
      <c r="C2327" s="64"/>
      <c r="D2327" s="64"/>
      <c r="E2327" s="64"/>
      <c r="F2327" s="64"/>
    </row>
    <row r="2328">
      <c r="B2328" s="64"/>
      <c r="C2328" s="64"/>
      <c r="D2328" s="64"/>
      <c r="E2328" s="64"/>
      <c r="F2328" s="64"/>
    </row>
    <row r="2329">
      <c r="B2329" s="64"/>
      <c r="C2329" s="64"/>
      <c r="D2329" s="64"/>
      <c r="E2329" s="64"/>
      <c r="F2329" s="64"/>
    </row>
    <row r="2330">
      <c r="B2330" s="64"/>
      <c r="C2330" s="64"/>
      <c r="D2330" s="64"/>
      <c r="E2330" s="64"/>
      <c r="F2330" s="64"/>
    </row>
    <row r="2331">
      <c r="B2331" s="64"/>
      <c r="C2331" s="64"/>
      <c r="D2331" s="64"/>
      <c r="E2331" s="64"/>
      <c r="F2331" s="64"/>
    </row>
    <row r="2332">
      <c r="B2332" s="64"/>
      <c r="C2332" s="64"/>
      <c r="D2332" s="64"/>
      <c r="E2332" s="64"/>
      <c r="F2332" s="64"/>
    </row>
    <row r="2333">
      <c r="B2333" s="64"/>
      <c r="C2333" s="64"/>
      <c r="D2333" s="64"/>
      <c r="E2333" s="64"/>
      <c r="F2333" s="64"/>
    </row>
    <row r="2334">
      <c r="B2334" s="64"/>
      <c r="C2334" s="64"/>
      <c r="D2334" s="64"/>
      <c r="E2334" s="64"/>
      <c r="F2334" s="64"/>
    </row>
    <row r="2335">
      <c r="B2335" s="64"/>
      <c r="C2335" s="64"/>
      <c r="D2335" s="64"/>
      <c r="E2335" s="64"/>
      <c r="F2335" s="64"/>
    </row>
    <row r="2336">
      <c r="B2336" s="64"/>
      <c r="C2336" s="64"/>
      <c r="D2336" s="64"/>
      <c r="E2336" s="64"/>
      <c r="F2336" s="64"/>
    </row>
    <row r="2337">
      <c r="B2337" s="64"/>
      <c r="C2337" s="64"/>
      <c r="D2337" s="64"/>
      <c r="E2337" s="64"/>
      <c r="F2337" s="64"/>
    </row>
    <row r="2338">
      <c r="B2338" s="64"/>
      <c r="C2338" s="64"/>
      <c r="D2338" s="64"/>
      <c r="E2338" s="64"/>
      <c r="F2338" s="64"/>
    </row>
    <row r="2339">
      <c r="B2339" s="64"/>
      <c r="C2339" s="64"/>
      <c r="D2339" s="64"/>
      <c r="E2339" s="64"/>
      <c r="F2339" s="64"/>
    </row>
    <row r="2340">
      <c r="B2340" s="64"/>
      <c r="C2340" s="64"/>
      <c r="D2340" s="64"/>
      <c r="E2340" s="64"/>
      <c r="F2340" s="64"/>
    </row>
    <row r="2341">
      <c r="B2341" s="64"/>
      <c r="C2341" s="64"/>
      <c r="D2341" s="64"/>
      <c r="E2341" s="64"/>
      <c r="F2341" s="64"/>
    </row>
    <row r="2342">
      <c r="B2342" s="64"/>
      <c r="C2342" s="64"/>
      <c r="D2342" s="64"/>
      <c r="E2342" s="64"/>
      <c r="F2342" s="64"/>
    </row>
    <row r="2343">
      <c r="B2343" s="64"/>
      <c r="C2343" s="64"/>
      <c r="D2343" s="64"/>
      <c r="E2343" s="64"/>
      <c r="F2343" s="64"/>
    </row>
    <row r="2344">
      <c r="B2344" s="64"/>
      <c r="C2344" s="64"/>
      <c r="D2344" s="64"/>
      <c r="E2344" s="64"/>
      <c r="F2344" s="64"/>
    </row>
    <row r="2345">
      <c r="B2345" s="64"/>
      <c r="C2345" s="64"/>
      <c r="D2345" s="64"/>
      <c r="E2345" s="64"/>
      <c r="F2345" s="64"/>
    </row>
    <row r="2346">
      <c r="B2346" s="64"/>
      <c r="C2346" s="64"/>
      <c r="D2346" s="64"/>
      <c r="E2346" s="64"/>
      <c r="F2346" s="64"/>
    </row>
    <row r="2347">
      <c r="B2347" s="64"/>
      <c r="C2347" s="64"/>
      <c r="D2347" s="64"/>
      <c r="E2347" s="64"/>
      <c r="F2347" s="64"/>
    </row>
    <row r="2348">
      <c r="B2348" s="64"/>
      <c r="C2348" s="64"/>
      <c r="D2348" s="64"/>
      <c r="E2348" s="64"/>
      <c r="F2348" s="64"/>
    </row>
    <row r="2349">
      <c r="B2349" s="64"/>
      <c r="C2349" s="64"/>
      <c r="D2349" s="64"/>
      <c r="E2349" s="64"/>
      <c r="F2349" s="64"/>
    </row>
    <row r="2350">
      <c r="B2350" s="64"/>
      <c r="C2350" s="64"/>
      <c r="D2350" s="64"/>
      <c r="E2350" s="64"/>
      <c r="F2350" s="64"/>
    </row>
    <row r="2351">
      <c r="B2351" s="64"/>
      <c r="C2351" s="64"/>
      <c r="D2351" s="64"/>
      <c r="E2351" s="64"/>
      <c r="F2351" s="64"/>
    </row>
    <row r="2352">
      <c r="B2352" s="64"/>
      <c r="C2352" s="64"/>
      <c r="D2352" s="64"/>
      <c r="E2352" s="64"/>
      <c r="F2352" s="64"/>
    </row>
    <row r="2353">
      <c r="B2353" s="64"/>
      <c r="C2353" s="64"/>
      <c r="D2353" s="64"/>
      <c r="E2353" s="64"/>
      <c r="F2353" s="64"/>
    </row>
    <row r="2354">
      <c r="B2354" s="64"/>
      <c r="C2354" s="64"/>
      <c r="D2354" s="64"/>
      <c r="E2354" s="64"/>
      <c r="F2354" s="64"/>
    </row>
    <row r="2355">
      <c r="B2355" s="64"/>
      <c r="C2355" s="64"/>
      <c r="D2355" s="64"/>
      <c r="E2355" s="64"/>
      <c r="F2355" s="64"/>
    </row>
    <row r="2356">
      <c r="B2356" s="64"/>
      <c r="C2356" s="64"/>
      <c r="D2356" s="64"/>
      <c r="E2356" s="64"/>
      <c r="F2356" s="64"/>
    </row>
    <row r="2357">
      <c r="B2357" s="64"/>
      <c r="C2357" s="64"/>
      <c r="D2357" s="64"/>
      <c r="E2357" s="64"/>
      <c r="F2357" s="64"/>
    </row>
    <row r="2358">
      <c r="B2358" s="64"/>
      <c r="C2358" s="64"/>
      <c r="D2358" s="64"/>
      <c r="E2358" s="64"/>
      <c r="F2358" s="64"/>
    </row>
    <row r="2359">
      <c r="B2359" s="64"/>
      <c r="C2359" s="64"/>
      <c r="D2359" s="64"/>
      <c r="E2359" s="64"/>
      <c r="F2359" s="64"/>
    </row>
    <row r="2360">
      <c r="B2360" s="64"/>
      <c r="C2360" s="64"/>
      <c r="D2360" s="64"/>
      <c r="E2360" s="64"/>
      <c r="F2360" s="64"/>
    </row>
    <row r="2361">
      <c r="B2361" s="64"/>
      <c r="C2361" s="64"/>
      <c r="D2361" s="64"/>
      <c r="E2361" s="64"/>
      <c r="F2361" s="64"/>
    </row>
    <row r="2362">
      <c r="B2362" s="64"/>
      <c r="C2362" s="64"/>
      <c r="D2362" s="64"/>
      <c r="E2362" s="64"/>
      <c r="F2362" s="64"/>
    </row>
    <row r="2363">
      <c r="B2363" s="64"/>
      <c r="C2363" s="64"/>
      <c r="D2363" s="64"/>
      <c r="E2363" s="64"/>
      <c r="F2363" s="64"/>
    </row>
    <row r="2364">
      <c r="B2364" s="64"/>
      <c r="C2364" s="64"/>
      <c r="D2364" s="64"/>
      <c r="E2364" s="64"/>
      <c r="F2364" s="64"/>
    </row>
    <row r="2365">
      <c r="B2365" s="64"/>
      <c r="C2365" s="64"/>
      <c r="D2365" s="64"/>
      <c r="E2365" s="64"/>
      <c r="F2365" s="64"/>
    </row>
    <row r="2366">
      <c r="B2366" s="64"/>
      <c r="C2366" s="64"/>
      <c r="D2366" s="64"/>
      <c r="E2366" s="64"/>
      <c r="F2366" s="64"/>
    </row>
    <row r="2367">
      <c r="B2367" s="64"/>
      <c r="C2367" s="64"/>
      <c r="D2367" s="64"/>
      <c r="E2367" s="64"/>
      <c r="F2367" s="64"/>
    </row>
    <row r="2368">
      <c r="B2368" s="64"/>
      <c r="C2368" s="64"/>
      <c r="D2368" s="64"/>
      <c r="E2368" s="64"/>
      <c r="F2368" s="64"/>
    </row>
    <row r="2369">
      <c r="B2369" s="64"/>
      <c r="C2369" s="64"/>
      <c r="D2369" s="64"/>
      <c r="E2369" s="64"/>
      <c r="F2369" s="64"/>
    </row>
    <row r="2370">
      <c r="B2370" s="64"/>
      <c r="C2370" s="64"/>
      <c r="D2370" s="64"/>
      <c r="E2370" s="64"/>
      <c r="F2370" s="64"/>
    </row>
    <row r="2371">
      <c r="B2371" s="64"/>
      <c r="C2371" s="64"/>
      <c r="D2371" s="64"/>
      <c r="E2371" s="64"/>
      <c r="F2371" s="64"/>
    </row>
    <row r="2372">
      <c r="B2372" s="64"/>
      <c r="C2372" s="64"/>
      <c r="D2372" s="64"/>
      <c r="E2372" s="64"/>
      <c r="F2372" s="64"/>
    </row>
    <row r="2373">
      <c r="B2373" s="64"/>
      <c r="C2373" s="64"/>
      <c r="D2373" s="64"/>
      <c r="E2373" s="64"/>
      <c r="F2373" s="64"/>
    </row>
    <row r="2374">
      <c r="B2374" s="64"/>
      <c r="C2374" s="64"/>
      <c r="D2374" s="64"/>
      <c r="E2374" s="64"/>
      <c r="F2374" s="64"/>
    </row>
    <row r="2375">
      <c r="B2375" s="64"/>
      <c r="C2375" s="64"/>
      <c r="D2375" s="64"/>
      <c r="E2375" s="64"/>
      <c r="F2375" s="64"/>
    </row>
    <row r="2376">
      <c r="B2376" s="64"/>
      <c r="C2376" s="64"/>
      <c r="D2376" s="64"/>
      <c r="E2376" s="64"/>
      <c r="F2376" s="64"/>
    </row>
    <row r="2377">
      <c r="B2377" s="64"/>
      <c r="C2377" s="64"/>
      <c r="D2377" s="64"/>
      <c r="E2377" s="64"/>
      <c r="F2377" s="64"/>
    </row>
    <row r="2378">
      <c r="B2378" s="64"/>
      <c r="C2378" s="64"/>
      <c r="D2378" s="64"/>
      <c r="E2378" s="64"/>
      <c r="F2378" s="64"/>
    </row>
    <row r="2379">
      <c r="B2379" s="64"/>
      <c r="C2379" s="64"/>
      <c r="D2379" s="64"/>
      <c r="E2379" s="64"/>
      <c r="F2379" s="64"/>
    </row>
    <row r="2380">
      <c r="B2380" s="64"/>
      <c r="C2380" s="64"/>
      <c r="D2380" s="64"/>
      <c r="E2380" s="64"/>
      <c r="F2380" s="64"/>
    </row>
    <row r="2381">
      <c r="B2381" s="64"/>
      <c r="C2381" s="64"/>
      <c r="D2381" s="64"/>
      <c r="E2381" s="64"/>
      <c r="F2381" s="64"/>
    </row>
    <row r="2382">
      <c r="B2382" s="64"/>
      <c r="C2382" s="64"/>
      <c r="D2382" s="64"/>
      <c r="E2382" s="64"/>
      <c r="F2382" s="64"/>
    </row>
    <row r="2383">
      <c r="B2383" s="64"/>
      <c r="C2383" s="64"/>
      <c r="D2383" s="64"/>
      <c r="E2383" s="64"/>
      <c r="F2383" s="64"/>
    </row>
    <row r="2384">
      <c r="B2384" s="64"/>
      <c r="C2384" s="64"/>
      <c r="D2384" s="64"/>
      <c r="E2384" s="64"/>
      <c r="F2384" s="64"/>
    </row>
    <row r="2385">
      <c r="B2385" s="64"/>
      <c r="C2385" s="64"/>
      <c r="D2385" s="64"/>
      <c r="E2385" s="64"/>
      <c r="F2385" s="64"/>
    </row>
    <row r="2386">
      <c r="B2386" s="64"/>
      <c r="C2386" s="64"/>
      <c r="D2386" s="64"/>
      <c r="E2386" s="64"/>
      <c r="F2386" s="64"/>
    </row>
    <row r="2387">
      <c r="B2387" s="64"/>
      <c r="C2387" s="64"/>
      <c r="D2387" s="64"/>
      <c r="E2387" s="64"/>
      <c r="F2387" s="64"/>
    </row>
    <row r="2388">
      <c r="B2388" s="64"/>
      <c r="C2388" s="64"/>
      <c r="D2388" s="64"/>
      <c r="E2388" s="64"/>
      <c r="F2388" s="64"/>
    </row>
    <row r="2389">
      <c r="B2389" s="64"/>
      <c r="C2389" s="64"/>
      <c r="D2389" s="64"/>
      <c r="E2389" s="64"/>
      <c r="F2389" s="64"/>
    </row>
    <row r="2390">
      <c r="B2390" s="64"/>
      <c r="C2390" s="64"/>
      <c r="D2390" s="64"/>
      <c r="E2390" s="64"/>
      <c r="F2390" s="64"/>
    </row>
    <row r="2391">
      <c r="B2391" s="64"/>
      <c r="C2391" s="64"/>
      <c r="D2391" s="64"/>
      <c r="E2391" s="64"/>
      <c r="F2391" s="64"/>
    </row>
    <row r="2392">
      <c r="B2392" s="64"/>
      <c r="C2392" s="64"/>
      <c r="D2392" s="64"/>
      <c r="E2392" s="64"/>
      <c r="F2392" s="64"/>
    </row>
    <row r="2393">
      <c r="B2393" s="64"/>
      <c r="C2393" s="64"/>
      <c r="D2393" s="64"/>
      <c r="E2393" s="64"/>
      <c r="F2393" s="64"/>
    </row>
    <row r="2394">
      <c r="B2394" s="64"/>
      <c r="C2394" s="64"/>
      <c r="D2394" s="64"/>
      <c r="E2394" s="64"/>
      <c r="F2394" s="64"/>
    </row>
    <row r="2395">
      <c r="B2395" s="64"/>
      <c r="C2395" s="64"/>
      <c r="D2395" s="64"/>
      <c r="E2395" s="64"/>
      <c r="F2395" s="64"/>
    </row>
    <row r="2396">
      <c r="B2396" s="64"/>
      <c r="C2396" s="64"/>
      <c r="D2396" s="64"/>
      <c r="E2396" s="64"/>
      <c r="F2396" s="64"/>
    </row>
    <row r="2397">
      <c r="B2397" s="64"/>
      <c r="C2397" s="64"/>
      <c r="D2397" s="64"/>
      <c r="E2397" s="64"/>
      <c r="F2397" s="64"/>
    </row>
    <row r="2398">
      <c r="B2398" s="64"/>
      <c r="C2398" s="64"/>
      <c r="D2398" s="64"/>
      <c r="E2398" s="64"/>
      <c r="F2398" s="64"/>
    </row>
    <row r="2399">
      <c r="B2399" s="64"/>
      <c r="C2399" s="64"/>
      <c r="D2399" s="64"/>
      <c r="E2399" s="64"/>
      <c r="F2399" s="64"/>
    </row>
    <row r="2400">
      <c r="B2400" s="64"/>
      <c r="C2400" s="64"/>
      <c r="D2400" s="64"/>
      <c r="E2400" s="64"/>
      <c r="F2400" s="64"/>
    </row>
    <row r="2401">
      <c r="B2401" s="64"/>
      <c r="C2401" s="64"/>
      <c r="D2401" s="64"/>
      <c r="E2401" s="64"/>
      <c r="F2401" s="64"/>
    </row>
    <row r="2402">
      <c r="B2402" s="64"/>
      <c r="C2402" s="64"/>
      <c r="D2402" s="64"/>
      <c r="E2402" s="64"/>
      <c r="F2402" s="64"/>
    </row>
    <row r="2403">
      <c r="B2403" s="64"/>
      <c r="C2403" s="64"/>
      <c r="D2403" s="64"/>
      <c r="E2403" s="64"/>
      <c r="F2403" s="64"/>
    </row>
    <row r="2404">
      <c r="B2404" s="64"/>
      <c r="C2404" s="64"/>
      <c r="D2404" s="64"/>
      <c r="E2404" s="64"/>
      <c r="F2404" s="64"/>
    </row>
    <row r="2405">
      <c r="B2405" s="64"/>
      <c r="C2405" s="64"/>
      <c r="D2405" s="64"/>
      <c r="E2405" s="64"/>
      <c r="F2405" s="64"/>
    </row>
    <row r="2406">
      <c r="B2406" s="64"/>
      <c r="C2406" s="64"/>
      <c r="D2406" s="64"/>
      <c r="E2406" s="64"/>
      <c r="F2406" s="64"/>
    </row>
    <row r="2407">
      <c r="B2407" s="64"/>
      <c r="C2407" s="64"/>
      <c r="D2407" s="64"/>
      <c r="E2407" s="64"/>
      <c r="F2407" s="64"/>
    </row>
    <row r="2408">
      <c r="B2408" s="64"/>
      <c r="C2408" s="64"/>
      <c r="D2408" s="64"/>
      <c r="E2408" s="64"/>
      <c r="F2408" s="64"/>
    </row>
    <row r="2409">
      <c r="B2409" s="64"/>
      <c r="C2409" s="64"/>
      <c r="D2409" s="64"/>
      <c r="E2409" s="64"/>
      <c r="F2409" s="64"/>
    </row>
    <row r="2410">
      <c r="B2410" s="64"/>
      <c r="C2410" s="64"/>
      <c r="D2410" s="64"/>
      <c r="E2410" s="64"/>
      <c r="F2410" s="64"/>
    </row>
    <row r="2411">
      <c r="B2411" s="64"/>
      <c r="C2411" s="64"/>
      <c r="D2411" s="64"/>
      <c r="E2411" s="64"/>
      <c r="F2411" s="64"/>
    </row>
    <row r="2412">
      <c r="B2412" s="64"/>
      <c r="C2412" s="64"/>
      <c r="D2412" s="64"/>
      <c r="E2412" s="64"/>
      <c r="F2412" s="64"/>
    </row>
    <row r="2413">
      <c r="B2413" s="64"/>
      <c r="C2413" s="64"/>
      <c r="D2413" s="64"/>
      <c r="E2413" s="64"/>
      <c r="F2413" s="64"/>
    </row>
    <row r="2414">
      <c r="B2414" s="64"/>
      <c r="C2414" s="64"/>
      <c r="D2414" s="64"/>
      <c r="E2414" s="64"/>
      <c r="F2414" s="64"/>
    </row>
    <row r="2415">
      <c r="B2415" s="64"/>
      <c r="C2415" s="64"/>
      <c r="D2415" s="64"/>
      <c r="E2415" s="64"/>
      <c r="F2415" s="64"/>
    </row>
    <row r="2416">
      <c r="B2416" s="64"/>
      <c r="C2416" s="64"/>
      <c r="D2416" s="64"/>
      <c r="E2416" s="64"/>
      <c r="F2416" s="64"/>
    </row>
    <row r="2417">
      <c r="B2417" s="64"/>
      <c r="C2417" s="64"/>
      <c r="D2417" s="64"/>
      <c r="E2417" s="64"/>
      <c r="F2417" s="64"/>
    </row>
    <row r="2418">
      <c r="B2418" s="64"/>
      <c r="C2418" s="64"/>
      <c r="D2418" s="64"/>
      <c r="E2418" s="64"/>
      <c r="F2418" s="64"/>
    </row>
    <row r="2419">
      <c r="B2419" s="64"/>
      <c r="C2419" s="64"/>
      <c r="D2419" s="64"/>
      <c r="E2419" s="64"/>
      <c r="F2419" s="64"/>
    </row>
    <row r="2420">
      <c r="B2420" s="64"/>
      <c r="C2420" s="64"/>
      <c r="D2420" s="64"/>
      <c r="E2420" s="64"/>
      <c r="F2420" s="64"/>
    </row>
    <row r="2421">
      <c r="B2421" s="64"/>
      <c r="C2421" s="64"/>
      <c r="D2421" s="64"/>
      <c r="E2421" s="64"/>
      <c r="F2421" s="64"/>
    </row>
    <row r="2422">
      <c r="B2422" s="64"/>
      <c r="C2422" s="64"/>
      <c r="D2422" s="64"/>
      <c r="E2422" s="64"/>
      <c r="F2422" s="64"/>
    </row>
    <row r="2423">
      <c r="B2423" s="64"/>
      <c r="C2423" s="64"/>
      <c r="D2423" s="64"/>
      <c r="E2423" s="64"/>
      <c r="F2423" s="64"/>
    </row>
    <row r="2424">
      <c r="B2424" s="64"/>
      <c r="C2424" s="64"/>
      <c r="D2424" s="64"/>
      <c r="E2424" s="64"/>
      <c r="F2424" s="64"/>
    </row>
    <row r="2425">
      <c r="B2425" s="64"/>
      <c r="C2425" s="64"/>
      <c r="D2425" s="64"/>
      <c r="E2425" s="64"/>
      <c r="F2425" s="64"/>
    </row>
    <row r="2426">
      <c r="B2426" s="64"/>
      <c r="C2426" s="64"/>
      <c r="D2426" s="64"/>
      <c r="E2426" s="64"/>
      <c r="F2426" s="64"/>
    </row>
    <row r="2427">
      <c r="B2427" s="64"/>
      <c r="C2427" s="64"/>
      <c r="D2427" s="64"/>
      <c r="E2427" s="64"/>
      <c r="F2427" s="64"/>
    </row>
    <row r="2428">
      <c r="B2428" s="64"/>
      <c r="C2428" s="64"/>
      <c r="D2428" s="64"/>
      <c r="E2428" s="64"/>
      <c r="F2428" s="64"/>
    </row>
    <row r="2429">
      <c r="B2429" s="64"/>
      <c r="C2429" s="64"/>
      <c r="D2429" s="64"/>
      <c r="E2429" s="64"/>
      <c r="F2429" s="64"/>
    </row>
    <row r="2430">
      <c r="B2430" s="64"/>
      <c r="C2430" s="64"/>
      <c r="D2430" s="64"/>
      <c r="E2430" s="64"/>
      <c r="F2430" s="64"/>
    </row>
    <row r="2431">
      <c r="B2431" s="64"/>
      <c r="C2431" s="64"/>
      <c r="D2431" s="64"/>
      <c r="E2431" s="64"/>
      <c r="F2431" s="64"/>
    </row>
    <row r="2432">
      <c r="B2432" s="64"/>
      <c r="C2432" s="64"/>
      <c r="D2432" s="64"/>
      <c r="E2432" s="64"/>
      <c r="F2432" s="64"/>
    </row>
    <row r="2433">
      <c r="B2433" s="64"/>
      <c r="C2433" s="64"/>
      <c r="D2433" s="64"/>
      <c r="E2433" s="64"/>
      <c r="F2433" s="64"/>
    </row>
    <row r="2434">
      <c r="B2434" s="64"/>
      <c r="C2434" s="64"/>
      <c r="D2434" s="64"/>
      <c r="E2434" s="64"/>
      <c r="F2434" s="64"/>
    </row>
    <row r="2435">
      <c r="B2435" s="64"/>
      <c r="C2435" s="64"/>
      <c r="D2435" s="64"/>
      <c r="E2435" s="64"/>
      <c r="F2435" s="64"/>
    </row>
    <row r="2436">
      <c r="B2436" s="64"/>
      <c r="C2436" s="64"/>
      <c r="D2436" s="64"/>
      <c r="E2436" s="64"/>
      <c r="F2436" s="64"/>
    </row>
    <row r="2437">
      <c r="B2437" s="64"/>
      <c r="C2437" s="64"/>
      <c r="D2437" s="64"/>
      <c r="E2437" s="64"/>
      <c r="F2437" s="64"/>
    </row>
    <row r="2438">
      <c r="B2438" s="64"/>
      <c r="C2438" s="64"/>
      <c r="D2438" s="64"/>
      <c r="E2438" s="64"/>
      <c r="F2438" s="64"/>
    </row>
    <row r="2439">
      <c r="B2439" s="64"/>
      <c r="C2439" s="64"/>
      <c r="D2439" s="64"/>
      <c r="E2439" s="64"/>
      <c r="F2439" s="64"/>
    </row>
    <row r="2440">
      <c r="B2440" s="64"/>
      <c r="C2440" s="64"/>
      <c r="D2440" s="64"/>
      <c r="E2440" s="64"/>
      <c r="F2440" s="64"/>
    </row>
    <row r="2441">
      <c r="B2441" s="64"/>
      <c r="C2441" s="64"/>
      <c r="D2441" s="64"/>
      <c r="E2441" s="64"/>
      <c r="F2441" s="64"/>
    </row>
    <row r="2442">
      <c r="B2442" s="64"/>
      <c r="C2442" s="64"/>
      <c r="D2442" s="64"/>
      <c r="E2442" s="64"/>
      <c r="F2442" s="64"/>
    </row>
    <row r="2443">
      <c r="B2443" s="64"/>
      <c r="C2443" s="64"/>
      <c r="D2443" s="64"/>
      <c r="E2443" s="64"/>
      <c r="F2443" s="64"/>
    </row>
    <row r="2444">
      <c r="B2444" s="64"/>
      <c r="C2444" s="64"/>
      <c r="D2444" s="64"/>
      <c r="E2444" s="64"/>
      <c r="F2444" s="64"/>
    </row>
    <row r="2445">
      <c r="B2445" s="64"/>
      <c r="C2445" s="64"/>
      <c r="D2445" s="64"/>
      <c r="E2445" s="64"/>
      <c r="F2445" s="64"/>
    </row>
    <row r="2446">
      <c r="B2446" s="64"/>
      <c r="C2446" s="64"/>
      <c r="D2446" s="64"/>
      <c r="E2446" s="64"/>
      <c r="F2446" s="64"/>
    </row>
    <row r="2447">
      <c r="B2447" s="64"/>
      <c r="C2447" s="64"/>
      <c r="D2447" s="64"/>
      <c r="E2447" s="64"/>
      <c r="F2447" s="64"/>
    </row>
    <row r="2448">
      <c r="B2448" s="64"/>
      <c r="C2448" s="64"/>
      <c r="D2448" s="64"/>
      <c r="E2448" s="64"/>
      <c r="F2448" s="64"/>
    </row>
    <row r="2449">
      <c r="B2449" s="64"/>
      <c r="C2449" s="64"/>
      <c r="D2449" s="64"/>
      <c r="E2449" s="64"/>
      <c r="F2449" s="64"/>
    </row>
    <row r="2450">
      <c r="B2450" s="64"/>
      <c r="C2450" s="64"/>
      <c r="D2450" s="64"/>
      <c r="E2450" s="64"/>
      <c r="F2450" s="64"/>
    </row>
    <row r="2451">
      <c r="B2451" s="64"/>
      <c r="C2451" s="64"/>
      <c r="D2451" s="64"/>
      <c r="E2451" s="64"/>
      <c r="F2451" s="64"/>
    </row>
    <row r="2452">
      <c r="B2452" s="64"/>
      <c r="C2452" s="64"/>
      <c r="D2452" s="64"/>
      <c r="E2452" s="64"/>
      <c r="F2452" s="64"/>
    </row>
    <row r="2453">
      <c r="B2453" s="64"/>
      <c r="C2453" s="64"/>
      <c r="D2453" s="64"/>
      <c r="E2453" s="64"/>
      <c r="F2453" s="64"/>
    </row>
    <row r="2454">
      <c r="B2454" s="64"/>
      <c r="C2454" s="64"/>
      <c r="D2454" s="64"/>
      <c r="E2454" s="64"/>
      <c r="F2454" s="64"/>
    </row>
    <row r="2455">
      <c r="B2455" s="64"/>
      <c r="C2455" s="64"/>
      <c r="D2455" s="64"/>
      <c r="E2455" s="64"/>
      <c r="F2455" s="64"/>
    </row>
    <row r="2456">
      <c r="B2456" s="64"/>
      <c r="C2456" s="64"/>
      <c r="D2456" s="64"/>
      <c r="E2456" s="64"/>
      <c r="F2456" s="64"/>
    </row>
    <row r="2457">
      <c r="B2457" s="64"/>
      <c r="C2457" s="64"/>
      <c r="D2457" s="64"/>
      <c r="E2457" s="64"/>
      <c r="F2457" s="64"/>
    </row>
    <row r="2458">
      <c r="B2458" s="64"/>
      <c r="C2458" s="64"/>
      <c r="D2458" s="64"/>
      <c r="E2458" s="64"/>
      <c r="F2458" s="64"/>
    </row>
    <row r="2459">
      <c r="B2459" s="64"/>
      <c r="C2459" s="64"/>
      <c r="D2459" s="64"/>
      <c r="E2459" s="64"/>
      <c r="F2459" s="64"/>
    </row>
    <row r="2460">
      <c r="B2460" s="64"/>
      <c r="C2460" s="64"/>
      <c r="D2460" s="64"/>
      <c r="E2460" s="64"/>
      <c r="F2460" s="64"/>
    </row>
    <row r="2461">
      <c r="B2461" s="64"/>
      <c r="C2461" s="64"/>
      <c r="D2461" s="64"/>
      <c r="E2461" s="64"/>
      <c r="F2461" s="64"/>
    </row>
    <row r="2462">
      <c r="B2462" s="64"/>
      <c r="C2462" s="64"/>
      <c r="D2462" s="64"/>
      <c r="E2462" s="64"/>
      <c r="F2462" s="64"/>
    </row>
    <row r="2463">
      <c r="B2463" s="64"/>
      <c r="C2463" s="64"/>
      <c r="D2463" s="64"/>
      <c r="E2463" s="64"/>
      <c r="F2463" s="64"/>
    </row>
    <row r="2464">
      <c r="B2464" s="64"/>
      <c r="C2464" s="64"/>
      <c r="D2464" s="64"/>
      <c r="E2464" s="64"/>
      <c r="F2464" s="64"/>
    </row>
    <row r="2465">
      <c r="B2465" s="64"/>
      <c r="C2465" s="64"/>
      <c r="D2465" s="64"/>
      <c r="E2465" s="64"/>
      <c r="F2465" s="64"/>
    </row>
    <row r="2466">
      <c r="B2466" s="64"/>
      <c r="C2466" s="64"/>
      <c r="D2466" s="64"/>
      <c r="E2466" s="64"/>
      <c r="F2466" s="64"/>
    </row>
    <row r="2467">
      <c r="B2467" s="64"/>
      <c r="C2467" s="64"/>
      <c r="D2467" s="64"/>
      <c r="E2467" s="64"/>
      <c r="F2467" s="64"/>
    </row>
    <row r="2468">
      <c r="B2468" s="64"/>
      <c r="C2468" s="64"/>
      <c r="D2468" s="64"/>
      <c r="E2468" s="64"/>
      <c r="F2468" s="64"/>
    </row>
    <row r="2469">
      <c r="B2469" s="64"/>
      <c r="C2469" s="64"/>
      <c r="D2469" s="64"/>
      <c r="E2469" s="64"/>
      <c r="F2469" s="64"/>
    </row>
    <row r="2470">
      <c r="B2470" s="64"/>
      <c r="C2470" s="64"/>
      <c r="D2470" s="64"/>
      <c r="E2470" s="64"/>
      <c r="F2470" s="64"/>
    </row>
    <row r="2471">
      <c r="B2471" s="64"/>
      <c r="C2471" s="64"/>
      <c r="D2471" s="64"/>
      <c r="E2471" s="64"/>
      <c r="F2471" s="64"/>
    </row>
    <row r="2472">
      <c r="B2472" s="64"/>
      <c r="C2472" s="64"/>
      <c r="D2472" s="64"/>
      <c r="E2472" s="64"/>
      <c r="F2472" s="64"/>
    </row>
    <row r="2473">
      <c r="B2473" s="64"/>
      <c r="C2473" s="64"/>
      <c r="D2473" s="64"/>
      <c r="E2473" s="64"/>
      <c r="F2473" s="64"/>
    </row>
    <row r="2474">
      <c r="B2474" s="64"/>
      <c r="C2474" s="64"/>
      <c r="D2474" s="64"/>
      <c r="E2474" s="64"/>
      <c r="F2474" s="64"/>
    </row>
    <row r="2475">
      <c r="B2475" s="64"/>
      <c r="C2475" s="64"/>
      <c r="D2475" s="64"/>
      <c r="E2475" s="64"/>
      <c r="F2475" s="64"/>
    </row>
    <row r="2476">
      <c r="B2476" s="64"/>
      <c r="C2476" s="64"/>
      <c r="D2476" s="64"/>
      <c r="E2476" s="64"/>
      <c r="F2476" s="64"/>
    </row>
    <row r="2477">
      <c r="B2477" s="64"/>
      <c r="C2477" s="64"/>
      <c r="D2477" s="64"/>
      <c r="E2477" s="64"/>
      <c r="F2477" s="64"/>
    </row>
    <row r="2478">
      <c r="B2478" s="64"/>
      <c r="C2478" s="64"/>
      <c r="D2478" s="64"/>
      <c r="E2478" s="64"/>
      <c r="F2478" s="64"/>
    </row>
    <row r="2479">
      <c r="B2479" s="64"/>
      <c r="C2479" s="64"/>
      <c r="D2479" s="64"/>
      <c r="E2479" s="64"/>
      <c r="F2479" s="64"/>
    </row>
    <row r="2480">
      <c r="B2480" s="64"/>
      <c r="C2480" s="64"/>
      <c r="D2480" s="64"/>
      <c r="E2480" s="64"/>
      <c r="F2480" s="64"/>
    </row>
    <row r="2481">
      <c r="B2481" s="64"/>
      <c r="C2481" s="64"/>
      <c r="D2481" s="64"/>
      <c r="E2481" s="64"/>
      <c r="F2481" s="64"/>
    </row>
    <row r="2482">
      <c r="B2482" s="64"/>
      <c r="C2482" s="64"/>
      <c r="D2482" s="64"/>
      <c r="E2482" s="64"/>
      <c r="F2482" s="64"/>
    </row>
    <row r="2483">
      <c r="B2483" s="64"/>
      <c r="C2483" s="64"/>
      <c r="D2483" s="64"/>
      <c r="E2483" s="64"/>
      <c r="F2483" s="64"/>
    </row>
    <row r="2484">
      <c r="B2484" s="64"/>
      <c r="C2484" s="64"/>
      <c r="D2484" s="64"/>
      <c r="E2484" s="64"/>
      <c r="F2484" s="64"/>
    </row>
    <row r="2485">
      <c r="B2485" s="64"/>
      <c r="C2485" s="64"/>
      <c r="D2485" s="64"/>
      <c r="E2485" s="64"/>
      <c r="F2485" s="64"/>
    </row>
    <row r="2486">
      <c r="B2486" s="64"/>
      <c r="C2486" s="64"/>
      <c r="D2486" s="64"/>
      <c r="E2486" s="64"/>
      <c r="F2486" s="64"/>
    </row>
    <row r="2487">
      <c r="B2487" s="64"/>
      <c r="C2487" s="64"/>
      <c r="D2487" s="64"/>
      <c r="E2487" s="64"/>
      <c r="F2487" s="64"/>
    </row>
    <row r="2488">
      <c r="B2488" s="64"/>
      <c r="C2488" s="64"/>
      <c r="D2488" s="64"/>
      <c r="E2488" s="64"/>
      <c r="F2488" s="64"/>
    </row>
    <row r="2489">
      <c r="B2489" s="64"/>
      <c r="C2489" s="64"/>
      <c r="D2489" s="64"/>
      <c r="E2489" s="64"/>
      <c r="F2489" s="64"/>
    </row>
    <row r="2490">
      <c r="B2490" s="64"/>
      <c r="C2490" s="64"/>
      <c r="D2490" s="64"/>
      <c r="E2490" s="64"/>
      <c r="F2490" s="64"/>
    </row>
    <row r="2491">
      <c r="B2491" s="64"/>
      <c r="C2491" s="64"/>
      <c r="D2491" s="64"/>
      <c r="E2491" s="64"/>
      <c r="F2491" s="64"/>
    </row>
    <row r="2492">
      <c r="B2492" s="64"/>
      <c r="C2492" s="64"/>
      <c r="D2492" s="64"/>
      <c r="E2492" s="64"/>
      <c r="F2492" s="64"/>
    </row>
    <row r="2493">
      <c r="B2493" s="64"/>
      <c r="C2493" s="64"/>
      <c r="D2493" s="64"/>
      <c r="E2493" s="64"/>
      <c r="F2493" s="64"/>
    </row>
    <row r="2494">
      <c r="B2494" s="64"/>
      <c r="C2494" s="64"/>
      <c r="D2494" s="64"/>
      <c r="E2494" s="64"/>
      <c r="F2494" s="64"/>
    </row>
    <row r="2495">
      <c r="B2495" s="64"/>
      <c r="C2495" s="64"/>
      <c r="D2495" s="64"/>
      <c r="E2495" s="64"/>
      <c r="F2495" s="64"/>
    </row>
    <row r="2496">
      <c r="B2496" s="64"/>
      <c r="C2496" s="64"/>
      <c r="D2496" s="64"/>
      <c r="E2496" s="64"/>
      <c r="F2496" s="64"/>
    </row>
    <row r="2497">
      <c r="B2497" s="64"/>
      <c r="C2497" s="64"/>
      <c r="D2497" s="64"/>
      <c r="E2497" s="64"/>
      <c r="F2497" s="64"/>
    </row>
    <row r="2498">
      <c r="B2498" s="64"/>
      <c r="C2498" s="64"/>
      <c r="D2498" s="64"/>
      <c r="E2498" s="64"/>
      <c r="F2498" s="64"/>
    </row>
    <row r="2499">
      <c r="B2499" s="64"/>
      <c r="C2499" s="64"/>
      <c r="D2499" s="64"/>
      <c r="E2499" s="64"/>
      <c r="F2499" s="64"/>
    </row>
    <row r="2500">
      <c r="B2500" s="64"/>
      <c r="C2500" s="64"/>
      <c r="D2500" s="64"/>
      <c r="E2500" s="64"/>
      <c r="F2500" s="64"/>
    </row>
    <row r="2501">
      <c r="B2501" s="64"/>
      <c r="C2501" s="64"/>
      <c r="D2501" s="64"/>
      <c r="E2501" s="64"/>
      <c r="F2501" s="64"/>
    </row>
    <row r="2502">
      <c r="B2502" s="64"/>
      <c r="C2502" s="64"/>
      <c r="D2502" s="64"/>
      <c r="E2502" s="64"/>
      <c r="F2502" s="64"/>
    </row>
    <row r="2503">
      <c r="B2503" s="64"/>
      <c r="C2503" s="64"/>
      <c r="D2503" s="64"/>
      <c r="E2503" s="64"/>
      <c r="F2503" s="64"/>
    </row>
    <row r="2504">
      <c r="B2504" s="64"/>
      <c r="C2504" s="64"/>
      <c r="D2504" s="64"/>
      <c r="E2504" s="64"/>
      <c r="F2504" s="64"/>
    </row>
    <row r="2505">
      <c r="B2505" s="64"/>
      <c r="C2505" s="64"/>
      <c r="D2505" s="64"/>
      <c r="E2505" s="64"/>
      <c r="F2505" s="64"/>
    </row>
    <row r="2506">
      <c r="B2506" s="64"/>
      <c r="C2506" s="64"/>
      <c r="D2506" s="64"/>
      <c r="E2506" s="64"/>
      <c r="F2506" s="64"/>
    </row>
    <row r="2507">
      <c r="B2507" s="64"/>
      <c r="C2507" s="64"/>
      <c r="D2507" s="64"/>
      <c r="E2507" s="64"/>
      <c r="F2507" s="64"/>
    </row>
    <row r="2508">
      <c r="B2508" s="64"/>
      <c r="C2508" s="64"/>
      <c r="D2508" s="64"/>
      <c r="E2508" s="64"/>
      <c r="F2508" s="64"/>
    </row>
    <row r="2509">
      <c r="B2509" s="64"/>
      <c r="C2509" s="64"/>
      <c r="D2509" s="64"/>
      <c r="E2509" s="64"/>
      <c r="F2509" s="64"/>
    </row>
    <row r="2510">
      <c r="B2510" s="64"/>
      <c r="C2510" s="64"/>
      <c r="D2510" s="64"/>
      <c r="E2510" s="64"/>
      <c r="F2510" s="64"/>
    </row>
    <row r="2511">
      <c r="B2511" s="64"/>
      <c r="C2511" s="64"/>
      <c r="D2511" s="64"/>
      <c r="E2511" s="64"/>
      <c r="F2511" s="64"/>
    </row>
    <row r="2512">
      <c r="B2512" s="64"/>
      <c r="C2512" s="64"/>
      <c r="D2512" s="64"/>
      <c r="E2512" s="64"/>
      <c r="F2512" s="64"/>
    </row>
    <row r="2513">
      <c r="B2513" s="64"/>
      <c r="C2513" s="64"/>
      <c r="D2513" s="64"/>
      <c r="E2513" s="64"/>
      <c r="F2513" s="64"/>
    </row>
    <row r="2514">
      <c r="B2514" s="64"/>
      <c r="C2514" s="64"/>
      <c r="D2514" s="64"/>
      <c r="E2514" s="64"/>
      <c r="F2514" s="64"/>
    </row>
    <row r="2515">
      <c r="B2515" s="64"/>
      <c r="C2515" s="64"/>
      <c r="D2515" s="64"/>
      <c r="E2515" s="64"/>
      <c r="F2515" s="64"/>
    </row>
    <row r="2516">
      <c r="B2516" s="64"/>
      <c r="C2516" s="64"/>
      <c r="D2516" s="64"/>
      <c r="E2516" s="64"/>
      <c r="F2516" s="64"/>
    </row>
    <row r="2517">
      <c r="B2517" s="64"/>
      <c r="C2517" s="64"/>
      <c r="D2517" s="64"/>
      <c r="E2517" s="64"/>
      <c r="F2517" s="64"/>
    </row>
    <row r="2518">
      <c r="B2518" s="64"/>
      <c r="C2518" s="64"/>
      <c r="D2518" s="64"/>
      <c r="E2518" s="64"/>
      <c r="F2518" s="64"/>
    </row>
    <row r="2519">
      <c r="B2519" s="64"/>
      <c r="C2519" s="64"/>
      <c r="D2519" s="64"/>
      <c r="E2519" s="64"/>
      <c r="F2519" s="64"/>
    </row>
    <row r="2520">
      <c r="B2520" s="64"/>
      <c r="C2520" s="64"/>
      <c r="D2520" s="64"/>
      <c r="E2520" s="64"/>
      <c r="F2520" s="64"/>
    </row>
    <row r="2521">
      <c r="B2521" s="64"/>
      <c r="C2521" s="64"/>
      <c r="D2521" s="64"/>
      <c r="E2521" s="64"/>
      <c r="F2521" s="64"/>
    </row>
    <row r="2522">
      <c r="B2522" s="64"/>
      <c r="C2522" s="64"/>
      <c r="D2522" s="64"/>
      <c r="E2522" s="64"/>
      <c r="F2522" s="64"/>
    </row>
    <row r="2523">
      <c r="B2523" s="64"/>
      <c r="C2523" s="64"/>
      <c r="D2523" s="64"/>
      <c r="E2523" s="64"/>
      <c r="F2523" s="64"/>
    </row>
    <row r="2524">
      <c r="B2524" s="64"/>
      <c r="C2524" s="64"/>
      <c r="D2524" s="64"/>
      <c r="E2524" s="64"/>
      <c r="F2524" s="64"/>
    </row>
    <row r="2525">
      <c r="B2525" s="64"/>
      <c r="C2525" s="64"/>
      <c r="D2525" s="64"/>
      <c r="E2525" s="64"/>
      <c r="F2525" s="64"/>
    </row>
    <row r="2526">
      <c r="B2526" s="64"/>
      <c r="C2526" s="64"/>
      <c r="D2526" s="64"/>
      <c r="E2526" s="64"/>
      <c r="F2526" s="64"/>
    </row>
    <row r="2527">
      <c r="B2527" s="64"/>
      <c r="C2527" s="64"/>
      <c r="D2527" s="64"/>
      <c r="E2527" s="64"/>
      <c r="F2527" s="64"/>
    </row>
    <row r="2528">
      <c r="B2528" s="64"/>
      <c r="C2528" s="64"/>
      <c r="D2528" s="64"/>
      <c r="E2528" s="64"/>
      <c r="F2528" s="64"/>
    </row>
    <row r="2529">
      <c r="B2529" s="64"/>
      <c r="C2529" s="64"/>
      <c r="D2529" s="64"/>
      <c r="E2529" s="64"/>
      <c r="F2529" s="64"/>
    </row>
    <row r="2530">
      <c r="B2530" s="64"/>
      <c r="C2530" s="64"/>
      <c r="D2530" s="64"/>
      <c r="E2530" s="64"/>
      <c r="F2530" s="64"/>
    </row>
    <row r="2531">
      <c r="B2531" s="64"/>
      <c r="C2531" s="64"/>
      <c r="D2531" s="64"/>
      <c r="E2531" s="64"/>
      <c r="F2531" s="64"/>
    </row>
    <row r="2532">
      <c r="B2532" s="64"/>
      <c r="C2532" s="64"/>
      <c r="D2532" s="64"/>
      <c r="E2532" s="64"/>
      <c r="F2532" s="64"/>
    </row>
    <row r="2533">
      <c r="B2533" s="64"/>
      <c r="C2533" s="64"/>
      <c r="D2533" s="64"/>
      <c r="E2533" s="64"/>
      <c r="F2533" s="64"/>
    </row>
    <row r="2534">
      <c r="B2534" s="64"/>
      <c r="C2534" s="64"/>
      <c r="D2534" s="64"/>
      <c r="E2534" s="64"/>
      <c r="F2534" s="64"/>
    </row>
    <row r="2535">
      <c r="B2535" s="64"/>
      <c r="C2535" s="64"/>
      <c r="D2535" s="64"/>
      <c r="E2535" s="64"/>
      <c r="F2535" s="64"/>
    </row>
    <row r="2536">
      <c r="B2536" s="64"/>
      <c r="C2536" s="64"/>
      <c r="D2536" s="64"/>
      <c r="E2536" s="64"/>
      <c r="F2536" s="64"/>
    </row>
    <row r="2537">
      <c r="B2537" s="64"/>
      <c r="C2537" s="64"/>
      <c r="D2537" s="64"/>
      <c r="E2537" s="64"/>
      <c r="F2537" s="64"/>
    </row>
    <row r="2538">
      <c r="B2538" s="64"/>
      <c r="C2538" s="64"/>
      <c r="D2538" s="64"/>
      <c r="E2538" s="64"/>
      <c r="F2538" s="64"/>
    </row>
    <row r="2539">
      <c r="B2539" s="64"/>
      <c r="C2539" s="64"/>
      <c r="D2539" s="64"/>
      <c r="E2539" s="64"/>
      <c r="F2539" s="64"/>
    </row>
    <row r="2540">
      <c r="B2540" s="64"/>
      <c r="C2540" s="64"/>
      <c r="D2540" s="64"/>
      <c r="E2540" s="64"/>
      <c r="F2540" s="64"/>
    </row>
    <row r="2541">
      <c r="B2541" s="64"/>
      <c r="C2541" s="64"/>
      <c r="D2541" s="64"/>
      <c r="E2541" s="64"/>
      <c r="F2541" s="64"/>
    </row>
    <row r="2542">
      <c r="B2542" s="64"/>
      <c r="C2542" s="64"/>
      <c r="D2542" s="64"/>
      <c r="E2542" s="64"/>
      <c r="F2542" s="64"/>
    </row>
    <row r="2543">
      <c r="B2543" s="64"/>
      <c r="C2543" s="64"/>
      <c r="D2543" s="64"/>
      <c r="E2543" s="64"/>
      <c r="F2543" s="64"/>
    </row>
    <row r="2544">
      <c r="B2544" s="64"/>
      <c r="C2544" s="64"/>
      <c r="D2544" s="64"/>
      <c r="E2544" s="64"/>
      <c r="F2544" s="64"/>
    </row>
    <row r="2545">
      <c r="B2545" s="64"/>
      <c r="C2545" s="64"/>
      <c r="D2545" s="64"/>
      <c r="E2545" s="64"/>
      <c r="F2545" s="64"/>
    </row>
    <row r="2546">
      <c r="B2546" s="64"/>
      <c r="C2546" s="64"/>
      <c r="D2546" s="64"/>
      <c r="E2546" s="64"/>
      <c r="F2546" s="64"/>
    </row>
    <row r="2547">
      <c r="B2547" s="64"/>
      <c r="C2547" s="64"/>
      <c r="D2547" s="64"/>
      <c r="E2547" s="64"/>
      <c r="F2547" s="64"/>
    </row>
    <row r="2548">
      <c r="B2548" s="64"/>
      <c r="C2548" s="64"/>
      <c r="D2548" s="64"/>
      <c r="E2548" s="64"/>
      <c r="F2548" s="64"/>
    </row>
    <row r="2549">
      <c r="B2549" s="64"/>
      <c r="C2549" s="64"/>
      <c r="D2549" s="64"/>
      <c r="E2549" s="64"/>
      <c r="F2549" s="64"/>
    </row>
    <row r="2550">
      <c r="B2550" s="64"/>
      <c r="C2550" s="64"/>
      <c r="D2550" s="64"/>
      <c r="E2550" s="64"/>
      <c r="F2550" s="64"/>
    </row>
    <row r="2551">
      <c r="B2551" s="64"/>
      <c r="C2551" s="64"/>
      <c r="D2551" s="64"/>
      <c r="E2551" s="64"/>
      <c r="F2551" s="64"/>
    </row>
    <row r="2552">
      <c r="B2552" s="64"/>
      <c r="C2552" s="64"/>
      <c r="D2552" s="64"/>
      <c r="E2552" s="64"/>
      <c r="F2552" s="64"/>
    </row>
    <row r="2553">
      <c r="B2553" s="64"/>
      <c r="C2553" s="64"/>
      <c r="D2553" s="64"/>
      <c r="E2553" s="64"/>
      <c r="F2553" s="64"/>
    </row>
    <row r="2554">
      <c r="B2554" s="64"/>
      <c r="C2554" s="64"/>
      <c r="D2554" s="64"/>
      <c r="E2554" s="64"/>
      <c r="F2554" s="64"/>
    </row>
    <row r="2555">
      <c r="B2555" s="64"/>
      <c r="C2555" s="64"/>
      <c r="D2555" s="64"/>
      <c r="E2555" s="64"/>
      <c r="F2555" s="64"/>
    </row>
    <row r="2556">
      <c r="B2556" s="64"/>
      <c r="C2556" s="64"/>
      <c r="D2556" s="64"/>
      <c r="E2556" s="64"/>
      <c r="F2556" s="64"/>
    </row>
    <row r="2557">
      <c r="B2557" s="64"/>
      <c r="C2557" s="64"/>
      <c r="D2557" s="64"/>
      <c r="E2557" s="64"/>
      <c r="F2557" s="64"/>
    </row>
    <row r="2558">
      <c r="B2558" s="64"/>
      <c r="C2558" s="64"/>
      <c r="D2558" s="64"/>
      <c r="E2558" s="64"/>
      <c r="F2558" s="64"/>
    </row>
    <row r="2559">
      <c r="B2559" s="64"/>
      <c r="C2559" s="64"/>
      <c r="D2559" s="64"/>
      <c r="E2559" s="64"/>
      <c r="F2559" s="64"/>
    </row>
    <row r="2560">
      <c r="B2560" s="64"/>
      <c r="C2560" s="64"/>
      <c r="D2560" s="64"/>
      <c r="E2560" s="64"/>
      <c r="F2560" s="64"/>
    </row>
    <row r="2561">
      <c r="B2561" s="64"/>
      <c r="C2561" s="64"/>
      <c r="D2561" s="64"/>
      <c r="E2561" s="64"/>
      <c r="F2561" s="64"/>
    </row>
    <row r="2562">
      <c r="B2562" s="64"/>
      <c r="C2562" s="64"/>
      <c r="D2562" s="64"/>
      <c r="E2562" s="64"/>
      <c r="F2562" s="64"/>
    </row>
    <row r="2563">
      <c r="B2563" s="64"/>
      <c r="C2563" s="64"/>
      <c r="D2563" s="64"/>
      <c r="E2563" s="64"/>
      <c r="F2563" s="64"/>
    </row>
    <row r="2564">
      <c r="B2564" s="64"/>
      <c r="C2564" s="64"/>
      <c r="D2564" s="64"/>
      <c r="E2564" s="64"/>
      <c r="F2564" s="64"/>
    </row>
    <row r="2565">
      <c r="B2565" s="64"/>
      <c r="C2565" s="64"/>
      <c r="D2565" s="64"/>
      <c r="E2565" s="64"/>
      <c r="F2565" s="64"/>
    </row>
    <row r="2566">
      <c r="B2566" s="64"/>
      <c r="C2566" s="64"/>
      <c r="D2566" s="64"/>
      <c r="E2566" s="64"/>
      <c r="F2566" s="64"/>
    </row>
    <row r="2567">
      <c r="B2567" s="64"/>
      <c r="C2567" s="64"/>
      <c r="D2567" s="64"/>
      <c r="E2567" s="64"/>
      <c r="F2567" s="64"/>
    </row>
    <row r="2568">
      <c r="B2568" s="64"/>
      <c r="C2568" s="64"/>
      <c r="D2568" s="64"/>
      <c r="E2568" s="64"/>
      <c r="F2568" s="64"/>
    </row>
    <row r="2569">
      <c r="B2569" s="64"/>
      <c r="C2569" s="64"/>
      <c r="D2569" s="64"/>
      <c r="E2569" s="64"/>
      <c r="F2569" s="64"/>
    </row>
    <row r="2570">
      <c r="B2570" s="64"/>
      <c r="C2570" s="64"/>
      <c r="D2570" s="64"/>
      <c r="E2570" s="64"/>
      <c r="F2570" s="64"/>
    </row>
    <row r="2571">
      <c r="B2571" s="64"/>
      <c r="C2571" s="64"/>
      <c r="D2571" s="64"/>
      <c r="E2571" s="64"/>
      <c r="F2571" s="64"/>
    </row>
    <row r="2572">
      <c r="B2572" s="64"/>
      <c r="C2572" s="64"/>
      <c r="D2572" s="64"/>
      <c r="E2572" s="64"/>
      <c r="F2572" s="64"/>
    </row>
    <row r="2573">
      <c r="B2573" s="64"/>
      <c r="C2573" s="64"/>
      <c r="D2573" s="64"/>
      <c r="E2573" s="64"/>
      <c r="F2573" s="64"/>
    </row>
    <row r="2574">
      <c r="B2574" s="64"/>
      <c r="C2574" s="64"/>
      <c r="D2574" s="64"/>
      <c r="E2574" s="64"/>
      <c r="F2574" s="64"/>
    </row>
    <row r="2575">
      <c r="B2575" s="64"/>
      <c r="C2575" s="64"/>
      <c r="D2575" s="64"/>
      <c r="E2575" s="64"/>
      <c r="F2575" s="64"/>
    </row>
    <row r="2576">
      <c r="B2576" s="64"/>
      <c r="C2576" s="64"/>
      <c r="D2576" s="64"/>
      <c r="E2576" s="64"/>
      <c r="F2576" s="64"/>
    </row>
    <row r="2577">
      <c r="B2577" s="64"/>
      <c r="C2577" s="64"/>
      <c r="D2577" s="64"/>
      <c r="E2577" s="64"/>
      <c r="F2577" s="64"/>
    </row>
    <row r="2578">
      <c r="B2578" s="64"/>
      <c r="C2578" s="64"/>
      <c r="D2578" s="64"/>
      <c r="E2578" s="64"/>
      <c r="F2578" s="64"/>
    </row>
    <row r="2579">
      <c r="B2579" s="64"/>
      <c r="C2579" s="64"/>
      <c r="D2579" s="64"/>
      <c r="E2579" s="64"/>
      <c r="F2579" s="64"/>
    </row>
    <row r="2580">
      <c r="B2580" s="64"/>
      <c r="C2580" s="64"/>
      <c r="D2580" s="64"/>
      <c r="E2580" s="64"/>
      <c r="F2580" s="64"/>
    </row>
    <row r="2581">
      <c r="B2581" s="64"/>
      <c r="C2581" s="64"/>
      <c r="D2581" s="64"/>
      <c r="E2581" s="64"/>
      <c r="F2581" s="64"/>
    </row>
    <row r="2582">
      <c r="B2582" s="64"/>
      <c r="C2582" s="64"/>
      <c r="D2582" s="64"/>
      <c r="E2582" s="64"/>
      <c r="F2582" s="64"/>
    </row>
    <row r="2583">
      <c r="B2583" s="64"/>
      <c r="C2583" s="64"/>
      <c r="D2583" s="64"/>
      <c r="E2583" s="64"/>
      <c r="F2583" s="64"/>
    </row>
    <row r="2584">
      <c r="B2584" s="64"/>
      <c r="C2584" s="64"/>
      <c r="D2584" s="64"/>
      <c r="E2584" s="64"/>
      <c r="F2584" s="64"/>
    </row>
    <row r="2585">
      <c r="B2585" s="64"/>
      <c r="C2585" s="64"/>
      <c r="D2585" s="64"/>
      <c r="E2585" s="64"/>
      <c r="F2585" s="64"/>
    </row>
    <row r="2586">
      <c r="B2586" s="64"/>
      <c r="C2586" s="64"/>
      <c r="D2586" s="64"/>
      <c r="E2586" s="64"/>
      <c r="F2586" s="64"/>
    </row>
    <row r="2587">
      <c r="B2587" s="64"/>
      <c r="C2587" s="64"/>
      <c r="D2587" s="64"/>
      <c r="E2587" s="64"/>
      <c r="F2587" s="64"/>
    </row>
    <row r="2588">
      <c r="B2588" s="64"/>
      <c r="C2588" s="64"/>
      <c r="D2588" s="64"/>
      <c r="E2588" s="64"/>
      <c r="F2588" s="64"/>
    </row>
    <row r="2589">
      <c r="B2589" s="64"/>
      <c r="C2589" s="64"/>
      <c r="D2589" s="64"/>
      <c r="E2589" s="64"/>
      <c r="F2589" s="64"/>
    </row>
    <row r="2590">
      <c r="B2590" s="64"/>
      <c r="C2590" s="64"/>
      <c r="D2590" s="64"/>
      <c r="E2590" s="64"/>
      <c r="F2590" s="64"/>
    </row>
    <row r="2591">
      <c r="B2591" s="64"/>
      <c r="C2591" s="64"/>
      <c r="D2591" s="64"/>
      <c r="E2591" s="64"/>
      <c r="F2591" s="64"/>
    </row>
    <row r="2592">
      <c r="B2592" s="64"/>
      <c r="C2592" s="64"/>
      <c r="D2592" s="64"/>
      <c r="E2592" s="64"/>
      <c r="F2592" s="64"/>
    </row>
    <row r="2593">
      <c r="B2593" s="64"/>
      <c r="C2593" s="64"/>
      <c r="D2593" s="64"/>
      <c r="E2593" s="64"/>
      <c r="F2593" s="64"/>
    </row>
    <row r="2594">
      <c r="B2594" s="64"/>
      <c r="C2594" s="64"/>
      <c r="D2594" s="64"/>
      <c r="E2594" s="64"/>
      <c r="F2594" s="64"/>
    </row>
    <row r="2595">
      <c r="B2595" s="64"/>
      <c r="C2595" s="64"/>
      <c r="D2595" s="64"/>
      <c r="E2595" s="64"/>
      <c r="F2595" s="64"/>
    </row>
    <row r="2596">
      <c r="B2596" s="64"/>
      <c r="C2596" s="64"/>
      <c r="D2596" s="64"/>
      <c r="E2596" s="64"/>
      <c r="F2596" s="64"/>
    </row>
    <row r="2597">
      <c r="B2597" s="64"/>
      <c r="C2597" s="64"/>
      <c r="D2597" s="64"/>
      <c r="E2597" s="64"/>
      <c r="F2597" s="64"/>
    </row>
    <row r="2598">
      <c r="B2598" s="64"/>
      <c r="C2598" s="64"/>
      <c r="D2598" s="64"/>
      <c r="E2598" s="64"/>
      <c r="F2598" s="64"/>
    </row>
    <row r="2599">
      <c r="B2599" s="64"/>
      <c r="C2599" s="64"/>
      <c r="D2599" s="64"/>
      <c r="E2599" s="64"/>
      <c r="F2599" s="64"/>
    </row>
    <row r="2600">
      <c r="B2600" s="64"/>
      <c r="C2600" s="64"/>
      <c r="D2600" s="64"/>
      <c r="E2600" s="64"/>
      <c r="F2600" s="64"/>
    </row>
    <row r="2601">
      <c r="B2601" s="64"/>
      <c r="C2601" s="64"/>
      <c r="D2601" s="64"/>
      <c r="E2601" s="64"/>
      <c r="F2601" s="64"/>
    </row>
    <row r="2602">
      <c r="B2602" s="64"/>
      <c r="C2602" s="64"/>
      <c r="D2602" s="64"/>
      <c r="E2602" s="64"/>
      <c r="F2602" s="64"/>
    </row>
    <row r="2603">
      <c r="B2603" s="64"/>
      <c r="C2603" s="64"/>
      <c r="D2603" s="64"/>
      <c r="E2603" s="64"/>
      <c r="F2603" s="64"/>
    </row>
    <row r="2604">
      <c r="B2604" s="64"/>
      <c r="C2604" s="64"/>
      <c r="D2604" s="64"/>
      <c r="E2604" s="64"/>
      <c r="F2604" s="64"/>
    </row>
    <row r="2605">
      <c r="B2605" s="64"/>
      <c r="C2605" s="64"/>
      <c r="D2605" s="64"/>
      <c r="E2605" s="64"/>
      <c r="F2605" s="64"/>
    </row>
    <row r="2606">
      <c r="B2606" s="64"/>
      <c r="C2606" s="64"/>
      <c r="D2606" s="64"/>
      <c r="E2606" s="64"/>
      <c r="F2606" s="64"/>
    </row>
    <row r="2607">
      <c r="B2607" s="64"/>
      <c r="C2607" s="64"/>
      <c r="D2607" s="64"/>
      <c r="E2607" s="64"/>
      <c r="F2607" s="64"/>
    </row>
    <row r="2608">
      <c r="B2608" s="64"/>
      <c r="C2608" s="64"/>
      <c r="D2608" s="64"/>
      <c r="E2608" s="64"/>
      <c r="F2608" s="64"/>
    </row>
    <row r="2609">
      <c r="B2609" s="64"/>
      <c r="C2609" s="64"/>
      <c r="D2609" s="64"/>
      <c r="E2609" s="64"/>
      <c r="F2609" s="64"/>
    </row>
    <row r="2610">
      <c r="B2610" s="64"/>
      <c r="C2610" s="64"/>
      <c r="D2610" s="64"/>
      <c r="E2610" s="64"/>
      <c r="F2610" s="64"/>
    </row>
    <row r="2611">
      <c r="B2611" s="64"/>
      <c r="C2611" s="64"/>
      <c r="D2611" s="64"/>
      <c r="E2611" s="64"/>
      <c r="F2611" s="64"/>
    </row>
    <row r="2612">
      <c r="B2612" s="64"/>
      <c r="C2612" s="64"/>
      <c r="D2612" s="64"/>
      <c r="E2612" s="64"/>
      <c r="F2612" s="64"/>
    </row>
    <row r="2613">
      <c r="B2613" s="64"/>
      <c r="C2613" s="64"/>
      <c r="D2613" s="64"/>
      <c r="E2613" s="64"/>
      <c r="F2613" s="64"/>
    </row>
    <row r="2614">
      <c r="B2614" s="64"/>
      <c r="C2614" s="64"/>
      <c r="D2614" s="64"/>
      <c r="E2614" s="64"/>
      <c r="F2614" s="64"/>
    </row>
    <row r="2615">
      <c r="B2615" s="64"/>
      <c r="C2615" s="64"/>
      <c r="D2615" s="64"/>
      <c r="E2615" s="64"/>
      <c r="F2615" s="64"/>
    </row>
    <row r="2616">
      <c r="B2616" s="64"/>
      <c r="C2616" s="64"/>
      <c r="D2616" s="64"/>
      <c r="E2616" s="64"/>
      <c r="F2616" s="64"/>
    </row>
    <row r="2617">
      <c r="B2617" s="64"/>
      <c r="C2617" s="64"/>
      <c r="D2617" s="64"/>
      <c r="E2617" s="64"/>
      <c r="F2617" s="64"/>
    </row>
    <row r="2618">
      <c r="B2618" s="64"/>
      <c r="C2618" s="64"/>
      <c r="D2618" s="64"/>
      <c r="E2618" s="64"/>
      <c r="F2618" s="64"/>
    </row>
    <row r="2619">
      <c r="B2619" s="64"/>
      <c r="C2619" s="64"/>
      <c r="D2619" s="64"/>
      <c r="E2619" s="64"/>
      <c r="F2619" s="64"/>
    </row>
    <row r="2620">
      <c r="B2620" s="64"/>
      <c r="C2620" s="64"/>
      <c r="D2620" s="64"/>
      <c r="E2620" s="64"/>
      <c r="F2620" s="64"/>
    </row>
    <row r="2621">
      <c r="B2621" s="64"/>
      <c r="C2621" s="64"/>
      <c r="D2621" s="64"/>
      <c r="E2621" s="64"/>
      <c r="F2621" s="64"/>
    </row>
    <row r="2622">
      <c r="B2622" s="64"/>
      <c r="C2622" s="64"/>
      <c r="D2622" s="64"/>
      <c r="E2622" s="64"/>
      <c r="F2622" s="64"/>
    </row>
    <row r="2623">
      <c r="B2623" s="64"/>
      <c r="C2623" s="64"/>
      <c r="D2623" s="64"/>
      <c r="E2623" s="64"/>
      <c r="F2623" s="64"/>
    </row>
    <row r="2624">
      <c r="B2624" s="64"/>
      <c r="C2624" s="64"/>
      <c r="D2624" s="64"/>
      <c r="E2624" s="64"/>
      <c r="F2624" s="64"/>
    </row>
    <row r="2625">
      <c r="B2625" s="64"/>
      <c r="C2625" s="64"/>
      <c r="D2625" s="64"/>
      <c r="E2625" s="64"/>
      <c r="F2625" s="64"/>
    </row>
    <row r="2626">
      <c r="B2626" s="64"/>
      <c r="C2626" s="64"/>
      <c r="D2626" s="64"/>
      <c r="E2626" s="64"/>
      <c r="F2626" s="64"/>
    </row>
    <row r="2627">
      <c r="B2627" s="64"/>
      <c r="C2627" s="64"/>
      <c r="D2627" s="64"/>
      <c r="E2627" s="64"/>
      <c r="F2627" s="64"/>
    </row>
    <row r="2628">
      <c r="B2628" s="64"/>
      <c r="C2628" s="64"/>
      <c r="D2628" s="64"/>
      <c r="E2628" s="64"/>
      <c r="F2628" s="64"/>
    </row>
    <row r="2629">
      <c r="B2629" s="64"/>
      <c r="C2629" s="64"/>
      <c r="D2629" s="64"/>
      <c r="E2629" s="64"/>
      <c r="F2629" s="64"/>
    </row>
    <row r="2630">
      <c r="B2630" s="64"/>
      <c r="C2630" s="64"/>
      <c r="D2630" s="64"/>
      <c r="E2630" s="64"/>
      <c r="F2630" s="64"/>
    </row>
    <row r="2631">
      <c r="B2631" s="64"/>
      <c r="C2631" s="64"/>
      <c r="D2631" s="64"/>
      <c r="E2631" s="64"/>
      <c r="F2631" s="64"/>
    </row>
    <row r="2632">
      <c r="B2632" s="64"/>
      <c r="C2632" s="64"/>
      <c r="D2632" s="64"/>
      <c r="E2632" s="64"/>
      <c r="F2632" s="64"/>
    </row>
    <row r="2633">
      <c r="B2633" s="64"/>
      <c r="C2633" s="64"/>
      <c r="D2633" s="64"/>
      <c r="E2633" s="64"/>
      <c r="F2633" s="64"/>
    </row>
    <row r="2634">
      <c r="B2634" s="64"/>
      <c r="C2634" s="64"/>
      <c r="D2634" s="64"/>
      <c r="E2634" s="64"/>
      <c r="F2634" s="64"/>
    </row>
    <row r="2635">
      <c r="B2635" s="64"/>
      <c r="C2635" s="64"/>
      <c r="D2635" s="64"/>
      <c r="E2635" s="64"/>
      <c r="F2635" s="64"/>
    </row>
    <row r="2636">
      <c r="B2636" s="64"/>
      <c r="C2636" s="64"/>
      <c r="D2636" s="64"/>
      <c r="E2636" s="64"/>
      <c r="F2636" s="64"/>
    </row>
    <row r="2637">
      <c r="B2637" s="64"/>
      <c r="C2637" s="64"/>
      <c r="D2637" s="64"/>
      <c r="E2637" s="64"/>
      <c r="F2637" s="64"/>
    </row>
    <row r="2638">
      <c r="B2638" s="64"/>
      <c r="C2638" s="64"/>
      <c r="D2638" s="64"/>
      <c r="E2638" s="64"/>
      <c r="F2638" s="64"/>
    </row>
    <row r="2639">
      <c r="B2639" s="64"/>
      <c r="C2639" s="64"/>
      <c r="D2639" s="64"/>
      <c r="E2639" s="64"/>
      <c r="F2639" s="64"/>
    </row>
    <row r="2640">
      <c r="B2640" s="64"/>
      <c r="C2640" s="64"/>
      <c r="D2640" s="64"/>
      <c r="E2640" s="64"/>
      <c r="F2640" s="64"/>
    </row>
    <row r="2641">
      <c r="B2641" s="64"/>
      <c r="C2641" s="64"/>
      <c r="D2641" s="64"/>
      <c r="E2641" s="64"/>
      <c r="F2641" s="64"/>
    </row>
    <row r="2642">
      <c r="B2642" s="64"/>
      <c r="C2642" s="64"/>
      <c r="D2642" s="64"/>
      <c r="E2642" s="64"/>
      <c r="F2642" s="64"/>
    </row>
    <row r="2643">
      <c r="B2643" s="64"/>
      <c r="C2643" s="64"/>
      <c r="D2643" s="64"/>
      <c r="E2643" s="64"/>
      <c r="F2643" s="64"/>
    </row>
    <row r="2644">
      <c r="B2644" s="64"/>
      <c r="C2644" s="64"/>
      <c r="D2644" s="64"/>
      <c r="E2644" s="64"/>
      <c r="F2644" s="64"/>
    </row>
    <row r="2645">
      <c r="B2645" s="64"/>
      <c r="C2645" s="64"/>
      <c r="D2645" s="64"/>
      <c r="E2645" s="64"/>
      <c r="F2645" s="64"/>
    </row>
    <row r="2646">
      <c r="B2646" s="64"/>
      <c r="C2646" s="64"/>
      <c r="D2646" s="64"/>
      <c r="E2646" s="64"/>
      <c r="F2646" s="64"/>
    </row>
    <row r="2647">
      <c r="B2647" s="64"/>
      <c r="C2647" s="64"/>
      <c r="D2647" s="64"/>
      <c r="E2647" s="64"/>
      <c r="F2647" s="64"/>
    </row>
    <row r="2648">
      <c r="B2648" s="64"/>
      <c r="C2648" s="64"/>
      <c r="D2648" s="64"/>
      <c r="E2648" s="64"/>
      <c r="F2648" s="64"/>
    </row>
    <row r="2649">
      <c r="B2649" s="64"/>
      <c r="C2649" s="64"/>
      <c r="D2649" s="64"/>
      <c r="E2649" s="64"/>
      <c r="F2649" s="64"/>
    </row>
    <row r="2650">
      <c r="B2650" s="64"/>
      <c r="C2650" s="64"/>
      <c r="D2650" s="64"/>
      <c r="E2650" s="64"/>
      <c r="F2650" s="64"/>
    </row>
    <row r="2651">
      <c r="B2651" s="64"/>
      <c r="C2651" s="64"/>
      <c r="D2651" s="64"/>
      <c r="E2651" s="64"/>
      <c r="F2651" s="64"/>
    </row>
    <row r="2652">
      <c r="B2652" s="64"/>
      <c r="C2652" s="64"/>
      <c r="D2652" s="64"/>
      <c r="E2652" s="64"/>
      <c r="F2652" s="64"/>
    </row>
    <row r="2653">
      <c r="B2653" s="64"/>
      <c r="C2653" s="64"/>
      <c r="D2653" s="64"/>
      <c r="E2653" s="64"/>
      <c r="F2653" s="64"/>
    </row>
    <row r="2654">
      <c r="B2654" s="64"/>
      <c r="C2654" s="64"/>
      <c r="D2654" s="64"/>
      <c r="E2654" s="64"/>
      <c r="F2654" s="64"/>
    </row>
    <row r="2655">
      <c r="B2655" s="64"/>
      <c r="C2655" s="64"/>
      <c r="D2655" s="64"/>
      <c r="E2655" s="64"/>
      <c r="F2655" s="64"/>
    </row>
    <row r="2656">
      <c r="B2656" s="64"/>
      <c r="C2656" s="64"/>
      <c r="D2656" s="64"/>
      <c r="E2656" s="64"/>
      <c r="F2656" s="64"/>
    </row>
    <row r="2657">
      <c r="B2657" s="64"/>
      <c r="C2657" s="64"/>
      <c r="D2657" s="64"/>
      <c r="E2657" s="64"/>
      <c r="F2657" s="64"/>
    </row>
    <row r="2658">
      <c r="B2658" s="64"/>
      <c r="C2658" s="64"/>
      <c r="D2658" s="64"/>
      <c r="E2658" s="64"/>
      <c r="F2658" s="64"/>
    </row>
    <row r="2659">
      <c r="B2659" s="64"/>
      <c r="C2659" s="64"/>
      <c r="D2659" s="64"/>
      <c r="E2659" s="64"/>
      <c r="F2659" s="64"/>
    </row>
    <row r="2660">
      <c r="B2660" s="64"/>
      <c r="C2660" s="64"/>
      <c r="D2660" s="64"/>
      <c r="E2660" s="64"/>
      <c r="F2660" s="64"/>
    </row>
    <row r="2661">
      <c r="B2661" s="64"/>
      <c r="C2661" s="64"/>
      <c r="D2661" s="64"/>
      <c r="E2661" s="64"/>
      <c r="F2661" s="64"/>
    </row>
    <row r="2662">
      <c r="B2662" s="64"/>
      <c r="C2662" s="64"/>
      <c r="D2662" s="64"/>
      <c r="E2662" s="64"/>
      <c r="F2662" s="64"/>
    </row>
    <row r="2663">
      <c r="B2663" s="64"/>
      <c r="C2663" s="64"/>
      <c r="D2663" s="64"/>
      <c r="E2663" s="64"/>
      <c r="F2663" s="64"/>
    </row>
    <row r="2664">
      <c r="B2664" s="64"/>
      <c r="C2664" s="64"/>
      <c r="D2664" s="64"/>
      <c r="E2664" s="64"/>
      <c r="F2664" s="64"/>
    </row>
    <row r="2665">
      <c r="B2665" s="64"/>
      <c r="C2665" s="64"/>
      <c r="D2665" s="64"/>
      <c r="E2665" s="64"/>
      <c r="F2665" s="64"/>
    </row>
    <row r="2666">
      <c r="B2666" s="64"/>
      <c r="C2666" s="64"/>
      <c r="D2666" s="64"/>
      <c r="E2666" s="64"/>
      <c r="F2666" s="64"/>
    </row>
    <row r="2667">
      <c r="B2667" s="64"/>
      <c r="C2667" s="64"/>
      <c r="D2667" s="64"/>
      <c r="E2667" s="64"/>
      <c r="F2667" s="64"/>
    </row>
    <row r="2668">
      <c r="B2668" s="64"/>
      <c r="C2668" s="64"/>
      <c r="D2668" s="64"/>
      <c r="E2668" s="64"/>
      <c r="F2668" s="64"/>
    </row>
    <row r="2669">
      <c r="B2669" s="64"/>
      <c r="C2669" s="64"/>
      <c r="D2669" s="64"/>
      <c r="E2669" s="64"/>
      <c r="F2669" s="64"/>
    </row>
    <row r="2670">
      <c r="B2670" s="64"/>
      <c r="C2670" s="64"/>
      <c r="D2670" s="64"/>
      <c r="E2670" s="64"/>
      <c r="F2670" s="64"/>
    </row>
    <row r="2671">
      <c r="B2671" s="64"/>
      <c r="C2671" s="64"/>
      <c r="D2671" s="64"/>
      <c r="E2671" s="64"/>
      <c r="F2671" s="64"/>
    </row>
    <row r="2672">
      <c r="B2672" s="64"/>
      <c r="C2672" s="64"/>
      <c r="D2672" s="64"/>
      <c r="E2672" s="64"/>
      <c r="F2672" s="64"/>
    </row>
    <row r="2673">
      <c r="B2673" s="64"/>
      <c r="C2673" s="64"/>
      <c r="D2673" s="64"/>
      <c r="E2673" s="64"/>
      <c r="F2673" s="64"/>
    </row>
    <row r="2674">
      <c r="B2674" s="64"/>
      <c r="C2674" s="64"/>
      <c r="D2674" s="64"/>
      <c r="E2674" s="64"/>
      <c r="F2674" s="64"/>
    </row>
    <row r="2675">
      <c r="B2675" s="64"/>
      <c r="C2675" s="64"/>
      <c r="D2675" s="64"/>
      <c r="E2675" s="64"/>
      <c r="F2675" s="64"/>
    </row>
    <row r="2676">
      <c r="B2676" s="64"/>
      <c r="C2676" s="64"/>
      <c r="D2676" s="64"/>
      <c r="E2676" s="64"/>
      <c r="F2676" s="64"/>
    </row>
    <row r="2677">
      <c r="B2677" s="64"/>
      <c r="C2677" s="64"/>
      <c r="D2677" s="64"/>
      <c r="E2677" s="64"/>
      <c r="F2677" s="64"/>
    </row>
    <row r="2678">
      <c r="B2678" s="64"/>
      <c r="C2678" s="64"/>
      <c r="D2678" s="64"/>
      <c r="E2678" s="64"/>
      <c r="F2678" s="64"/>
    </row>
    <row r="2679">
      <c r="B2679" s="64"/>
      <c r="C2679" s="64"/>
      <c r="D2679" s="64"/>
      <c r="E2679" s="64"/>
      <c r="F2679" s="64"/>
    </row>
    <row r="2680">
      <c r="B2680" s="64"/>
      <c r="C2680" s="64"/>
      <c r="D2680" s="64"/>
      <c r="E2680" s="64"/>
      <c r="F2680" s="64"/>
    </row>
    <row r="2681">
      <c r="B2681" s="64"/>
      <c r="C2681" s="64"/>
      <c r="D2681" s="64"/>
      <c r="E2681" s="64"/>
      <c r="F2681" s="64"/>
    </row>
    <row r="2682">
      <c r="B2682" s="64"/>
      <c r="C2682" s="64"/>
      <c r="D2682" s="64"/>
      <c r="E2682" s="64"/>
      <c r="F2682" s="64"/>
    </row>
    <row r="2683">
      <c r="B2683" s="64"/>
      <c r="C2683" s="64"/>
      <c r="D2683" s="64"/>
      <c r="E2683" s="64"/>
      <c r="F2683" s="64"/>
    </row>
    <row r="2684">
      <c r="B2684" s="64"/>
      <c r="C2684" s="64"/>
      <c r="D2684" s="64"/>
      <c r="E2684" s="64"/>
      <c r="F2684" s="64"/>
    </row>
    <row r="2685">
      <c r="B2685" s="64"/>
      <c r="C2685" s="64"/>
      <c r="D2685" s="64"/>
      <c r="E2685" s="64"/>
      <c r="F2685" s="64"/>
    </row>
    <row r="2686">
      <c r="B2686" s="64"/>
      <c r="C2686" s="64"/>
      <c r="D2686" s="64"/>
      <c r="E2686" s="64"/>
      <c r="F2686" s="64"/>
    </row>
    <row r="2687">
      <c r="B2687" s="64"/>
      <c r="C2687" s="64"/>
      <c r="D2687" s="64"/>
      <c r="E2687" s="64"/>
      <c r="F2687" s="64"/>
    </row>
    <row r="2688">
      <c r="B2688" s="64"/>
      <c r="C2688" s="64"/>
      <c r="D2688" s="64"/>
      <c r="E2688" s="64"/>
      <c r="F2688" s="64"/>
    </row>
    <row r="2689">
      <c r="B2689" s="64"/>
      <c r="C2689" s="64"/>
      <c r="D2689" s="64"/>
      <c r="E2689" s="64"/>
      <c r="F2689" s="64"/>
    </row>
    <row r="2690">
      <c r="B2690" s="64"/>
      <c r="C2690" s="64"/>
      <c r="D2690" s="64"/>
      <c r="E2690" s="64"/>
      <c r="F2690" s="64"/>
    </row>
    <row r="2691">
      <c r="B2691" s="64"/>
      <c r="C2691" s="64"/>
      <c r="D2691" s="64"/>
      <c r="E2691" s="64"/>
      <c r="F2691" s="64"/>
    </row>
    <row r="2692">
      <c r="B2692" s="64"/>
      <c r="C2692" s="64"/>
      <c r="D2692" s="64"/>
      <c r="E2692" s="64"/>
      <c r="F2692" s="64"/>
    </row>
    <row r="2693">
      <c r="B2693" s="64"/>
      <c r="C2693" s="64"/>
      <c r="D2693" s="64"/>
      <c r="E2693" s="64"/>
      <c r="F2693" s="64"/>
    </row>
    <row r="2694">
      <c r="B2694" s="64"/>
      <c r="C2694" s="64"/>
      <c r="D2694" s="64"/>
      <c r="E2694" s="64"/>
      <c r="F2694" s="64"/>
    </row>
    <row r="2695">
      <c r="B2695" s="64"/>
      <c r="C2695" s="64"/>
      <c r="D2695" s="64"/>
      <c r="E2695" s="64"/>
      <c r="F2695" s="64"/>
    </row>
    <row r="2696">
      <c r="B2696" s="64"/>
      <c r="C2696" s="64"/>
      <c r="D2696" s="64"/>
      <c r="E2696" s="64"/>
      <c r="F2696" s="64"/>
    </row>
    <row r="2697">
      <c r="B2697" s="64"/>
      <c r="C2697" s="64"/>
      <c r="D2697" s="64"/>
      <c r="E2697" s="64"/>
      <c r="F2697" s="64"/>
    </row>
    <row r="2698">
      <c r="B2698" s="64"/>
      <c r="C2698" s="64"/>
      <c r="D2698" s="64"/>
      <c r="E2698" s="64"/>
      <c r="F2698" s="64"/>
    </row>
    <row r="2699">
      <c r="B2699" s="64"/>
      <c r="C2699" s="64"/>
      <c r="D2699" s="64"/>
      <c r="E2699" s="64"/>
      <c r="F2699" s="64"/>
    </row>
    <row r="2700">
      <c r="B2700" s="64"/>
      <c r="C2700" s="64"/>
      <c r="D2700" s="64"/>
      <c r="E2700" s="64"/>
      <c r="F2700" s="64"/>
    </row>
    <row r="2701">
      <c r="B2701" s="64"/>
      <c r="C2701" s="64"/>
      <c r="D2701" s="64"/>
      <c r="E2701" s="64"/>
      <c r="F2701" s="64"/>
    </row>
    <row r="2702">
      <c r="B2702" s="64"/>
      <c r="C2702" s="64"/>
      <c r="D2702" s="64"/>
      <c r="E2702" s="64"/>
      <c r="F2702" s="64"/>
    </row>
    <row r="2703">
      <c r="B2703" s="64"/>
      <c r="C2703" s="64"/>
      <c r="D2703" s="64"/>
      <c r="E2703" s="64"/>
      <c r="F2703" s="64"/>
    </row>
    <row r="2704">
      <c r="B2704" s="64"/>
      <c r="C2704" s="64"/>
      <c r="D2704" s="64"/>
      <c r="E2704" s="64"/>
      <c r="F2704" s="64"/>
    </row>
    <row r="2705">
      <c r="B2705" s="64"/>
      <c r="C2705" s="64"/>
      <c r="D2705" s="64"/>
      <c r="E2705" s="64"/>
      <c r="F2705" s="64"/>
    </row>
    <row r="2706">
      <c r="B2706" s="64"/>
      <c r="C2706" s="64"/>
      <c r="D2706" s="64"/>
      <c r="E2706" s="64"/>
      <c r="F2706" s="64"/>
    </row>
    <row r="2707">
      <c r="B2707" s="64"/>
      <c r="C2707" s="64"/>
      <c r="D2707" s="64"/>
      <c r="E2707" s="64"/>
      <c r="F2707" s="64"/>
    </row>
    <row r="2708">
      <c r="B2708" s="64"/>
      <c r="C2708" s="64"/>
      <c r="D2708" s="64"/>
      <c r="E2708" s="64"/>
      <c r="F2708" s="64"/>
    </row>
    <row r="2709">
      <c r="B2709" s="64"/>
      <c r="C2709" s="64"/>
      <c r="D2709" s="64"/>
      <c r="E2709" s="64"/>
      <c r="F2709" s="64"/>
    </row>
    <row r="2710">
      <c r="B2710" s="64"/>
      <c r="C2710" s="64"/>
      <c r="D2710" s="64"/>
      <c r="E2710" s="64"/>
      <c r="F2710" s="64"/>
    </row>
    <row r="2711">
      <c r="B2711" s="64"/>
      <c r="C2711" s="64"/>
      <c r="D2711" s="64"/>
      <c r="E2711" s="64"/>
      <c r="F2711" s="64"/>
    </row>
    <row r="2712">
      <c r="B2712" s="64"/>
      <c r="C2712" s="64"/>
      <c r="D2712" s="64"/>
      <c r="E2712" s="64"/>
      <c r="F2712" s="64"/>
    </row>
    <row r="2713">
      <c r="B2713" s="64"/>
      <c r="C2713" s="64"/>
      <c r="D2713" s="64"/>
      <c r="E2713" s="64"/>
      <c r="F2713" s="64"/>
    </row>
    <row r="2714">
      <c r="B2714" s="64"/>
      <c r="C2714" s="64"/>
      <c r="D2714" s="64"/>
      <c r="E2714" s="64"/>
      <c r="F2714" s="64"/>
    </row>
    <row r="2715">
      <c r="B2715" s="64"/>
      <c r="C2715" s="64"/>
      <c r="D2715" s="64"/>
      <c r="E2715" s="64"/>
      <c r="F2715" s="64"/>
    </row>
    <row r="2716">
      <c r="B2716" s="64"/>
      <c r="C2716" s="64"/>
      <c r="D2716" s="64"/>
      <c r="E2716" s="64"/>
      <c r="F2716" s="64"/>
    </row>
    <row r="2717">
      <c r="B2717" s="64"/>
      <c r="C2717" s="64"/>
      <c r="D2717" s="64"/>
      <c r="E2717" s="64"/>
      <c r="F2717" s="64"/>
    </row>
    <row r="2718">
      <c r="B2718" s="64"/>
      <c r="C2718" s="64"/>
      <c r="D2718" s="64"/>
      <c r="E2718" s="64"/>
      <c r="F2718" s="64"/>
    </row>
    <row r="2719">
      <c r="B2719" s="64"/>
      <c r="C2719" s="64"/>
      <c r="D2719" s="64"/>
      <c r="E2719" s="64"/>
      <c r="F2719" s="64"/>
    </row>
    <row r="2720">
      <c r="B2720" s="64"/>
      <c r="C2720" s="64"/>
      <c r="D2720" s="64"/>
      <c r="E2720" s="64"/>
      <c r="F2720" s="64"/>
    </row>
    <row r="2721">
      <c r="B2721" s="64"/>
      <c r="C2721" s="64"/>
      <c r="D2721" s="64"/>
      <c r="E2721" s="64"/>
      <c r="F2721" s="64"/>
    </row>
    <row r="2722">
      <c r="B2722" s="64"/>
      <c r="C2722" s="64"/>
      <c r="D2722" s="64"/>
      <c r="E2722" s="64"/>
      <c r="F2722" s="64"/>
    </row>
    <row r="2723">
      <c r="B2723" s="64"/>
      <c r="C2723" s="64"/>
      <c r="D2723" s="64"/>
      <c r="E2723" s="64"/>
      <c r="F2723" s="64"/>
    </row>
    <row r="2724">
      <c r="B2724" s="64"/>
      <c r="C2724" s="64"/>
      <c r="D2724" s="64"/>
      <c r="E2724" s="64"/>
      <c r="F2724" s="64"/>
    </row>
    <row r="2725">
      <c r="B2725" s="64"/>
      <c r="C2725" s="64"/>
      <c r="D2725" s="64"/>
      <c r="E2725" s="64"/>
      <c r="F2725" s="64"/>
    </row>
    <row r="2726">
      <c r="B2726" s="64"/>
      <c r="C2726" s="64"/>
      <c r="D2726" s="64"/>
      <c r="E2726" s="64"/>
      <c r="F2726" s="64"/>
    </row>
    <row r="2727">
      <c r="B2727" s="64"/>
      <c r="C2727" s="64"/>
      <c r="D2727" s="64"/>
      <c r="E2727" s="64"/>
      <c r="F2727" s="64"/>
    </row>
    <row r="2728">
      <c r="B2728" s="64"/>
      <c r="C2728" s="64"/>
      <c r="D2728" s="64"/>
      <c r="E2728" s="64"/>
      <c r="F2728" s="64"/>
    </row>
    <row r="2729">
      <c r="B2729" s="64"/>
      <c r="C2729" s="64"/>
      <c r="D2729" s="64"/>
      <c r="E2729" s="64"/>
      <c r="F2729" s="64"/>
    </row>
    <row r="2730">
      <c r="B2730" s="64"/>
      <c r="C2730" s="64"/>
      <c r="D2730" s="64"/>
      <c r="E2730" s="64"/>
      <c r="F2730" s="64"/>
    </row>
    <row r="2731">
      <c r="B2731" s="64"/>
      <c r="C2731" s="64"/>
      <c r="D2731" s="64"/>
      <c r="E2731" s="64"/>
      <c r="F2731" s="64"/>
    </row>
    <row r="2732">
      <c r="B2732" s="64"/>
      <c r="C2732" s="64"/>
      <c r="D2732" s="64"/>
      <c r="E2732" s="64"/>
      <c r="F2732" s="64"/>
    </row>
    <row r="2733">
      <c r="B2733" s="64"/>
      <c r="C2733" s="64"/>
      <c r="D2733" s="64"/>
      <c r="E2733" s="64"/>
      <c r="F2733" s="64"/>
    </row>
    <row r="2734">
      <c r="B2734" s="64"/>
      <c r="C2734" s="64"/>
      <c r="D2734" s="64"/>
      <c r="E2734" s="64"/>
      <c r="F2734" s="64"/>
    </row>
    <row r="2735">
      <c r="B2735" s="64"/>
      <c r="C2735" s="64"/>
      <c r="D2735" s="64"/>
      <c r="E2735" s="64"/>
      <c r="F2735" s="64"/>
    </row>
    <row r="2736">
      <c r="B2736" s="64"/>
      <c r="C2736" s="64"/>
      <c r="D2736" s="64"/>
      <c r="E2736" s="64"/>
      <c r="F2736" s="64"/>
    </row>
    <row r="2737">
      <c r="B2737" s="64"/>
      <c r="C2737" s="64"/>
      <c r="D2737" s="64"/>
      <c r="E2737" s="64"/>
      <c r="F2737" s="64"/>
    </row>
    <row r="2738">
      <c r="B2738" s="64"/>
      <c r="C2738" s="64"/>
      <c r="D2738" s="64"/>
      <c r="E2738" s="64"/>
      <c r="F2738" s="64"/>
    </row>
    <row r="2739">
      <c r="B2739" s="64"/>
      <c r="C2739" s="64"/>
      <c r="D2739" s="64"/>
      <c r="E2739" s="64"/>
      <c r="F2739" s="64"/>
    </row>
    <row r="2740">
      <c r="B2740" s="64"/>
      <c r="C2740" s="64"/>
      <c r="D2740" s="64"/>
      <c r="E2740" s="64"/>
      <c r="F2740" s="64"/>
    </row>
    <row r="2741">
      <c r="B2741" s="64"/>
      <c r="C2741" s="64"/>
      <c r="D2741" s="64"/>
      <c r="E2741" s="64"/>
      <c r="F2741" s="64"/>
    </row>
    <row r="2742">
      <c r="B2742" s="64"/>
      <c r="C2742" s="64"/>
      <c r="D2742" s="64"/>
      <c r="E2742" s="64"/>
      <c r="F2742" s="64"/>
    </row>
    <row r="2743">
      <c r="B2743" s="64"/>
      <c r="C2743" s="64"/>
      <c r="D2743" s="64"/>
      <c r="E2743" s="64"/>
      <c r="F2743" s="64"/>
    </row>
    <row r="2744">
      <c r="B2744" s="64"/>
      <c r="C2744" s="64"/>
      <c r="D2744" s="64"/>
      <c r="E2744" s="64"/>
      <c r="F2744" s="64"/>
    </row>
    <row r="2745">
      <c r="B2745" s="64"/>
      <c r="C2745" s="64"/>
      <c r="D2745" s="64"/>
      <c r="E2745" s="64"/>
      <c r="F2745" s="64"/>
    </row>
    <row r="2746">
      <c r="B2746" s="64"/>
      <c r="C2746" s="64"/>
      <c r="D2746" s="64"/>
      <c r="E2746" s="64"/>
      <c r="F2746" s="64"/>
    </row>
    <row r="2747">
      <c r="B2747" s="64"/>
      <c r="C2747" s="64"/>
      <c r="D2747" s="64"/>
      <c r="E2747" s="64"/>
      <c r="F2747" s="64"/>
    </row>
    <row r="2748">
      <c r="B2748" s="64"/>
      <c r="C2748" s="64"/>
      <c r="D2748" s="64"/>
      <c r="E2748" s="64"/>
      <c r="F2748" s="64"/>
    </row>
    <row r="2749">
      <c r="B2749" s="64"/>
      <c r="C2749" s="64"/>
      <c r="D2749" s="64"/>
      <c r="E2749" s="64"/>
      <c r="F2749" s="64"/>
    </row>
    <row r="2750">
      <c r="B2750" s="64"/>
      <c r="C2750" s="64"/>
      <c r="D2750" s="64"/>
      <c r="E2750" s="64"/>
      <c r="F2750" s="64"/>
    </row>
    <row r="2751">
      <c r="B2751" s="64"/>
      <c r="C2751" s="64"/>
      <c r="D2751" s="64"/>
      <c r="E2751" s="64"/>
      <c r="F2751" s="64"/>
    </row>
    <row r="2752">
      <c r="B2752" s="64"/>
      <c r="C2752" s="64"/>
      <c r="D2752" s="64"/>
      <c r="E2752" s="64"/>
      <c r="F2752" s="64"/>
    </row>
    <row r="2753">
      <c r="B2753" s="64"/>
      <c r="C2753" s="64"/>
      <c r="D2753" s="64"/>
      <c r="E2753" s="64"/>
      <c r="F2753" s="64"/>
    </row>
    <row r="2754">
      <c r="B2754" s="64"/>
      <c r="C2754" s="64"/>
      <c r="D2754" s="64"/>
      <c r="E2754" s="64"/>
      <c r="F2754" s="64"/>
    </row>
    <row r="2755">
      <c r="B2755" s="64"/>
      <c r="C2755" s="64"/>
      <c r="D2755" s="64"/>
      <c r="E2755" s="64"/>
      <c r="F2755" s="64"/>
    </row>
    <row r="2756">
      <c r="B2756" s="64"/>
      <c r="C2756" s="64"/>
      <c r="D2756" s="64"/>
      <c r="E2756" s="64"/>
      <c r="F2756" s="64"/>
    </row>
    <row r="2757">
      <c r="B2757" s="64"/>
      <c r="C2757" s="64"/>
      <c r="D2757" s="64"/>
      <c r="E2757" s="64"/>
      <c r="F2757" s="64"/>
    </row>
    <row r="2758">
      <c r="B2758" s="64"/>
      <c r="C2758" s="64"/>
      <c r="D2758" s="64"/>
      <c r="E2758" s="64"/>
      <c r="F2758" s="64"/>
    </row>
    <row r="2759">
      <c r="B2759" s="64"/>
      <c r="C2759" s="64"/>
      <c r="D2759" s="64"/>
      <c r="E2759" s="64"/>
      <c r="F2759" s="64"/>
    </row>
    <row r="2760">
      <c r="B2760" s="64"/>
      <c r="C2760" s="64"/>
      <c r="D2760" s="64"/>
      <c r="E2760" s="64"/>
      <c r="F2760" s="64"/>
    </row>
    <row r="2761">
      <c r="B2761" s="64"/>
      <c r="C2761" s="64"/>
      <c r="D2761" s="64"/>
      <c r="E2761" s="64"/>
      <c r="F2761" s="64"/>
    </row>
    <row r="2762">
      <c r="B2762" s="64"/>
      <c r="C2762" s="64"/>
      <c r="D2762" s="64"/>
      <c r="E2762" s="64"/>
      <c r="F2762" s="64"/>
    </row>
    <row r="2763">
      <c r="B2763" s="64"/>
      <c r="C2763" s="64"/>
      <c r="D2763" s="64"/>
      <c r="E2763" s="64"/>
      <c r="F2763" s="64"/>
    </row>
    <row r="2764">
      <c r="B2764" s="64"/>
      <c r="C2764" s="64"/>
      <c r="D2764" s="64"/>
      <c r="E2764" s="64"/>
      <c r="F2764" s="64"/>
    </row>
    <row r="2765">
      <c r="B2765" s="64"/>
      <c r="C2765" s="64"/>
      <c r="D2765" s="64"/>
      <c r="E2765" s="64"/>
      <c r="F2765" s="64"/>
    </row>
    <row r="2766">
      <c r="B2766" s="64"/>
      <c r="C2766" s="64"/>
      <c r="D2766" s="64"/>
      <c r="E2766" s="64"/>
      <c r="F2766" s="64"/>
    </row>
    <row r="2767">
      <c r="B2767" s="64"/>
      <c r="C2767" s="64"/>
      <c r="D2767" s="64"/>
      <c r="E2767" s="64"/>
      <c r="F2767" s="64"/>
    </row>
    <row r="2768">
      <c r="B2768" s="64"/>
      <c r="C2768" s="64"/>
      <c r="D2768" s="64"/>
      <c r="E2768" s="64"/>
      <c r="F2768" s="64"/>
    </row>
    <row r="2769">
      <c r="B2769" s="64"/>
      <c r="C2769" s="64"/>
      <c r="D2769" s="64"/>
      <c r="E2769" s="64"/>
      <c r="F2769" s="64"/>
    </row>
    <row r="2770">
      <c r="B2770" s="64"/>
      <c r="C2770" s="64"/>
      <c r="D2770" s="64"/>
      <c r="E2770" s="64"/>
      <c r="F2770" s="64"/>
    </row>
    <row r="2771">
      <c r="B2771" s="64"/>
      <c r="C2771" s="64"/>
      <c r="D2771" s="64"/>
      <c r="E2771" s="64"/>
      <c r="F2771" s="64"/>
    </row>
    <row r="2772">
      <c r="B2772" s="64"/>
      <c r="C2772" s="64"/>
      <c r="D2772" s="64"/>
      <c r="E2772" s="64"/>
      <c r="F2772" s="64"/>
    </row>
    <row r="2773">
      <c r="B2773" s="64"/>
      <c r="C2773" s="64"/>
      <c r="D2773" s="64"/>
      <c r="E2773" s="64"/>
      <c r="F2773" s="64"/>
    </row>
    <row r="2774">
      <c r="B2774" s="64"/>
      <c r="C2774" s="64"/>
      <c r="D2774" s="64"/>
      <c r="E2774" s="64"/>
      <c r="F2774" s="64"/>
    </row>
    <row r="2775">
      <c r="B2775" s="64"/>
      <c r="C2775" s="64"/>
      <c r="D2775" s="64"/>
      <c r="E2775" s="64"/>
      <c r="F2775" s="64"/>
    </row>
    <row r="2776">
      <c r="B2776" s="64"/>
      <c r="C2776" s="64"/>
      <c r="D2776" s="64"/>
      <c r="E2776" s="64"/>
      <c r="F2776" s="64"/>
    </row>
    <row r="2777">
      <c r="B2777" s="64"/>
      <c r="C2777" s="64"/>
      <c r="D2777" s="64"/>
      <c r="E2777" s="64"/>
      <c r="F2777" s="64"/>
    </row>
    <row r="2778">
      <c r="B2778" s="64"/>
      <c r="C2778" s="64"/>
      <c r="D2778" s="64"/>
      <c r="E2778" s="64"/>
      <c r="F2778" s="64"/>
    </row>
    <row r="2779">
      <c r="B2779" s="64"/>
      <c r="C2779" s="64"/>
      <c r="D2779" s="64"/>
      <c r="E2779" s="64"/>
      <c r="F2779" s="64"/>
    </row>
    <row r="2780">
      <c r="B2780" s="64"/>
      <c r="C2780" s="64"/>
      <c r="D2780" s="64"/>
      <c r="E2780" s="64"/>
      <c r="F2780" s="64"/>
    </row>
    <row r="2781">
      <c r="B2781" s="64"/>
      <c r="C2781" s="64"/>
      <c r="D2781" s="64"/>
      <c r="E2781" s="64"/>
      <c r="F2781" s="64"/>
    </row>
    <row r="2782">
      <c r="B2782" s="64"/>
      <c r="C2782" s="64"/>
      <c r="D2782" s="64"/>
      <c r="E2782" s="64"/>
      <c r="F2782" s="64"/>
    </row>
    <row r="2783">
      <c r="B2783" s="64"/>
      <c r="C2783" s="64"/>
      <c r="D2783" s="64"/>
      <c r="E2783" s="64"/>
      <c r="F2783" s="64"/>
    </row>
    <row r="2784">
      <c r="B2784" s="64"/>
      <c r="C2784" s="64"/>
      <c r="D2784" s="64"/>
      <c r="E2784" s="64"/>
      <c r="F2784" s="64"/>
    </row>
    <row r="2785">
      <c r="B2785" s="64"/>
      <c r="C2785" s="64"/>
      <c r="D2785" s="64"/>
      <c r="E2785" s="64"/>
      <c r="F2785" s="64"/>
    </row>
    <row r="2786">
      <c r="B2786" s="64"/>
      <c r="C2786" s="64"/>
      <c r="D2786" s="64"/>
      <c r="E2786" s="64"/>
      <c r="F2786" s="64"/>
    </row>
    <row r="2787">
      <c r="B2787" s="64"/>
      <c r="C2787" s="64"/>
      <c r="D2787" s="64"/>
      <c r="E2787" s="64"/>
      <c r="F2787" s="64"/>
    </row>
    <row r="2788">
      <c r="B2788" s="64"/>
      <c r="C2788" s="64"/>
      <c r="D2788" s="64"/>
      <c r="E2788" s="64"/>
      <c r="F2788" s="64"/>
    </row>
    <row r="2789">
      <c r="B2789" s="64"/>
      <c r="C2789" s="64"/>
      <c r="D2789" s="64"/>
      <c r="E2789" s="64"/>
      <c r="F2789" s="64"/>
    </row>
    <row r="2790">
      <c r="B2790" s="64"/>
      <c r="C2790" s="64"/>
      <c r="D2790" s="64"/>
      <c r="E2790" s="64"/>
      <c r="F2790" s="64"/>
    </row>
    <row r="2791">
      <c r="B2791" s="64"/>
      <c r="C2791" s="64"/>
      <c r="D2791" s="64"/>
      <c r="E2791" s="64"/>
      <c r="F2791" s="64"/>
    </row>
    <row r="2792">
      <c r="B2792" s="64"/>
      <c r="C2792" s="64"/>
      <c r="D2792" s="64"/>
      <c r="E2792" s="64"/>
      <c r="F2792" s="64"/>
    </row>
    <row r="2793">
      <c r="B2793" s="64"/>
      <c r="C2793" s="64"/>
      <c r="D2793" s="64"/>
      <c r="E2793" s="64"/>
      <c r="F2793" s="64"/>
    </row>
    <row r="2794">
      <c r="B2794" s="64"/>
      <c r="C2794" s="64"/>
      <c r="D2794" s="64"/>
      <c r="E2794" s="64"/>
      <c r="F2794" s="64"/>
    </row>
    <row r="2795">
      <c r="B2795" s="64"/>
      <c r="C2795" s="64"/>
      <c r="D2795" s="64"/>
      <c r="E2795" s="64"/>
      <c r="F2795" s="64"/>
    </row>
    <row r="2796">
      <c r="B2796" s="64"/>
      <c r="C2796" s="64"/>
      <c r="D2796" s="64"/>
      <c r="E2796" s="64"/>
      <c r="F2796" s="64"/>
    </row>
    <row r="2797">
      <c r="B2797" s="64"/>
      <c r="C2797" s="64"/>
      <c r="D2797" s="64"/>
      <c r="E2797" s="64"/>
      <c r="F2797" s="64"/>
    </row>
    <row r="2798">
      <c r="B2798" s="64"/>
      <c r="C2798" s="64"/>
      <c r="D2798" s="64"/>
      <c r="E2798" s="64"/>
      <c r="F2798" s="64"/>
    </row>
    <row r="2799">
      <c r="B2799" s="64"/>
      <c r="C2799" s="64"/>
      <c r="D2799" s="64"/>
      <c r="E2799" s="64"/>
      <c r="F2799" s="64"/>
    </row>
    <row r="2800">
      <c r="B2800" s="64"/>
      <c r="C2800" s="64"/>
      <c r="D2800" s="64"/>
      <c r="E2800" s="64"/>
      <c r="F2800" s="64"/>
    </row>
    <row r="2801">
      <c r="B2801" s="64"/>
      <c r="C2801" s="64"/>
      <c r="D2801" s="64"/>
      <c r="E2801" s="64"/>
      <c r="F2801" s="64"/>
    </row>
    <row r="2802">
      <c r="B2802" s="64"/>
      <c r="C2802" s="64"/>
      <c r="D2802" s="64"/>
      <c r="E2802" s="64"/>
      <c r="F2802" s="64"/>
    </row>
    <row r="2803">
      <c r="B2803" s="64"/>
      <c r="C2803" s="64"/>
      <c r="D2803" s="64"/>
      <c r="E2803" s="64"/>
      <c r="F2803" s="64"/>
    </row>
    <row r="2804">
      <c r="B2804" s="64"/>
      <c r="C2804" s="64"/>
      <c r="D2804" s="64"/>
      <c r="E2804" s="64"/>
      <c r="F2804" s="64"/>
    </row>
    <row r="2805">
      <c r="B2805" s="64"/>
      <c r="C2805" s="64"/>
      <c r="D2805" s="64"/>
      <c r="E2805" s="64"/>
      <c r="F2805" s="64"/>
    </row>
    <row r="2806">
      <c r="B2806" s="64"/>
      <c r="C2806" s="64"/>
      <c r="D2806" s="64"/>
      <c r="E2806" s="64"/>
      <c r="F2806" s="64"/>
    </row>
    <row r="2807">
      <c r="B2807" s="64"/>
      <c r="C2807" s="64"/>
      <c r="D2807" s="64"/>
      <c r="E2807" s="64"/>
      <c r="F2807" s="64"/>
    </row>
    <row r="2808">
      <c r="B2808" s="64"/>
      <c r="C2808" s="64"/>
      <c r="D2808" s="64"/>
      <c r="E2808" s="64"/>
      <c r="F2808" s="64"/>
    </row>
    <row r="2809">
      <c r="B2809" s="64"/>
      <c r="C2809" s="64"/>
      <c r="D2809" s="64"/>
      <c r="E2809" s="64"/>
      <c r="F2809" s="64"/>
    </row>
    <row r="2810">
      <c r="B2810" s="64"/>
      <c r="C2810" s="64"/>
      <c r="D2810" s="64"/>
      <c r="E2810" s="64"/>
      <c r="F2810" s="64"/>
    </row>
    <row r="2811">
      <c r="B2811" s="64"/>
      <c r="C2811" s="64"/>
      <c r="D2811" s="64"/>
      <c r="E2811" s="64"/>
      <c r="F2811" s="64"/>
    </row>
    <row r="2812">
      <c r="B2812" s="64"/>
      <c r="C2812" s="64"/>
      <c r="D2812" s="64"/>
      <c r="E2812" s="64"/>
      <c r="F2812" s="64"/>
    </row>
    <row r="2813">
      <c r="B2813" s="64"/>
      <c r="C2813" s="64"/>
      <c r="D2813" s="64"/>
      <c r="E2813" s="64"/>
      <c r="F2813" s="64"/>
    </row>
    <row r="2814">
      <c r="B2814" s="64"/>
      <c r="C2814" s="64"/>
      <c r="D2814" s="64"/>
      <c r="E2814" s="64"/>
      <c r="F2814" s="64"/>
    </row>
    <row r="2815">
      <c r="B2815" s="64"/>
      <c r="C2815" s="64"/>
      <c r="D2815" s="64"/>
      <c r="E2815" s="64"/>
      <c r="F2815" s="64"/>
    </row>
    <row r="2816">
      <c r="B2816" s="64"/>
      <c r="C2816" s="64"/>
      <c r="D2816" s="64"/>
      <c r="E2816" s="64"/>
      <c r="F2816" s="64"/>
    </row>
    <row r="2817">
      <c r="B2817" s="64"/>
      <c r="C2817" s="64"/>
      <c r="D2817" s="64"/>
      <c r="E2817" s="64"/>
      <c r="F2817" s="64"/>
    </row>
    <row r="2818">
      <c r="B2818" s="64"/>
      <c r="C2818" s="64"/>
      <c r="D2818" s="64"/>
      <c r="E2818" s="64"/>
      <c r="F2818" s="64"/>
    </row>
    <row r="2819">
      <c r="B2819" s="64"/>
      <c r="C2819" s="64"/>
      <c r="D2819" s="64"/>
      <c r="E2819" s="64"/>
      <c r="F2819" s="64"/>
    </row>
    <row r="2820">
      <c r="B2820" s="64"/>
      <c r="C2820" s="64"/>
      <c r="D2820" s="64"/>
      <c r="E2820" s="64"/>
      <c r="F2820" s="64"/>
    </row>
    <row r="2821">
      <c r="B2821" s="64"/>
      <c r="C2821" s="64"/>
      <c r="D2821" s="64"/>
      <c r="E2821" s="64"/>
      <c r="F2821" s="64"/>
    </row>
    <row r="2822">
      <c r="B2822" s="64"/>
      <c r="C2822" s="64"/>
      <c r="D2822" s="64"/>
      <c r="E2822" s="64"/>
      <c r="F2822" s="64"/>
    </row>
    <row r="2823">
      <c r="B2823" s="64"/>
      <c r="C2823" s="64"/>
      <c r="D2823" s="64"/>
      <c r="E2823" s="64"/>
      <c r="F2823" s="64"/>
    </row>
    <row r="2824">
      <c r="B2824" s="64"/>
      <c r="C2824" s="64"/>
      <c r="D2824" s="64"/>
      <c r="E2824" s="64"/>
      <c r="F2824" s="64"/>
    </row>
    <row r="2825">
      <c r="B2825" s="64"/>
      <c r="C2825" s="64"/>
      <c r="D2825" s="64"/>
      <c r="E2825" s="64"/>
      <c r="F2825" s="64"/>
    </row>
    <row r="2826">
      <c r="B2826" s="64"/>
      <c r="C2826" s="64"/>
      <c r="D2826" s="64"/>
      <c r="E2826" s="64"/>
      <c r="F2826" s="64"/>
    </row>
    <row r="2827">
      <c r="B2827" s="64"/>
      <c r="C2827" s="64"/>
      <c r="D2827" s="64"/>
      <c r="E2827" s="64"/>
      <c r="F2827" s="64"/>
    </row>
    <row r="2828">
      <c r="B2828" s="64"/>
      <c r="C2828" s="64"/>
      <c r="D2828" s="64"/>
      <c r="E2828" s="64"/>
      <c r="F2828" s="64"/>
    </row>
    <row r="2829">
      <c r="B2829" s="64"/>
      <c r="C2829" s="64"/>
      <c r="D2829" s="64"/>
      <c r="E2829" s="64"/>
      <c r="F2829" s="64"/>
    </row>
    <row r="2830">
      <c r="B2830" s="64"/>
      <c r="C2830" s="64"/>
      <c r="D2830" s="64"/>
      <c r="E2830" s="64"/>
      <c r="F2830" s="64"/>
    </row>
    <row r="2831">
      <c r="B2831" s="64"/>
      <c r="C2831" s="64"/>
      <c r="D2831" s="64"/>
      <c r="E2831" s="64"/>
      <c r="F2831" s="64"/>
    </row>
    <row r="2832">
      <c r="B2832" s="64"/>
      <c r="C2832" s="64"/>
      <c r="D2832" s="64"/>
      <c r="E2832" s="64"/>
      <c r="F2832" s="64"/>
    </row>
    <row r="2833">
      <c r="B2833" s="64"/>
      <c r="C2833" s="64"/>
      <c r="D2833" s="64"/>
      <c r="E2833" s="64"/>
      <c r="F2833" s="64"/>
    </row>
    <row r="2834">
      <c r="B2834" s="64"/>
      <c r="C2834" s="64"/>
      <c r="D2834" s="64"/>
      <c r="E2834" s="64"/>
      <c r="F2834" s="64"/>
    </row>
    <row r="2835">
      <c r="B2835" s="64"/>
      <c r="C2835" s="64"/>
      <c r="D2835" s="64"/>
      <c r="E2835" s="64"/>
      <c r="F2835" s="64"/>
    </row>
    <row r="2836">
      <c r="B2836" s="64"/>
      <c r="C2836" s="64"/>
      <c r="D2836" s="64"/>
      <c r="E2836" s="64"/>
      <c r="F2836" s="64"/>
    </row>
    <row r="2837">
      <c r="B2837" s="64"/>
      <c r="C2837" s="64"/>
      <c r="D2837" s="64"/>
      <c r="E2837" s="64"/>
      <c r="F2837" s="64"/>
    </row>
    <row r="2838">
      <c r="B2838" s="64"/>
      <c r="C2838" s="64"/>
      <c r="D2838" s="64"/>
      <c r="E2838" s="64"/>
      <c r="F2838" s="64"/>
    </row>
    <row r="2839">
      <c r="B2839" s="64"/>
      <c r="C2839" s="64"/>
      <c r="D2839" s="64"/>
      <c r="E2839" s="64"/>
      <c r="F2839" s="64"/>
    </row>
    <row r="2840">
      <c r="B2840" s="64"/>
      <c r="C2840" s="64"/>
      <c r="D2840" s="64"/>
      <c r="E2840" s="64"/>
      <c r="F2840" s="64"/>
    </row>
    <row r="2841">
      <c r="B2841" s="64"/>
      <c r="C2841" s="64"/>
      <c r="D2841" s="64"/>
      <c r="E2841" s="64"/>
      <c r="F2841" s="64"/>
    </row>
    <row r="2842">
      <c r="B2842" s="64"/>
      <c r="C2842" s="64"/>
      <c r="D2842" s="64"/>
      <c r="E2842" s="64"/>
      <c r="F2842" s="64"/>
    </row>
    <row r="2843">
      <c r="B2843" s="64"/>
      <c r="C2843" s="64"/>
      <c r="D2843" s="64"/>
      <c r="E2843" s="64"/>
      <c r="F2843" s="64"/>
    </row>
    <row r="2844">
      <c r="B2844" s="64"/>
      <c r="C2844" s="64"/>
      <c r="D2844" s="64"/>
      <c r="E2844" s="64"/>
      <c r="F2844" s="64"/>
    </row>
    <row r="2845">
      <c r="B2845" s="64"/>
      <c r="C2845" s="64"/>
      <c r="D2845" s="64"/>
      <c r="E2845" s="64"/>
      <c r="F2845" s="64"/>
    </row>
    <row r="2846">
      <c r="B2846" s="64"/>
      <c r="C2846" s="64"/>
      <c r="D2846" s="64"/>
      <c r="E2846" s="64"/>
      <c r="F2846" s="64"/>
    </row>
    <row r="2847">
      <c r="B2847" s="64"/>
      <c r="C2847" s="64"/>
      <c r="D2847" s="64"/>
      <c r="E2847" s="64"/>
      <c r="F2847" s="64"/>
    </row>
    <row r="2848">
      <c r="B2848" s="64"/>
      <c r="C2848" s="64"/>
      <c r="D2848" s="64"/>
      <c r="E2848" s="64"/>
      <c r="F2848" s="64"/>
    </row>
    <row r="2849">
      <c r="B2849" s="64"/>
      <c r="C2849" s="64"/>
      <c r="D2849" s="64"/>
      <c r="E2849" s="64"/>
      <c r="F2849" s="64"/>
    </row>
    <row r="2850">
      <c r="B2850" s="64"/>
      <c r="C2850" s="64"/>
      <c r="D2850" s="64"/>
      <c r="E2850" s="64"/>
      <c r="F2850" s="64"/>
    </row>
    <row r="2851">
      <c r="B2851" s="64"/>
      <c r="C2851" s="64"/>
      <c r="D2851" s="64"/>
      <c r="E2851" s="64"/>
      <c r="F2851" s="64"/>
    </row>
    <row r="2852">
      <c r="B2852" s="64"/>
      <c r="C2852" s="64"/>
      <c r="D2852" s="64"/>
      <c r="E2852" s="64"/>
      <c r="F2852" s="64"/>
    </row>
    <row r="2853">
      <c r="B2853" s="64"/>
      <c r="C2853" s="64"/>
      <c r="D2853" s="64"/>
      <c r="E2853" s="64"/>
      <c r="F2853" s="64"/>
    </row>
    <row r="2854">
      <c r="B2854" s="64"/>
      <c r="C2854" s="64"/>
      <c r="D2854" s="64"/>
      <c r="E2854" s="64"/>
      <c r="F2854" s="64"/>
    </row>
    <row r="2855">
      <c r="B2855" s="64"/>
      <c r="C2855" s="64"/>
      <c r="D2855" s="64"/>
      <c r="E2855" s="64"/>
      <c r="F2855" s="64"/>
    </row>
    <row r="2856">
      <c r="B2856" s="64"/>
      <c r="C2856" s="64"/>
      <c r="D2856" s="64"/>
      <c r="E2856" s="64"/>
      <c r="F2856" s="64"/>
    </row>
    <row r="2857">
      <c r="B2857" s="64"/>
      <c r="C2857" s="64"/>
      <c r="D2857" s="64"/>
      <c r="E2857" s="64"/>
      <c r="F2857" s="64"/>
    </row>
    <row r="2858">
      <c r="B2858" s="64"/>
      <c r="C2858" s="64"/>
      <c r="D2858" s="64"/>
      <c r="E2858" s="64"/>
      <c r="F2858" s="64"/>
    </row>
    <row r="2859">
      <c r="B2859" s="64"/>
      <c r="C2859" s="64"/>
      <c r="D2859" s="64"/>
      <c r="E2859" s="64"/>
      <c r="F2859" s="64"/>
    </row>
    <row r="2860">
      <c r="B2860" s="64"/>
      <c r="C2860" s="64"/>
      <c r="D2860" s="64"/>
      <c r="E2860" s="64"/>
      <c r="F2860" s="64"/>
    </row>
    <row r="2861">
      <c r="B2861" s="64"/>
      <c r="C2861" s="64"/>
      <c r="D2861" s="64"/>
      <c r="E2861" s="64"/>
      <c r="F2861" s="64"/>
    </row>
    <row r="2862">
      <c r="B2862" s="64"/>
      <c r="C2862" s="64"/>
      <c r="D2862" s="64"/>
      <c r="E2862" s="64"/>
      <c r="F2862" s="64"/>
    </row>
    <row r="2863">
      <c r="B2863" s="64"/>
      <c r="C2863" s="64"/>
      <c r="D2863" s="64"/>
      <c r="E2863" s="64"/>
      <c r="F2863" s="64"/>
    </row>
    <row r="2864">
      <c r="B2864" s="64"/>
      <c r="C2864" s="64"/>
      <c r="D2864" s="64"/>
      <c r="E2864" s="64"/>
      <c r="F2864" s="64"/>
    </row>
    <row r="2865">
      <c r="B2865" s="64"/>
      <c r="C2865" s="64"/>
      <c r="D2865" s="64"/>
      <c r="E2865" s="64"/>
      <c r="F2865" s="64"/>
    </row>
    <row r="2866">
      <c r="B2866" s="64"/>
      <c r="C2866" s="64"/>
      <c r="D2866" s="64"/>
      <c r="E2866" s="64"/>
      <c r="F2866" s="64"/>
    </row>
    <row r="2867">
      <c r="B2867" s="64"/>
      <c r="C2867" s="64"/>
      <c r="D2867" s="64"/>
      <c r="E2867" s="64"/>
      <c r="F2867" s="64"/>
    </row>
    <row r="2868">
      <c r="B2868" s="64"/>
      <c r="C2868" s="64"/>
      <c r="D2868" s="64"/>
      <c r="E2868" s="64"/>
      <c r="F2868" s="64"/>
    </row>
    <row r="2869">
      <c r="B2869" s="64"/>
      <c r="C2869" s="64"/>
      <c r="D2869" s="64"/>
      <c r="E2869" s="64"/>
      <c r="F2869" s="64"/>
    </row>
    <row r="2870">
      <c r="B2870" s="64"/>
      <c r="C2870" s="64"/>
      <c r="D2870" s="64"/>
      <c r="E2870" s="64"/>
      <c r="F2870" s="64"/>
    </row>
    <row r="2871">
      <c r="B2871" s="64"/>
      <c r="C2871" s="64"/>
      <c r="D2871" s="64"/>
      <c r="E2871" s="64"/>
      <c r="F2871" s="64"/>
    </row>
    <row r="2872">
      <c r="B2872" s="64"/>
      <c r="C2872" s="64"/>
      <c r="D2872" s="64"/>
      <c r="E2872" s="64"/>
      <c r="F2872" s="64"/>
    </row>
    <row r="2873">
      <c r="B2873" s="64"/>
      <c r="C2873" s="64"/>
      <c r="D2873" s="64"/>
      <c r="E2873" s="64"/>
      <c r="F2873" s="64"/>
    </row>
    <row r="2874">
      <c r="B2874" s="64"/>
      <c r="C2874" s="64"/>
      <c r="D2874" s="64"/>
      <c r="E2874" s="64"/>
      <c r="F2874" s="64"/>
    </row>
    <row r="2875">
      <c r="B2875" s="64"/>
      <c r="C2875" s="64"/>
      <c r="D2875" s="64"/>
      <c r="E2875" s="64"/>
      <c r="F2875" s="64"/>
    </row>
    <row r="2876">
      <c r="B2876" s="64"/>
      <c r="C2876" s="64"/>
      <c r="D2876" s="64"/>
      <c r="E2876" s="64"/>
      <c r="F2876" s="64"/>
    </row>
    <row r="2877">
      <c r="B2877" s="64"/>
      <c r="C2877" s="64"/>
      <c r="D2877" s="64"/>
      <c r="E2877" s="64"/>
      <c r="F2877" s="64"/>
    </row>
    <row r="2878">
      <c r="B2878" s="64"/>
      <c r="C2878" s="64"/>
      <c r="D2878" s="64"/>
      <c r="E2878" s="64"/>
      <c r="F2878" s="64"/>
    </row>
    <row r="2879">
      <c r="B2879" s="64"/>
      <c r="C2879" s="64"/>
      <c r="D2879" s="64"/>
      <c r="E2879" s="64"/>
      <c r="F2879" s="64"/>
    </row>
    <row r="2880">
      <c r="B2880" s="64"/>
      <c r="C2880" s="64"/>
      <c r="D2880" s="64"/>
      <c r="E2880" s="64"/>
      <c r="F2880" s="64"/>
    </row>
    <row r="2881">
      <c r="B2881" s="64"/>
      <c r="C2881" s="64"/>
      <c r="D2881" s="64"/>
      <c r="E2881" s="64"/>
      <c r="F2881" s="64"/>
    </row>
    <row r="2882">
      <c r="B2882" s="64"/>
      <c r="C2882" s="64"/>
      <c r="D2882" s="64"/>
      <c r="E2882" s="64"/>
      <c r="F2882" s="64"/>
    </row>
    <row r="2883">
      <c r="B2883" s="64"/>
      <c r="C2883" s="64"/>
      <c r="D2883" s="64"/>
      <c r="E2883" s="64"/>
      <c r="F2883" s="64"/>
    </row>
    <row r="2884">
      <c r="B2884" s="64"/>
      <c r="C2884" s="64"/>
      <c r="D2884" s="64"/>
      <c r="E2884" s="64"/>
      <c r="F2884" s="64"/>
    </row>
    <row r="2885">
      <c r="B2885" s="64"/>
      <c r="C2885" s="64"/>
      <c r="D2885" s="64"/>
      <c r="E2885" s="64"/>
      <c r="F2885" s="64"/>
    </row>
    <row r="2886">
      <c r="B2886" s="64"/>
      <c r="C2886" s="64"/>
      <c r="D2886" s="64"/>
      <c r="E2886" s="64"/>
      <c r="F2886" s="64"/>
    </row>
    <row r="2887">
      <c r="B2887" s="64"/>
      <c r="C2887" s="64"/>
      <c r="D2887" s="64"/>
      <c r="E2887" s="64"/>
      <c r="F2887" s="64"/>
    </row>
    <row r="2888">
      <c r="B2888" s="64"/>
      <c r="C2888" s="64"/>
      <c r="D2888" s="64"/>
      <c r="E2888" s="64"/>
      <c r="F2888" s="64"/>
    </row>
    <row r="2889">
      <c r="B2889" s="64"/>
      <c r="C2889" s="64"/>
      <c r="D2889" s="64"/>
      <c r="E2889" s="64"/>
      <c r="F2889" s="64"/>
    </row>
    <row r="2890">
      <c r="B2890" s="64"/>
      <c r="C2890" s="64"/>
      <c r="D2890" s="64"/>
      <c r="E2890" s="64"/>
      <c r="F2890" s="64"/>
    </row>
    <row r="2891">
      <c r="B2891" s="64"/>
      <c r="C2891" s="64"/>
      <c r="D2891" s="64"/>
      <c r="E2891" s="64"/>
      <c r="F2891" s="64"/>
    </row>
    <row r="2892">
      <c r="B2892" s="64"/>
      <c r="C2892" s="64"/>
      <c r="D2892" s="64"/>
      <c r="E2892" s="64"/>
      <c r="F2892" s="64"/>
    </row>
    <row r="2893">
      <c r="B2893" s="64"/>
      <c r="C2893" s="64"/>
      <c r="D2893" s="64"/>
      <c r="E2893" s="64"/>
      <c r="F2893" s="64"/>
    </row>
    <row r="2894">
      <c r="B2894" s="64"/>
      <c r="C2894" s="64"/>
      <c r="D2894" s="64"/>
      <c r="E2894" s="64"/>
      <c r="F2894" s="64"/>
    </row>
    <row r="2895">
      <c r="B2895" s="64"/>
      <c r="C2895" s="64"/>
      <c r="D2895" s="64"/>
      <c r="E2895" s="64"/>
      <c r="F2895" s="64"/>
    </row>
    <row r="2896">
      <c r="B2896" s="64"/>
      <c r="C2896" s="64"/>
      <c r="D2896" s="64"/>
      <c r="E2896" s="64"/>
      <c r="F2896" s="64"/>
    </row>
    <row r="2897">
      <c r="B2897" s="64"/>
      <c r="C2897" s="64"/>
      <c r="D2897" s="64"/>
      <c r="E2897" s="64"/>
      <c r="F2897" s="64"/>
    </row>
    <row r="2898">
      <c r="B2898" s="64"/>
      <c r="C2898" s="64"/>
      <c r="D2898" s="64"/>
      <c r="E2898" s="64"/>
      <c r="F2898" s="64"/>
    </row>
    <row r="2899">
      <c r="B2899" s="64"/>
      <c r="C2899" s="64"/>
      <c r="D2899" s="64"/>
      <c r="E2899" s="64"/>
      <c r="F2899" s="64"/>
    </row>
    <row r="2900">
      <c r="B2900" s="64"/>
      <c r="C2900" s="64"/>
      <c r="D2900" s="64"/>
      <c r="E2900" s="64"/>
      <c r="F2900" s="64"/>
    </row>
    <row r="2901">
      <c r="B2901" s="64"/>
      <c r="C2901" s="64"/>
      <c r="D2901" s="64"/>
      <c r="E2901" s="64"/>
      <c r="F2901" s="64"/>
    </row>
    <row r="2902">
      <c r="B2902" s="64"/>
      <c r="C2902" s="64"/>
      <c r="D2902" s="64"/>
      <c r="E2902" s="64"/>
      <c r="F2902" s="64"/>
    </row>
    <row r="2903">
      <c r="B2903" s="64"/>
      <c r="C2903" s="64"/>
      <c r="D2903" s="64"/>
      <c r="E2903" s="64"/>
      <c r="F2903" s="64"/>
    </row>
    <row r="2904">
      <c r="B2904" s="64"/>
      <c r="C2904" s="64"/>
      <c r="D2904" s="64"/>
      <c r="E2904" s="64"/>
      <c r="F2904" s="64"/>
    </row>
    <row r="2905">
      <c r="B2905" s="64"/>
      <c r="C2905" s="64"/>
      <c r="D2905" s="64"/>
      <c r="E2905" s="64"/>
      <c r="F2905" s="64"/>
    </row>
    <row r="2906">
      <c r="B2906" s="64"/>
      <c r="C2906" s="64"/>
      <c r="D2906" s="64"/>
      <c r="E2906" s="64"/>
      <c r="F2906" s="64"/>
    </row>
    <row r="2907">
      <c r="B2907" s="64"/>
      <c r="C2907" s="64"/>
      <c r="D2907" s="64"/>
      <c r="E2907" s="64"/>
      <c r="F2907" s="64"/>
    </row>
    <row r="2908">
      <c r="B2908" s="64"/>
      <c r="C2908" s="64"/>
      <c r="D2908" s="64"/>
      <c r="E2908" s="64"/>
      <c r="F2908" s="64"/>
    </row>
    <row r="2909">
      <c r="B2909" s="64"/>
      <c r="C2909" s="64"/>
      <c r="D2909" s="64"/>
      <c r="E2909" s="64"/>
      <c r="F2909" s="64"/>
    </row>
    <row r="2910">
      <c r="B2910" s="64"/>
      <c r="C2910" s="64"/>
      <c r="D2910" s="64"/>
      <c r="E2910" s="64"/>
      <c r="F2910" s="64"/>
    </row>
    <row r="2911">
      <c r="B2911" s="64"/>
      <c r="C2911" s="64"/>
      <c r="D2911" s="64"/>
      <c r="E2911" s="64"/>
      <c r="F2911" s="64"/>
    </row>
    <row r="2912">
      <c r="B2912" s="64"/>
      <c r="C2912" s="64"/>
      <c r="D2912" s="64"/>
      <c r="E2912" s="64"/>
      <c r="F2912" s="64"/>
    </row>
    <row r="2913">
      <c r="B2913" s="64"/>
      <c r="C2913" s="64"/>
      <c r="D2913" s="64"/>
      <c r="E2913" s="64"/>
      <c r="F2913" s="64"/>
    </row>
    <row r="2914">
      <c r="B2914" s="64"/>
      <c r="C2914" s="64"/>
      <c r="D2914" s="64"/>
      <c r="E2914" s="64"/>
      <c r="F2914" s="64"/>
    </row>
    <row r="2915">
      <c r="B2915" s="64"/>
      <c r="C2915" s="64"/>
      <c r="D2915" s="64"/>
      <c r="E2915" s="64"/>
      <c r="F2915" s="64"/>
    </row>
    <row r="2916">
      <c r="B2916" s="64"/>
      <c r="C2916" s="64"/>
      <c r="D2916" s="64"/>
      <c r="E2916" s="64"/>
      <c r="F2916" s="64"/>
    </row>
    <row r="2917">
      <c r="B2917" s="64"/>
      <c r="C2917" s="64"/>
      <c r="D2917" s="64"/>
      <c r="E2917" s="64"/>
      <c r="F2917" s="64"/>
    </row>
    <row r="2918">
      <c r="B2918" s="64"/>
      <c r="C2918" s="64"/>
      <c r="D2918" s="64"/>
      <c r="E2918" s="64"/>
      <c r="F2918" s="64"/>
    </row>
    <row r="2919">
      <c r="B2919" s="64"/>
      <c r="C2919" s="64"/>
      <c r="D2919" s="64"/>
      <c r="E2919" s="64"/>
      <c r="F2919" s="64"/>
    </row>
    <row r="2920">
      <c r="B2920" s="64"/>
      <c r="C2920" s="64"/>
      <c r="D2920" s="64"/>
      <c r="E2920" s="64"/>
      <c r="F2920" s="64"/>
    </row>
    <row r="2921">
      <c r="B2921" s="64"/>
      <c r="C2921" s="64"/>
      <c r="D2921" s="64"/>
      <c r="E2921" s="64"/>
      <c r="F2921" s="64"/>
    </row>
    <row r="2922">
      <c r="B2922" s="64"/>
      <c r="C2922" s="64"/>
      <c r="D2922" s="64"/>
      <c r="E2922" s="64"/>
      <c r="F2922" s="64"/>
    </row>
    <row r="2923">
      <c r="B2923" s="64"/>
      <c r="C2923" s="64"/>
      <c r="D2923" s="64"/>
      <c r="E2923" s="64"/>
      <c r="F2923" s="64"/>
    </row>
    <row r="2924">
      <c r="B2924" s="64"/>
      <c r="C2924" s="64"/>
      <c r="D2924" s="64"/>
      <c r="E2924" s="64"/>
      <c r="F2924" s="64"/>
    </row>
    <row r="2925">
      <c r="B2925" s="64"/>
      <c r="C2925" s="64"/>
      <c r="D2925" s="64"/>
      <c r="E2925" s="64"/>
      <c r="F2925" s="64"/>
    </row>
    <row r="2926">
      <c r="B2926" s="64"/>
      <c r="C2926" s="64"/>
      <c r="D2926" s="64"/>
      <c r="E2926" s="64"/>
      <c r="F2926" s="64"/>
    </row>
    <row r="2927">
      <c r="B2927" s="64"/>
      <c r="C2927" s="64"/>
      <c r="D2927" s="64"/>
      <c r="E2927" s="64"/>
      <c r="F2927" s="64"/>
    </row>
    <row r="2928">
      <c r="B2928" s="64"/>
      <c r="C2928" s="64"/>
      <c r="D2928" s="64"/>
      <c r="E2928" s="64"/>
      <c r="F2928" s="64"/>
    </row>
    <row r="2929">
      <c r="B2929" s="64"/>
      <c r="C2929" s="64"/>
      <c r="D2929" s="64"/>
      <c r="E2929" s="64"/>
      <c r="F2929" s="64"/>
    </row>
    <row r="2930">
      <c r="B2930" s="64"/>
      <c r="C2930" s="64"/>
      <c r="D2930" s="64"/>
      <c r="E2930" s="64"/>
      <c r="F2930" s="64"/>
    </row>
    <row r="2931">
      <c r="B2931" s="64"/>
      <c r="C2931" s="64"/>
      <c r="D2931" s="64"/>
      <c r="E2931" s="64"/>
      <c r="F2931" s="64"/>
    </row>
    <row r="2932">
      <c r="B2932" s="64"/>
      <c r="C2932" s="64"/>
      <c r="D2932" s="64"/>
      <c r="E2932" s="64"/>
      <c r="F2932" s="64"/>
    </row>
    <row r="2933">
      <c r="B2933" s="64"/>
      <c r="C2933" s="64"/>
      <c r="D2933" s="64"/>
      <c r="E2933" s="64"/>
      <c r="F2933" s="64"/>
    </row>
    <row r="2934">
      <c r="B2934" s="64"/>
      <c r="C2934" s="64"/>
      <c r="D2934" s="64"/>
      <c r="E2934" s="64"/>
      <c r="F2934" s="64"/>
    </row>
    <row r="2935">
      <c r="B2935" s="64"/>
      <c r="C2935" s="64"/>
      <c r="D2935" s="64"/>
      <c r="E2935" s="64"/>
      <c r="F2935" s="64"/>
    </row>
    <row r="2936">
      <c r="B2936" s="64"/>
      <c r="C2936" s="64"/>
      <c r="D2936" s="64"/>
      <c r="E2936" s="64"/>
      <c r="F2936" s="64"/>
    </row>
    <row r="2937">
      <c r="B2937" s="64"/>
      <c r="C2937" s="64"/>
      <c r="D2937" s="64"/>
      <c r="E2937" s="64"/>
      <c r="F2937" s="64"/>
    </row>
    <row r="2938">
      <c r="B2938" s="64"/>
      <c r="C2938" s="64"/>
      <c r="D2938" s="64"/>
      <c r="E2938" s="64"/>
      <c r="F2938" s="64"/>
    </row>
    <row r="2939">
      <c r="B2939" s="64"/>
      <c r="C2939" s="64"/>
      <c r="D2939" s="64"/>
      <c r="E2939" s="64"/>
      <c r="F2939" s="64"/>
    </row>
    <row r="2940">
      <c r="B2940" s="64"/>
      <c r="C2940" s="64"/>
      <c r="D2940" s="64"/>
      <c r="E2940" s="64"/>
      <c r="F2940" s="64"/>
    </row>
    <row r="2941">
      <c r="B2941" s="64"/>
      <c r="C2941" s="64"/>
      <c r="D2941" s="64"/>
      <c r="E2941" s="64"/>
      <c r="F2941" s="64"/>
    </row>
    <row r="2942">
      <c r="B2942" s="64"/>
      <c r="C2942" s="64"/>
      <c r="D2942" s="64"/>
      <c r="E2942" s="64"/>
      <c r="F2942" s="64"/>
    </row>
    <row r="2943">
      <c r="B2943" s="64"/>
      <c r="C2943" s="64"/>
      <c r="D2943" s="64"/>
      <c r="E2943" s="64"/>
      <c r="F2943" s="64"/>
    </row>
    <row r="2944">
      <c r="B2944" s="64"/>
      <c r="C2944" s="64"/>
      <c r="D2944" s="64"/>
      <c r="E2944" s="64"/>
      <c r="F2944" s="64"/>
    </row>
    <row r="2945">
      <c r="B2945" s="64"/>
      <c r="C2945" s="64"/>
      <c r="D2945" s="64"/>
      <c r="E2945" s="64"/>
      <c r="F2945" s="64"/>
    </row>
    <row r="2946">
      <c r="B2946" s="64"/>
      <c r="C2946" s="64"/>
      <c r="D2946" s="64"/>
      <c r="E2946" s="64"/>
      <c r="F2946" s="64"/>
    </row>
    <row r="2947">
      <c r="B2947" s="64"/>
      <c r="C2947" s="64"/>
      <c r="D2947" s="64"/>
      <c r="E2947" s="64"/>
      <c r="F2947" s="64"/>
    </row>
    <row r="2948">
      <c r="B2948" s="64"/>
      <c r="C2948" s="64"/>
      <c r="D2948" s="64"/>
      <c r="E2948" s="64"/>
      <c r="F2948" s="64"/>
    </row>
    <row r="2949">
      <c r="B2949" s="64"/>
      <c r="C2949" s="64"/>
      <c r="D2949" s="64"/>
      <c r="E2949" s="64"/>
      <c r="F2949" s="64"/>
    </row>
    <row r="2950">
      <c r="B2950" s="64"/>
      <c r="C2950" s="64"/>
      <c r="D2950" s="64"/>
      <c r="E2950" s="64"/>
      <c r="F2950" s="64"/>
    </row>
    <row r="2951">
      <c r="B2951" s="64"/>
      <c r="C2951" s="64"/>
      <c r="D2951" s="64"/>
      <c r="E2951" s="64"/>
      <c r="F2951" s="64"/>
    </row>
    <row r="2952">
      <c r="B2952" s="64"/>
      <c r="C2952" s="64"/>
      <c r="D2952" s="64"/>
      <c r="E2952" s="64"/>
      <c r="F2952" s="64"/>
    </row>
    <row r="2953">
      <c r="B2953" s="64"/>
      <c r="C2953" s="64"/>
      <c r="D2953" s="64"/>
      <c r="E2953" s="64"/>
      <c r="F2953" s="64"/>
    </row>
    <row r="2954">
      <c r="B2954" s="64"/>
      <c r="C2954" s="64"/>
      <c r="D2954" s="64"/>
      <c r="E2954" s="64"/>
      <c r="F2954" s="64"/>
    </row>
    <row r="2955">
      <c r="B2955" s="64"/>
      <c r="C2955" s="64"/>
      <c r="D2955" s="64"/>
      <c r="E2955" s="64"/>
      <c r="F2955" s="64"/>
    </row>
    <row r="2956">
      <c r="B2956" s="64"/>
      <c r="C2956" s="64"/>
      <c r="D2956" s="64"/>
      <c r="E2956" s="64"/>
      <c r="F2956" s="64"/>
    </row>
    <row r="2957">
      <c r="B2957" s="64"/>
      <c r="C2957" s="64"/>
      <c r="D2957" s="64"/>
      <c r="E2957" s="64"/>
      <c r="F2957" s="64"/>
    </row>
    <row r="2958">
      <c r="B2958" s="64"/>
      <c r="C2958" s="64"/>
      <c r="D2958" s="64"/>
      <c r="E2958" s="64"/>
      <c r="F2958" s="64"/>
    </row>
    <row r="2959">
      <c r="B2959" s="64"/>
      <c r="C2959" s="64"/>
      <c r="D2959" s="64"/>
      <c r="E2959" s="64"/>
      <c r="F2959" s="64"/>
    </row>
    <row r="2960">
      <c r="B2960" s="64"/>
      <c r="C2960" s="64"/>
      <c r="D2960" s="64"/>
      <c r="E2960" s="64"/>
      <c r="F2960" s="64"/>
    </row>
    <row r="2961">
      <c r="B2961" s="64"/>
      <c r="C2961" s="64"/>
      <c r="D2961" s="64"/>
      <c r="E2961" s="64"/>
      <c r="F2961" s="64"/>
    </row>
    <row r="2962">
      <c r="B2962" s="64"/>
      <c r="C2962" s="64"/>
      <c r="D2962" s="64"/>
      <c r="E2962" s="64"/>
      <c r="F2962" s="64"/>
    </row>
    <row r="2963">
      <c r="B2963" s="64"/>
      <c r="C2963" s="64"/>
      <c r="D2963" s="64"/>
      <c r="E2963" s="64"/>
      <c r="F2963" s="64"/>
    </row>
    <row r="2964">
      <c r="B2964" s="64"/>
      <c r="C2964" s="64"/>
      <c r="D2964" s="64"/>
      <c r="E2964" s="64"/>
      <c r="F2964" s="64"/>
    </row>
    <row r="2965">
      <c r="B2965" s="64"/>
      <c r="C2965" s="64"/>
      <c r="D2965" s="64"/>
      <c r="E2965" s="64"/>
      <c r="F2965" s="64"/>
    </row>
    <row r="2966">
      <c r="B2966" s="64"/>
      <c r="C2966" s="64"/>
      <c r="D2966" s="64"/>
      <c r="E2966" s="64"/>
      <c r="F2966" s="64"/>
    </row>
    <row r="2967">
      <c r="B2967" s="64"/>
      <c r="C2967" s="64"/>
      <c r="D2967" s="64"/>
      <c r="E2967" s="64"/>
      <c r="F2967" s="64"/>
    </row>
    <row r="2968">
      <c r="B2968" s="64"/>
      <c r="C2968" s="64"/>
      <c r="D2968" s="64"/>
      <c r="E2968" s="64"/>
      <c r="F2968" s="64"/>
    </row>
    <row r="2969">
      <c r="B2969" s="64"/>
      <c r="C2969" s="64"/>
      <c r="D2969" s="64"/>
      <c r="E2969" s="64"/>
      <c r="F2969" s="64"/>
    </row>
    <row r="2970">
      <c r="B2970" s="64"/>
      <c r="C2970" s="64"/>
      <c r="D2970" s="64"/>
      <c r="E2970" s="64"/>
      <c r="F2970" s="64"/>
    </row>
    <row r="2971">
      <c r="B2971" s="64"/>
      <c r="C2971" s="64"/>
      <c r="D2971" s="64"/>
      <c r="E2971" s="64"/>
      <c r="F2971" s="64"/>
    </row>
    <row r="2972">
      <c r="B2972" s="64"/>
      <c r="C2972" s="64"/>
      <c r="D2972" s="64"/>
      <c r="E2972" s="64"/>
      <c r="F2972" s="64"/>
    </row>
    <row r="2973">
      <c r="B2973" s="64"/>
      <c r="C2973" s="64"/>
      <c r="D2973" s="64"/>
      <c r="E2973" s="64"/>
      <c r="F2973" s="64"/>
    </row>
    <row r="2974">
      <c r="B2974" s="64"/>
      <c r="C2974" s="64"/>
      <c r="D2974" s="64"/>
      <c r="E2974" s="64"/>
      <c r="F2974" s="64"/>
    </row>
    <row r="2975">
      <c r="B2975" s="64"/>
      <c r="C2975" s="64"/>
      <c r="D2975" s="64"/>
      <c r="E2975" s="64"/>
      <c r="F2975" s="64"/>
    </row>
    <row r="2976">
      <c r="B2976" s="64"/>
      <c r="C2976" s="64"/>
      <c r="D2976" s="64"/>
      <c r="E2976" s="64"/>
      <c r="F2976" s="64"/>
    </row>
    <row r="2977">
      <c r="B2977" s="64"/>
      <c r="C2977" s="64"/>
      <c r="D2977" s="64"/>
      <c r="E2977" s="64"/>
      <c r="F2977" s="64"/>
    </row>
    <row r="2978">
      <c r="B2978" s="64"/>
      <c r="C2978" s="64"/>
      <c r="D2978" s="64"/>
      <c r="E2978" s="64"/>
      <c r="F2978" s="64"/>
    </row>
    <row r="2979">
      <c r="B2979" s="64"/>
      <c r="C2979" s="64"/>
      <c r="D2979" s="64"/>
      <c r="E2979" s="64"/>
      <c r="F2979" s="64"/>
    </row>
    <row r="2980">
      <c r="B2980" s="64"/>
      <c r="C2980" s="64"/>
      <c r="D2980" s="64"/>
      <c r="E2980" s="64"/>
      <c r="F2980" s="64"/>
    </row>
    <row r="2981">
      <c r="B2981" s="64"/>
      <c r="C2981" s="64"/>
      <c r="D2981" s="64"/>
      <c r="E2981" s="64"/>
      <c r="F2981" s="64"/>
    </row>
    <row r="2982">
      <c r="B2982" s="64"/>
      <c r="C2982" s="64"/>
      <c r="D2982" s="64"/>
      <c r="E2982" s="64"/>
      <c r="F2982" s="64"/>
    </row>
    <row r="2983">
      <c r="B2983" s="64"/>
      <c r="C2983" s="64"/>
      <c r="D2983" s="64"/>
      <c r="E2983" s="64"/>
      <c r="F2983" s="64"/>
    </row>
    <row r="2984">
      <c r="B2984" s="64"/>
      <c r="C2984" s="64"/>
      <c r="D2984" s="64"/>
      <c r="E2984" s="64"/>
      <c r="F2984" s="64"/>
    </row>
    <row r="2985">
      <c r="B2985" s="64"/>
      <c r="C2985" s="64"/>
      <c r="D2985" s="64"/>
      <c r="E2985" s="64"/>
      <c r="F2985" s="64"/>
    </row>
    <row r="2986">
      <c r="B2986" s="64"/>
      <c r="C2986" s="64"/>
      <c r="D2986" s="64"/>
      <c r="E2986" s="64"/>
      <c r="F2986" s="64"/>
    </row>
    <row r="2987">
      <c r="B2987" s="64"/>
      <c r="C2987" s="64"/>
      <c r="D2987" s="64"/>
      <c r="E2987" s="64"/>
      <c r="F2987" s="64"/>
    </row>
    <row r="2988">
      <c r="B2988" s="64"/>
      <c r="C2988" s="64"/>
      <c r="D2988" s="64"/>
      <c r="E2988" s="64"/>
      <c r="F2988" s="64"/>
    </row>
    <row r="2989">
      <c r="B2989" s="64"/>
      <c r="C2989" s="64"/>
      <c r="D2989" s="64"/>
      <c r="E2989" s="64"/>
      <c r="F2989" s="64"/>
    </row>
    <row r="2990">
      <c r="B2990" s="64"/>
      <c r="C2990" s="64"/>
      <c r="D2990" s="64"/>
      <c r="E2990" s="64"/>
      <c r="F2990" s="64"/>
    </row>
    <row r="2991">
      <c r="B2991" s="64"/>
      <c r="C2991" s="64"/>
      <c r="D2991" s="64"/>
      <c r="E2991" s="64"/>
      <c r="F2991" s="64"/>
    </row>
    <row r="2992">
      <c r="B2992" s="64"/>
      <c r="C2992" s="64"/>
      <c r="D2992" s="64"/>
      <c r="E2992" s="64"/>
      <c r="F2992" s="64"/>
    </row>
    <row r="2993">
      <c r="B2993" s="64"/>
      <c r="C2993" s="64"/>
      <c r="D2993" s="64"/>
      <c r="E2993" s="64"/>
      <c r="F2993" s="64"/>
    </row>
    <row r="2994">
      <c r="B2994" s="64"/>
      <c r="C2994" s="64"/>
      <c r="D2994" s="64"/>
      <c r="E2994" s="64"/>
      <c r="F2994" s="64"/>
    </row>
    <row r="2995">
      <c r="B2995" s="64"/>
      <c r="C2995" s="64"/>
      <c r="D2995" s="64"/>
      <c r="E2995" s="64"/>
      <c r="F2995" s="64"/>
    </row>
    <row r="2996">
      <c r="B2996" s="64"/>
      <c r="C2996" s="64"/>
      <c r="D2996" s="64"/>
      <c r="E2996" s="64"/>
      <c r="F2996" s="64"/>
    </row>
    <row r="2997">
      <c r="B2997" s="64"/>
      <c r="C2997" s="64"/>
      <c r="D2997" s="64"/>
      <c r="E2997" s="64"/>
      <c r="F2997" s="64"/>
    </row>
    <row r="2998">
      <c r="B2998" s="64"/>
      <c r="C2998" s="64"/>
      <c r="D2998" s="64"/>
      <c r="E2998" s="64"/>
      <c r="F2998" s="64"/>
    </row>
    <row r="2999">
      <c r="B2999" s="64"/>
      <c r="C2999" s="64"/>
      <c r="D2999" s="64"/>
      <c r="E2999" s="64"/>
      <c r="F2999" s="64"/>
    </row>
    <row r="3000">
      <c r="B3000" s="64"/>
      <c r="C3000" s="64"/>
      <c r="D3000" s="64"/>
      <c r="E3000" s="64"/>
      <c r="F3000" s="64"/>
    </row>
    <row r="3001">
      <c r="B3001" s="64"/>
      <c r="C3001" s="64"/>
      <c r="D3001" s="64"/>
      <c r="E3001" s="64"/>
      <c r="F3001" s="64"/>
    </row>
    <row r="3002">
      <c r="B3002" s="64"/>
      <c r="C3002" s="64"/>
      <c r="D3002" s="64"/>
      <c r="E3002" s="64"/>
      <c r="F3002" s="64"/>
    </row>
    <row r="3003">
      <c r="B3003" s="64"/>
      <c r="C3003" s="64"/>
      <c r="D3003" s="64"/>
      <c r="E3003" s="64"/>
      <c r="F3003" s="64"/>
    </row>
    <row r="3004">
      <c r="B3004" s="64"/>
      <c r="C3004" s="64"/>
      <c r="D3004" s="64"/>
      <c r="E3004" s="64"/>
      <c r="F3004" s="64"/>
    </row>
    <row r="3005">
      <c r="B3005" s="64"/>
      <c r="C3005" s="64"/>
      <c r="D3005" s="64"/>
      <c r="E3005" s="64"/>
      <c r="F3005" s="64"/>
    </row>
    <row r="3006">
      <c r="B3006" s="64"/>
      <c r="C3006" s="64"/>
      <c r="D3006" s="64"/>
      <c r="E3006" s="64"/>
      <c r="F3006" s="64"/>
    </row>
    <row r="3007">
      <c r="B3007" s="64"/>
      <c r="C3007" s="64"/>
      <c r="D3007" s="64"/>
      <c r="E3007" s="64"/>
      <c r="F3007" s="64"/>
    </row>
    <row r="3008">
      <c r="B3008" s="64"/>
      <c r="C3008" s="64"/>
      <c r="D3008" s="64"/>
      <c r="E3008" s="64"/>
      <c r="F3008" s="64"/>
    </row>
    <row r="3009">
      <c r="B3009" s="64"/>
      <c r="C3009" s="64"/>
      <c r="D3009" s="64"/>
      <c r="E3009" s="64"/>
      <c r="F3009" s="64"/>
    </row>
    <row r="3010">
      <c r="B3010" s="64"/>
      <c r="C3010" s="64"/>
      <c r="D3010" s="64"/>
      <c r="E3010" s="64"/>
      <c r="F3010" s="64"/>
    </row>
    <row r="3011">
      <c r="B3011" s="64"/>
      <c r="C3011" s="64"/>
      <c r="D3011" s="64"/>
      <c r="E3011" s="64"/>
      <c r="F3011" s="64"/>
    </row>
    <row r="3012">
      <c r="B3012" s="64"/>
      <c r="C3012" s="64"/>
      <c r="D3012" s="64"/>
      <c r="E3012" s="64"/>
      <c r="F3012" s="64"/>
    </row>
    <row r="3013">
      <c r="B3013" s="64"/>
      <c r="C3013" s="64"/>
      <c r="D3013" s="64"/>
      <c r="E3013" s="64"/>
      <c r="F3013" s="64"/>
    </row>
    <row r="3014">
      <c r="B3014" s="64"/>
      <c r="C3014" s="64"/>
      <c r="D3014" s="64"/>
      <c r="E3014" s="64"/>
      <c r="F3014" s="64"/>
    </row>
    <row r="3015">
      <c r="B3015" s="64"/>
      <c r="C3015" s="64"/>
      <c r="D3015" s="64"/>
      <c r="E3015" s="64"/>
      <c r="F3015" s="64"/>
    </row>
    <row r="3016">
      <c r="B3016" s="64"/>
      <c r="C3016" s="64"/>
      <c r="D3016" s="64"/>
      <c r="E3016" s="64"/>
      <c r="F3016" s="64"/>
    </row>
    <row r="3017">
      <c r="B3017" s="64"/>
      <c r="C3017" s="64"/>
      <c r="D3017" s="64"/>
      <c r="E3017" s="64"/>
      <c r="F3017" s="64"/>
    </row>
    <row r="3018">
      <c r="B3018" s="64"/>
      <c r="C3018" s="64"/>
      <c r="D3018" s="64"/>
      <c r="E3018" s="64"/>
      <c r="F3018" s="64"/>
    </row>
    <row r="3019">
      <c r="B3019" s="64"/>
      <c r="C3019" s="64"/>
      <c r="D3019" s="64"/>
      <c r="E3019" s="64"/>
      <c r="F3019" s="64"/>
    </row>
    <row r="3020">
      <c r="B3020" s="64"/>
      <c r="C3020" s="64"/>
      <c r="D3020" s="64"/>
      <c r="E3020" s="64"/>
      <c r="F3020" s="64"/>
    </row>
    <row r="3021">
      <c r="B3021" s="64"/>
      <c r="C3021" s="64"/>
      <c r="D3021" s="64"/>
      <c r="E3021" s="64"/>
      <c r="F3021" s="64"/>
    </row>
    <row r="3022">
      <c r="B3022" s="64"/>
      <c r="C3022" s="64"/>
      <c r="D3022" s="64"/>
      <c r="E3022" s="64"/>
      <c r="F3022" s="64"/>
    </row>
    <row r="3023">
      <c r="B3023" s="64"/>
      <c r="C3023" s="64"/>
      <c r="D3023" s="64"/>
      <c r="E3023" s="64"/>
      <c r="F3023" s="64"/>
    </row>
    <row r="3024">
      <c r="B3024" s="64"/>
      <c r="C3024" s="64"/>
      <c r="D3024" s="64"/>
      <c r="E3024" s="64"/>
      <c r="F3024" s="64"/>
    </row>
    <row r="3025">
      <c r="B3025" s="64"/>
      <c r="C3025" s="64"/>
      <c r="D3025" s="64"/>
      <c r="E3025" s="64"/>
      <c r="F3025" s="64"/>
    </row>
    <row r="3026">
      <c r="B3026" s="64"/>
      <c r="C3026" s="64"/>
      <c r="D3026" s="64"/>
      <c r="E3026" s="64"/>
      <c r="F3026" s="64"/>
    </row>
    <row r="3027">
      <c r="B3027" s="64"/>
      <c r="C3027" s="64"/>
      <c r="D3027" s="64"/>
      <c r="E3027" s="64"/>
      <c r="F3027" s="64"/>
    </row>
    <row r="3028">
      <c r="B3028" s="64"/>
      <c r="C3028" s="64"/>
      <c r="D3028" s="64"/>
      <c r="E3028" s="64"/>
      <c r="F3028" s="64"/>
    </row>
    <row r="3029">
      <c r="B3029" s="64"/>
      <c r="C3029" s="64"/>
      <c r="D3029" s="64"/>
      <c r="E3029" s="64"/>
      <c r="F3029" s="64"/>
    </row>
    <row r="3030">
      <c r="B3030" s="64"/>
      <c r="C3030" s="64"/>
      <c r="D3030" s="64"/>
      <c r="E3030" s="64"/>
      <c r="F3030" s="64"/>
    </row>
    <row r="3031">
      <c r="B3031" s="64"/>
      <c r="C3031" s="64"/>
      <c r="D3031" s="64"/>
      <c r="E3031" s="64"/>
      <c r="F3031" s="64"/>
    </row>
    <row r="3032">
      <c r="B3032" s="64"/>
      <c r="C3032" s="64"/>
      <c r="D3032" s="64"/>
      <c r="E3032" s="64"/>
      <c r="F3032" s="64"/>
    </row>
    <row r="3033">
      <c r="B3033" s="64"/>
      <c r="C3033" s="64"/>
      <c r="D3033" s="64"/>
      <c r="E3033" s="64"/>
      <c r="F3033" s="64"/>
    </row>
    <row r="3034">
      <c r="B3034" s="64"/>
      <c r="C3034" s="64"/>
      <c r="D3034" s="64"/>
      <c r="E3034" s="64"/>
      <c r="F3034" s="64"/>
    </row>
    <row r="3035">
      <c r="B3035" s="64"/>
      <c r="C3035" s="64"/>
      <c r="D3035" s="64"/>
      <c r="E3035" s="64"/>
      <c r="F3035" s="64"/>
    </row>
    <row r="3036">
      <c r="B3036" s="64"/>
      <c r="C3036" s="64"/>
      <c r="D3036" s="64"/>
      <c r="E3036" s="64"/>
      <c r="F3036" s="64"/>
    </row>
    <row r="3037">
      <c r="B3037" s="64"/>
      <c r="C3037" s="64"/>
      <c r="D3037" s="64"/>
      <c r="E3037" s="64"/>
      <c r="F3037" s="64"/>
    </row>
    <row r="3038">
      <c r="B3038" s="64"/>
      <c r="C3038" s="64"/>
      <c r="D3038" s="64"/>
      <c r="E3038" s="64"/>
      <c r="F3038" s="64"/>
    </row>
    <row r="3039">
      <c r="B3039" s="64"/>
      <c r="C3039" s="64"/>
      <c r="D3039" s="64"/>
      <c r="E3039" s="64"/>
      <c r="F3039" s="64"/>
    </row>
    <row r="3040">
      <c r="B3040" s="64"/>
      <c r="C3040" s="64"/>
      <c r="D3040" s="64"/>
      <c r="E3040" s="64"/>
      <c r="F3040" s="64"/>
    </row>
    <row r="3041">
      <c r="B3041" s="64"/>
      <c r="C3041" s="64"/>
      <c r="D3041" s="64"/>
      <c r="E3041" s="64"/>
      <c r="F3041" s="64"/>
    </row>
    <row r="3042">
      <c r="B3042" s="64"/>
      <c r="C3042" s="64"/>
      <c r="D3042" s="64"/>
      <c r="E3042" s="64"/>
      <c r="F3042" s="64"/>
    </row>
    <row r="3043">
      <c r="B3043" s="64"/>
      <c r="C3043" s="64"/>
      <c r="D3043" s="64"/>
      <c r="E3043" s="64"/>
      <c r="F3043" s="64"/>
    </row>
    <row r="3044">
      <c r="B3044" s="64"/>
      <c r="C3044" s="64"/>
      <c r="D3044" s="64"/>
      <c r="E3044" s="64"/>
      <c r="F3044" s="64"/>
    </row>
    <row r="3045">
      <c r="B3045" s="64"/>
      <c r="C3045" s="64"/>
      <c r="D3045" s="64"/>
      <c r="E3045" s="64"/>
      <c r="F3045" s="64"/>
    </row>
    <row r="3046">
      <c r="B3046" s="64"/>
      <c r="C3046" s="64"/>
      <c r="D3046" s="64"/>
      <c r="E3046" s="64"/>
      <c r="F3046" s="64"/>
    </row>
    <row r="3047">
      <c r="B3047" s="64"/>
      <c r="C3047" s="64"/>
      <c r="D3047" s="64"/>
      <c r="E3047" s="64"/>
      <c r="F3047" s="64"/>
    </row>
    <row r="3048">
      <c r="B3048" s="64"/>
      <c r="C3048" s="64"/>
      <c r="D3048" s="64"/>
      <c r="E3048" s="64"/>
      <c r="F3048" s="64"/>
    </row>
    <row r="3049">
      <c r="B3049" s="64"/>
      <c r="C3049" s="64"/>
      <c r="D3049" s="64"/>
      <c r="E3049" s="64"/>
      <c r="F3049" s="64"/>
    </row>
    <row r="3050">
      <c r="B3050" s="64"/>
      <c r="C3050" s="64"/>
      <c r="D3050" s="64"/>
      <c r="E3050" s="64"/>
      <c r="F3050" s="64"/>
    </row>
    <row r="3051">
      <c r="B3051" s="64"/>
      <c r="C3051" s="64"/>
      <c r="D3051" s="64"/>
      <c r="E3051" s="64"/>
      <c r="F3051" s="64"/>
    </row>
    <row r="3052">
      <c r="B3052" s="64"/>
      <c r="C3052" s="64"/>
      <c r="D3052" s="64"/>
      <c r="E3052" s="64"/>
      <c r="F3052" s="64"/>
    </row>
    <row r="3053">
      <c r="B3053" s="64"/>
      <c r="C3053" s="64"/>
      <c r="D3053" s="64"/>
      <c r="E3053" s="64"/>
      <c r="F3053" s="64"/>
    </row>
    <row r="3054">
      <c r="B3054" s="64"/>
      <c r="C3054" s="64"/>
      <c r="D3054" s="64"/>
      <c r="E3054" s="64"/>
      <c r="F3054" s="64"/>
    </row>
    <row r="3055">
      <c r="B3055" s="64"/>
      <c r="C3055" s="64"/>
      <c r="D3055" s="64"/>
      <c r="E3055" s="64"/>
      <c r="F3055" s="64"/>
    </row>
    <row r="3056">
      <c r="B3056" s="64"/>
      <c r="C3056" s="64"/>
      <c r="D3056" s="64"/>
      <c r="E3056" s="64"/>
      <c r="F3056" s="64"/>
    </row>
    <row r="3057">
      <c r="B3057" s="64"/>
      <c r="C3057" s="64"/>
      <c r="D3057" s="64"/>
      <c r="E3057" s="64"/>
      <c r="F3057" s="64"/>
    </row>
    <row r="3058">
      <c r="B3058" s="64"/>
      <c r="C3058" s="64"/>
      <c r="D3058" s="64"/>
      <c r="E3058" s="64"/>
      <c r="F3058" s="64"/>
    </row>
    <row r="3059">
      <c r="B3059" s="64"/>
      <c r="C3059" s="64"/>
      <c r="D3059" s="64"/>
      <c r="E3059" s="64"/>
      <c r="F3059" s="64"/>
    </row>
    <row r="3060">
      <c r="B3060" s="64"/>
      <c r="C3060" s="64"/>
      <c r="D3060" s="64"/>
      <c r="E3060" s="64"/>
      <c r="F3060" s="64"/>
    </row>
    <row r="3061">
      <c r="B3061" s="64"/>
      <c r="C3061" s="64"/>
      <c r="D3061" s="64"/>
      <c r="E3061" s="64"/>
      <c r="F3061" s="64"/>
    </row>
    <row r="3062">
      <c r="B3062" s="64"/>
      <c r="C3062" s="64"/>
      <c r="D3062" s="64"/>
      <c r="E3062" s="64"/>
      <c r="F3062" s="64"/>
    </row>
    <row r="3063">
      <c r="B3063" s="64"/>
      <c r="C3063" s="64"/>
      <c r="D3063" s="64"/>
      <c r="E3063" s="64"/>
      <c r="F3063" s="64"/>
    </row>
    <row r="3064">
      <c r="B3064" s="64"/>
      <c r="C3064" s="64"/>
      <c r="D3064" s="64"/>
      <c r="E3064" s="64"/>
      <c r="F3064" s="64"/>
    </row>
    <row r="3065">
      <c r="B3065" s="64"/>
      <c r="C3065" s="64"/>
      <c r="D3065" s="64"/>
      <c r="E3065" s="64"/>
      <c r="F3065" s="64"/>
    </row>
    <row r="3066">
      <c r="B3066" s="64"/>
      <c r="C3066" s="64"/>
      <c r="D3066" s="64"/>
      <c r="E3066" s="64"/>
      <c r="F3066" s="64"/>
    </row>
    <row r="3067">
      <c r="B3067" s="64"/>
      <c r="C3067" s="64"/>
      <c r="D3067" s="64"/>
      <c r="E3067" s="64"/>
      <c r="F3067" s="64"/>
    </row>
    <row r="3068">
      <c r="B3068" s="64"/>
      <c r="C3068" s="64"/>
      <c r="D3068" s="64"/>
      <c r="E3068" s="64"/>
      <c r="F3068" s="64"/>
    </row>
    <row r="3069">
      <c r="B3069" s="64"/>
      <c r="C3069" s="64"/>
      <c r="D3069" s="64"/>
      <c r="E3069" s="64"/>
      <c r="F3069" s="64"/>
    </row>
    <row r="3070">
      <c r="B3070" s="64"/>
      <c r="C3070" s="64"/>
      <c r="D3070" s="64"/>
      <c r="E3070" s="64"/>
      <c r="F3070" s="64"/>
    </row>
    <row r="3071">
      <c r="B3071" s="64"/>
      <c r="C3071" s="64"/>
      <c r="D3071" s="64"/>
      <c r="E3071" s="64"/>
      <c r="F3071" s="64"/>
    </row>
    <row r="3072">
      <c r="B3072" s="64"/>
      <c r="C3072" s="64"/>
      <c r="D3072" s="64"/>
      <c r="E3072" s="64"/>
      <c r="F3072" s="64"/>
    </row>
    <row r="3073">
      <c r="B3073" s="64"/>
      <c r="C3073" s="64"/>
      <c r="D3073" s="64"/>
      <c r="E3073" s="64"/>
      <c r="F3073" s="64"/>
    </row>
    <row r="3074">
      <c r="B3074" s="64"/>
      <c r="C3074" s="64"/>
      <c r="D3074" s="64"/>
      <c r="E3074" s="64"/>
      <c r="F3074" s="64"/>
    </row>
    <row r="3075">
      <c r="B3075" s="64"/>
      <c r="C3075" s="64"/>
      <c r="D3075" s="64"/>
      <c r="E3075" s="64"/>
      <c r="F3075" s="64"/>
    </row>
    <row r="3076">
      <c r="B3076" s="64"/>
      <c r="C3076" s="64"/>
      <c r="D3076" s="64"/>
      <c r="E3076" s="64"/>
      <c r="F3076" s="64"/>
    </row>
    <row r="3077">
      <c r="B3077" s="64"/>
      <c r="C3077" s="64"/>
      <c r="D3077" s="64"/>
      <c r="E3077" s="64"/>
      <c r="F3077" s="64"/>
    </row>
    <row r="3078">
      <c r="B3078" s="64"/>
      <c r="C3078" s="64"/>
      <c r="D3078" s="64"/>
      <c r="E3078" s="64"/>
      <c r="F3078" s="64"/>
    </row>
    <row r="3079">
      <c r="B3079" s="64"/>
      <c r="C3079" s="64"/>
      <c r="D3079" s="64"/>
      <c r="E3079" s="64"/>
      <c r="F3079" s="64"/>
    </row>
    <row r="3080">
      <c r="B3080" s="64"/>
      <c r="C3080" s="64"/>
      <c r="D3080" s="64"/>
      <c r="E3080" s="64"/>
      <c r="F3080" s="64"/>
    </row>
    <row r="3081">
      <c r="B3081" s="64"/>
      <c r="C3081" s="64"/>
      <c r="D3081" s="64"/>
      <c r="E3081" s="64"/>
      <c r="F3081" s="64"/>
    </row>
    <row r="3082">
      <c r="B3082" s="64"/>
      <c r="C3082" s="64"/>
      <c r="D3082" s="64"/>
      <c r="E3082" s="64"/>
      <c r="F3082" s="64"/>
    </row>
    <row r="3083">
      <c r="B3083" s="64"/>
      <c r="C3083" s="64"/>
      <c r="D3083" s="64"/>
      <c r="E3083" s="64"/>
      <c r="F3083" s="64"/>
    </row>
    <row r="3084">
      <c r="B3084" s="64"/>
      <c r="C3084" s="64"/>
      <c r="D3084" s="64"/>
      <c r="E3084" s="64"/>
      <c r="F3084" s="64"/>
    </row>
    <row r="3085">
      <c r="B3085" s="64"/>
      <c r="C3085" s="64"/>
      <c r="D3085" s="64"/>
      <c r="E3085" s="64"/>
      <c r="F3085" s="64"/>
    </row>
    <row r="3086">
      <c r="B3086" s="64"/>
      <c r="C3086" s="64"/>
      <c r="D3086" s="64"/>
      <c r="E3086" s="64"/>
      <c r="F3086" s="64"/>
    </row>
    <row r="3087">
      <c r="B3087" s="64"/>
      <c r="C3087" s="64"/>
      <c r="D3087" s="64"/>
      <c r="E3087" s="64"/>
      <c r="F3087" s="64"/>
    </row>
    <row r="3088">
      <c r="B3088" s="64"/>
      <c r="C3088" s="64"/>
      <c r="D3088" s="64"/>
      <c r="E3088" s="64"/>
      <c r="F3088" s="64"/>
    </row>
    <row r="3089">
      <c r="B3089" s="64"/>
      <c r="C3089" s="64"/>
      <c r="D3089" s="64"/>
      <c r="E3089" s="64"/>
      <c r="F3089" s="64"/>
    </row>
    <row r="3090">
      <c r="B3090" s="64"/>
      <c r="C3090" s="64"/>
      <c r="D3090" s="64"/>
      <c r="E3090" s="64"/>
      <c r="F3090" s="64"/>
    </row>
    <row r="3091">
      <c r="B3091" s="64"/>
      <c r="C3091" s="64"/>
      <c r="D3091" s="64"/>
      <c r="E3091" s="64"/>
      <c r="F3091" s="64"/>
    </row>
    <row r="3092">
      <c r="B3092" s="64"/>
      <c r="C3092" s="64"/>
      <c r="D3092" s="64"/>
      <c r="E3092" s="64"/>
      <c r="F3092" s="64"/>
    </row>
    <row r="3093">
      <c r="B3093" s="64"/>
      <c r="C3093" s="64"/>
      <c r="D3093" s="64"/>
      <c r="E3093" s="64"/>
      <c r="F3093" s="64"/>
    </row>
    <row r="3094">
      <c r="B3094" s="64"/>
      <c r="C3094" s="64"/>
      <c r="D3094" s="64"/>
      <c r="E3094" s="64"/>
      <c r="F3094" s="64"/>
    </row>
    <row r="3095">
      <c r="B3095" s="64"/>
      <c r="C3095" s="64"/>
      <c r="D3095" s="64"/>
      <c r="E3095" s="64"/>
      <c r="F3095" s="64"/>
    </row>
    <row r="3096">
      <c r="B3096" s="64"/>
      <c r="C3096" s="64"/>
      <c r="D3096" s="64"/>
      <c r="E3096" s="64"/>
      <c r="F3096" s="64"/>
    </row>
    <row r="3097">
      <c r="B3097" s="64"/>
      <c r="C3097" s="64"/>
      <c r="D3097" s="64"/>
      <c r="E3097" s="64"/>
      <c r="F3097" s="64"/>
    </row>
    <row r="3098">
      <c r="B3098" s="64"/>
      <c r="C3098" s="64"/>
      <c r="D3098" s="64"/>
      <c r="E3098" s="64"/>
      <c r="F3098" s="64"/>
    </row>
    <row r="3099">
      <c r="B3099" s="64"/>
      <c r="C3099" s="64"/>
      <c r="D3099" s="64"/>
      <c r="E3099" s="64"/>
      <c r="F3099" s="64"/>
    </row>
    <row r="3100">
      <c r="B3100" s="64"/>
      <c r="C3100" s="64"/>
      <c r="D3100" s="64"/>
      <c r="E3100" s="64"/>
      <c r="F3100" s="64"/>
    </row>
    <row r="3101">
      <c r="B3101" s="64"/>
      <c r="C3101" s="64"/>
      <c r="D3101" s="64"/>
      <c r="E3101" s="64"/>
      <c r="F3101" s="64"/>
    </row>
    <row r="3102">
      <c r="B3102" s="64"/>
      <c r="C3102" s="64"/>
      <c r="D3102" s="64"/>
      <c r="E3102" s="64"/>
      <c r="F3102" s="64"/>
    </row>
    <row r="3103">
      <c r="B3103" s="64"/>
      <c r="C3103" s="64"/>
      <c r="D3103" s="64"/>
      <c r="E3103" s="64"/>
      <c r="F3103" s="64"/>
    </row>
    <row r="3104">
      <c r="B3104" s="64"/>
      <c r="C3104" s="64"/>
      <c r="D3104" s="64"/>
      <c r="E3104" s="64"/>
      <c r="F3104" s="64"/>
    </row>
    <row r="3105">
      <c r="B3105" s="64"/>
      <c r="C3105" s="64"/>
      <c r="D3105" s="64"/>
      <c r="E3105" s="64"/>
      <c r="F3105" s="64"/>
    </row>
    <row r="3106">
      <c r="B3106" s="64"/>
      <c r="C3106" s="64"/>
      <c r="D3106" s="64"/>
      <c r="E3106" s="64"/>
      <c r="F3106" s="64"/>
    </row>
    <row r="3107">
      <c r="B3107" s="64"/>
      <c r="C3107" s="64"/>
      <c r="D3107" s="64"/>
      <c r="E3107" s="64"/>
      <c r="F3107" s="64"/>
    </row>
    <row r="3108">
      <c r="B3108" s="64"/>
      <c r="C3108" s="64"/>
      <c r="D3108" s="64"/>
      <c r="E3108" s="64"/>
      <c r="F3108" s="64"/>
    </row>
    <row r="3109">
      <c r="B3109" s="64"/>
      <c r="C3109" s="64"/>
      <c r="D3109" s="64"/>
      <c r="E3109" s="64"/>
      <c r="F3109" s="64"/>
    </row>
    <row r="3110">
      <c r="B3110" s="64"/>
      <c r="C3110" s="64"/>
      <c r="D3110" s="64"/>
      <c r="E3110" s="64"/>
      <c r="F3110" s="64"/>
    </row>
    <row r="3111">
      <c r="B3111" s="64"/>
      <c r="C3111" s="64"/>
      <c r="D3111" s="64"/>
      <c r="E3111" s="64"/>
      <c r="F3111" s="64"/>
    </row>
    <row r="3112">
      <c r="B3112" s="64"/>
      <c r="C3112" s="64"/>
      <c r="D3112" s="64"/>
      <c r="E3112" s="64"/>
      <c r="F3112" s="64"/>
    </row>
    <row r="3113">
      <c r="B3113" s="64"/>
      <c r="C3113" s="64"/>
      <c r="D3113" s="64"/>
      <c r="E3113" s="64"/>
      <c r="F3113" s="64"/>
    </row>
    <row r="3114">
      <c r="B3114" s="64"/>
      <c r="C3114" s="64"/>
      <c r="D3114" s="64"/>
      <c r="E3114" s="64"/>
      <c r="F3114" s="64"/>
    </row>
    <row r="3115">
      <c r="B3115" s="64"/>
      <c r="C3115" s="64"/>
      <c r="D3115" s="64"/>
      <c r="E3115" s="64"/>
      <c r="F3115" s="64"/>
    </row>
    <row r="3116">
      <c r="B3116" s="64"/>
      <c r="C3116" s="64"/>
      <c r="D3116" s="64"/>
      <c r="E3116" s="64"/>
      <c r="F3116" s="64"/>
    </row>
    <row r="3117">
      <c r="B3117" s="64"/>
      <c r="C3117" s="64"/>
      <c r="D3117" s="64"/>
      <c r="E3117" s="64"/>
      <c r="F3117" s="64"/>
    </row>
    <row r="3118">
      <c r="B3118" s="64"/>
      <c r="C3118" s="64"/>
      <c r="D3118" s="64"/>
      <c r="E3118" s="64"/>
      <c r="F3118" s="64"/>
    </row>
    <row r="3119">
      <c r="B3119" s="64"/>
      <c r="C3119" s="64"/>
      <c r="D3119" s="64"/>
      <c r="E3119" s="64"/>
      <c r="F3119" s="64"/>
    </row>
    <row r="3120">
      <c r="B3120" s="64"/>
      <c r="C3120" s="64"/>
      <c r="D3120" s="64"/>
      <c r="E3120" s="64"/>
      <c r="F3120" s="64"/>
    </row>
    <row r="3121">
      <c r="B3121" s="64"/>
      <c r="C3121" s="64"/>
      <c r="D3121" s="64"/>
      <c r="E3121" s="64"/>
      <c r="F3121" s="64"/>
    </row>
    <row r="3122">
      <c r="B3122" s="64"/>
      <c r="C3122" s="64"/>
      <c r="D3122" s="64"/>
      <c r="E3122" s="64"/>
      <c r="F3122" s="64"/>
    </row>
    <row r="3123">
      <c r="B3123" s="64"/>
      <c r="C3123" s="64"/>
      <c r="D3123" s="64"/>
      <c r="E3123" s="64"/>
      <c r="F3123" s="64"/>
    </row>
    <row r="3124">
      <c r="B3124" s="64"/>
      <c r="C3124" s="64"/>
      <c r="D3124" s="64"/>
      <c r="E3124" s="64"/>
      <c r="F3124" s="64"/>
    </row>
    <row r="3125">
      <c r="B3125" s="64"/>
      <c r="C3125" s="64"/>
      <c r="D3125" s="64"/>
      <c r="E3125" s="64"/>
      <c r="F3125" s="64"/>
    </row>
    <row r="3126">
      <c r="B3126" s="64"/>
      <c r="C3126" s="64"/>
      <c r="D3126" s="64"/>
      <c r="E3126" s="64"/>
      <c r="F3126" s="64"/>
    </row>
    <row r="3127">
      <c r="B3127" s="64"/>
      <c r="C3127" s="64"/>
      <c r="D3127" s="64"/>
      <c r="E3127" s="64"/>
      <c r="F3127" s="64"/>
    </row>
    <row r="3128">
      <c r="B3128" s="64"/>
      <c r="C3128" s="64"/>
      <c r="D3128" s="64"/>
      <c r="E3128" s="64"/>
      <c r="F3128" s="64"/>
    </row>
    <row r="3129">
      <c r="B3129" s="64"/>
      <c r="C3129" s="64"/>
      <c r="D3129" s="64"/>
      <c r="E3129" s="64"/>
      <c r="F3129" s="64"/>
    </row>
    <row r="3130">
      <c r="B3130" s="64"/>
      <c r="C3130" s="64"/>
      <c r="D3130" s="64"/>
      <c r="E3130" s="64"/>
      <c r="F3130" s="64"/>
    </row>
    <row r="3131">
      <c r="B3131" s="64"/>
      <c r="C3131" s="64"/>
      <c r="D3131" s="64"/>
      <c r="E3131" s="64"/>
      <c r="F3131" s="64"/>
    </row>
    <row r="3132">
      <c r="B3132" s="64"/>
      <c r="C3132" s="64"/>
      <c r="D3132" s="64"/>
      <c r="E3132" s="64"/>
      <c r="F3132" s="64"/>
    </row>
    <row r="3133">
      <c r="B3133" s="64"/>
      <c r="C3133" s="64"/>
      <c r="D3133" s="64"/>
      <c r="E3133" s="64"/>
      <c r="F3133" s="64"/>
    </row>
    <row r="3134">
      <c r="B3134" s="64"/>
      <c r="C3134" s="64"/>
      <c r="D3134" s="64"/>
      <c r="E3134" s="64"/>
      <c r="F3134" s="64"/>
    </row>
    <row r="3135">
      <c r="B3135" s="64"/>
      <c r="C3135" s="64"/>
      <c r="D3135" s="64"/>
      <c r="E3135" s="64"/>
      <c r="F3135" s="64"/>
    </row>
    <row r="3136">
      <c r="B3136" s="64"/>
      <c r="C3136" s="64"/>
      <c r="D3136" s="64"/>
      <c r="E3136" s="64"/>
      <c r="F3136" s="64"/>
    </row>
    <row r="3137">
      <c r="B3137" s="64"/>
      <c r="C3137" s="64"/>
      <c r="D3137" s="64"/>
      <c r="E3137" s="64"/>
      <c r="F3137" s="64"/>
    </row>
    <row r="3138">
      <c r="B3138" s="64"/>
      <c r="C3138" s="64"/>
      <c r="D3138" s="64"/>
      <c r="E3138" s="64"/>
      <c r="F3138" s="64"/>
    </row>
    <row r="3139">
      <c r="B3139" s="64"/>
      <c r="C3139" s="64"/>
      <c r="D3139" s="64"/>
      <c r="E3139" s="64"/>
      <c r="F3139" s="64"/>
    </row>
    <row r="3140">
      <c r="B3140" s="64"/>
      <c r="C3140" s="64"/>
      <c r="D3140" s="64"/>
      <c r="E3140" s="64"/>
      <c r="F3140" s="64"/>
    </row>
    <row r="3141">
      <c r="B3141" s="64"/>
      <c r="C3141" s="64"/>
      <c r="D3141" s="64"/>
      <c r="E3141" s="64"/>
      <c r="F3141" s="64"/>
    </row>
    <row r="3142">
      <c r="B3142" s="64"/>
      <c r="C3142" s="64"/>
      <c r="D3142" s="64"/>
      <c r="E3142" s="64"/>
      <c r="F3142" s="64"/>
    </row>
    <row r="3143">
      <c r="B3143" s="64"/>
      <c r="C3143" s="64"/>
      <c r="D3143" s="64"/>
      <c r="E3143" s="64"/>
      <c r="F3143" s="64"/>
    </row>
    <row r="3144">
      <c r="B3144" s="64"/>
      <c r="C3144" s="64"/>
      <c r="D3144" s="64"/>
      <c r="E3144" s="64"/>
      <c r="F3144" s="64"/>
    </row>
    <row r="3145">
      <c r="B3145" s="64"/>
      <c r="C3145" s="64"/>
      <c r="D3145" s="64"/>
      <c r="E3145" s="64"/>
      <c r="F3145" s="64"/>
    </row>
    <row r="3146">
      <c r="B3146" s="64"/>
      <c r="C3146" s="64"/>
      <c r="D3146" s="64"/>
      <c r="E3146" s="64"/>
      <c r="F3146" s="64"/>
    </row>
    <row r="3147">
      <c r="B3147" s="64"/>
      <c r="C3147" s="64"/>
      <c r="D3147" s="64"/>
      <c r="E3147" s="64"/>
      <c r="F3147" s="64"/>
    </row>
    <row r="3148">
      <c r="B3148" s="64"/>
      <c r="C3148" s="64"/>
      <c r="D3148" s="64"/>
      <c r="E3148" s="64"/>
      <c r="F3148" s="64"/>
    </row>
    <row r="3149">
      <c r="B3149" s="64"/>
      <c r="C3149" s="64"/>
      <c r="D3149" s="64"/>
      <c r="E3149" s="64"/>
      <c r="F3149" s="64"/>
    </row>
    <row r="3150">
      <c r="B3150" s="64"/>
      <c r="C3150" s="64"/>
      <c r="D3150" s="64"/>
      <c r="E3150" s="64"/>
      <c r="F3150" s="64"/>
    </row>
    <row r="3151">
      <c r="B3151" s="64"/>
      <c r="C3151" s="64"/>
      <c r="D3151" s="64"/>
      <c r="E3151" s="64"/>
      <c r="F3151" s="64"/>
    </row>
    <row r="3152">
      <c r="B3152" s="64"/>
      <c r="C3152" s="64"/>
      <c r="D3152" s="64"/>
      <c r="E3152" s="64"/>
      <c r="F3152" s="64"/>
    </row>
    <row r="3153">
      <c r="B3153" s="64"/>
      <c r="C3153" s="64"/>
      <c r="D3153" s="64"/>
      <c r="E3153" s="64"/>
      <c r="F3153" s="64"/>
    </row>
    <row r="3154">
      <c r="B3154" s="64"/>
      <c r="C3154" s="64"/>
      <c r="D3154" s="64"/>
      <c r="E3154" s="64"/>
      <c r="F3154" s="64"/>
    </row>
    <row r="3155">
      <c r="B3155" s="64"/>
      <c r="C3155" s="64"/>
      <c r="D3155" s="64"/>
      <c r="E3155" s="64"/>
      <c r="F3155" s="64"/>
    </row>
    <row r="3156">
      <c r="B3156" s="64"/>
      <c r="C3156" s="64"/>
      <c r="D3156" s="64"/>
      <c r="E3156" s="64"/>
      <c r="F3156" s="64"/>
    </row>
    <row r="3157">
      <c r="B3157" s="64"/>
      <c r="C3157" s="64"/>
      <c r="D3157" s="64"/>
      <c r="E3157" s="64"/>
      <c r="F3157" s="64"/>
    </row>
    <row r="3158">
      <c r="B3158" s="64"/>
      <c r="C3158" s="64"/>
      <c r="D3158" s="64"/>
      <c r="E3158" s="64"/>
      <c r="F3158" s="64"/>
    </row>
    <row r="3159">
      <c r="B3159" s="64"/>
      <c r="C3159" s="64"/>
      <c r="D3159" s="64"/>
      <c r="E3159" s="64"/>
      <c r="F3159" s="64"/>
    </row>
    <row r="3160">
      <c r="B3160" s="64"/>
      <c r="C3160" s="64"/>
      <c r="D3160" s="64"/>
      <c r="E3160" s="64"/>
      <c r="F3160" s="64"/>
    </row>
    <row r="3161">
      <c r="B3161" s="64"/>
      <c r="C3161" s="64"/>
      <c r="D3161" s="64"/>
      <c r="E3161" s="64"/>
      <c r="F3161" s="64"/>
    </row>
    <row r="3162">
      <c r="B3162" s="64"/>
      <c r="C3162" s="64"/>
      <c r="D3162" s="64"/>
      <c r="E3162" s="64"/>
      <c r="F3162" s="64"/>
    </row>
    <row r="3163">
      <c r="B3163" s="64"/>
      <c r="C3163" s="64"/>
      <c r="D3163" s="64"/>
      <c r="E3163" s="64"/>
      <c r="F3163" s="64"/>
    </row>
    <row r="3164">
      <c r="B3164" s="64"/>
      <c r="C3164" s="64"/>
      <c r="D3164" s="64"/>
      <c r="E3164" s="64"/>
      <c r="F3164" s="64"/>
    </row>
    <row r="3165">
      <c r="B3165" s="64"/>
      <c r="C3165" s="64"/>
      <c r="D3165" s="64"/>
      <c r="E3165" s="64"/>
      <c r="F3165" s="64"/>
    </row>
    <row r="3166">
      <c r="B3166" s="64"/>
      <c r="C3166" s="64"/>
      <c r="D3166" s="64"/>
      <c r="E3166" s="64"/>
      <c r="F3166" s="64"/>
    </row>
    <row r="3167">
      <c r="B3167" s="64"/>
      <c r="C3167" s="64"/>
      <c r="D3167" s="64"/>
      <c r="E3167" s="64"/>
      <c r="F3167" s="64"/>
    </row>
    <row r="3168">
      <c r="B3168" s="64"/>
      <c r="C3168" s="64"/>
      <c r="D3168" s="64"/>
      <c r="E3168" s="64"/>
      <c r="F3168" s="64"/>
    </row>
    <row r="3169">
      <c r="B3169" s="64"/>
      <c r="C3169" s="64"/>
      <c r="D3169" s="64"/>
      <c r="E3169" s="64"/>
      <c r="F3169" s="64"/>
    </row>
    <row r="3170">
      <c r="B3170" s="64"/>
      <c r="C3170" s="64"/>
      <c r="D3170" s="64"/>
      <c r="E3170" s="64"/>
      <c r="F3170" s="64"/>
    </row>
    <row r="3171">
      <c r="B3171" s="64"/>
      <c r="C3171" s="64"/>
      <c r="D3171" s="64"/>
      <c r="E3171" s="64"/>
      <c r="F3171" s="64"/>
    </row>
    <row r="3172">
      <c r="B3172" s="64"/>
      <c r="C3172" s="64"/>
      <c r="D3172" s="64"/>
      <c r="E3172" s="64"/>
      <c r="F3172" s="64"/>
    </row>
    <row r="3173">
      <c r="B3173" s="64"/>
      <c r="C3173" s="64"/>
      <c r="D3173" s="64"/>
      <c r="E3173" s="64"/>
      <c r="F3173" s="64"/>
    </row>
    <row r="3174">
      <c r="B3174" s="64"/>
      <c r="C3174" s="64"/>
      <c r="D3174" s="64"/>
      <c r="E3174" s="64"/>
      <c r="F3174" s="64"/>
    </row>
    <row r="3175">
      <c r="B3175" s="64"/>
      <c r="C3175" s="64"/>
      <c r="D3175" s="64"/>
      <c r="E3175" s="64"/>
      <c r="F3175" s="64"/>
    </row>
    <row r="3176">
      <c r="B3176" s="64"/>
      <c r="C3176" s="64"/>
      <c r="D3176" s="64"/>
      <c r="E3176" s="64"/>
      <c r="F3176" s="64"/>
    </row>
    <row r="3177">
      <c r="B3177" s="64"/>
      <c r="C3177" s="64"/>
      <c r="D3177" s="64"/>
      <c r="E3177" s="64"/>
      <c r="F3177" s="64"/>
    </row>
    <row r="3178">
      <c r="B3178" s="64"/>
      <c r="C3178" s="64"/>
      <c r="D3178" s="64"/>
      <c r="E3178" s="64"/>
      <c r="F3178" s="64"/>
    </row>
    <row r="3179">
      <c r="B3179" s="64"/>
      <c r="C3179" s="64"/>
      <c r="D3179" s="64"/>
      <c r="E3179" s="64"/>
      <c r="F3179" s="64"/>
    </row>
    <row r="3180">
      <c r="B3180" s="64"/>
      <c r="C3180" s="64"/>
      <c r="D3180" s="64"/>
      <c r="E3180" s="64"/>
      <c r="F3180" s="64"/>
    </row>
    <row r="3181">
      <c r="B3181" s="64"/>
      <c r="C3181" s="64"/>
      <c r="D3181" s="64"/>
      <c r="E3181" s="64"/>
      <c r="F3181" s="64"/>
    </row>
    <row r="3182">
      <c r="B3182" s="64"/>
      <c r="C3182" s="64"/>
      <c r="D3182" s="64"/>
      <c r="E3182" s="64"/>
      <c r="F3182" s="64"/>
    </row>
    <row r="3183">
      <c r="B3183" s="64"/>
      <c r="C3183" s="64"/>
      <c r="D3183" s="64"/>
      <c r="E3183" s="64"/>
      <c r="F3183" s="64"/>
    </row>
    <row r="3184">
      <c r="B3184" s="64"/>
      <c r="C3184" s="64"/>
      <c r="D3184" s="64"/>
      <c r="E3184" s="64"/>
      <c r="F3184" s="64"/>
    </row>
    <row r="3185">
      <c r="B3185" s="64"/>
      <c r="C3185" s="64"/>
      <c r="D3185" s="64"/>
      <c r="E3185" s="64"/>
      <c r="F3185" s="64"/>
    </row>
    <row r="3186">
      <c r="B3186" s="64"/>
      <c r="C3186" s="64"/>
      <c r="D3186" s="64"/>
      <c r="E3186" s="64"/>
      <c r="F3186" s="64"/>
    </row>
    <row r="3187">
      <c r="B3187" s="64"/>
      <c r="C3187" s="64"/>
      <c r="D3187" s="64"/>
      <c r="E3187" s="64"/>
      <c r="F3187" s="64"/>
    </row>
    <row r="3188">
      <c r="B3188" s="64"/>
      <c r="C3188" s="64"/>
      <c r="D3188" s="64"/>
      <c r="E3188" s="64"/>
      <c r="F3188" s="64"/>
    </row>
    <row r="3189">
      <c r="B3189" s="64"/>
      <c r="C3189" s="64"/>
      <c r="D3189" s="64"/>
      <c r="E3189" s="64"/>
      <c r="F3189" s="64"/>
    </row>
    <row r="3190">
      <c r="B3190" s="64"/>
      <c r="C3190" s="64"/>
      <c r="D3190" s="64"/>
      <c r="E3190" s="64"/>
      <c r="F3190" s="64"/>
    </row>
    <row r="3191">
      <c r="B3191" s="64"/>
      <c r="C3191" s="64"/>
      <c r="D3191" s="64"/>
      <c r="E3191" s="64"/>
      <c r="F3191" s="64"/>
    </row>
    <row r="3192">
      <c r="B3192" s="64"/>
      <c r="C3192" s="64"/>
      <c r="D3192" s="64"/>
      <c r="E3192" s="64"/>
      <c r="F3192" s="64"/>
    </row>
    <row r="3193">
      <c r="B3193" s="64"/>
      <c r="C3193" s="64"/>
      <c r="D3193" s="64"/>
      <c r="E3193" s="64"/>
      <c r="F3193" s="64"/>
    </row>
    <row r="3194">
      <c r="B3194" s="64"/>
      <c r="C3194" s="64"/>
      <c r="D3194" s="64"/>
      <c r="E3194" s="64"/>
      <c r="F3194" s="64"/>
    </row>
    <row r="3195">
      <c r="B3195" s="64"/>
      <c r="C3195" s="64"/>
      <c r="D3195" s="64"/>
      <c r="E3195" s="64"/>
      <c r="F3195" s="64"/>
    </row>
    <row r="3196">
      <c r="B3196" s="64"/>
      <c r="C3196" s="64"/>
      <c r="D3196" s="64"/>
      <c r="E3196" s="64"/>
      <c r="F3196" s="64"/>
    </row>
    <row r="3197">
      <c r="B3197" s="64"/>
      <c r="C3197" s="64"/>
      <c r="D3197" s="64"/>
      <c r="E3197" s="64"/>
      <c r="F3197" s="64"/>
    </row>
    <row r="3198">
      <c r="B3198" s="64"/>
      <c r="C3198" s="64"/>
      <c r="D3198" s="64"/>
      <c r="E3198" s="64"/>
      <c r="F3198" s="64"/>
    </row>
    <row r="3199">
      <c r="B3199" s="64"/>
      <c r="C3199" s="64"/>
      <c r="D3199" s="64"/>
      <c r="E3199" s="64"/>
      <c r="F3199" s="64"/>
    </row>
    <row r="3200">
      <c r="B3200" s="64"/>
      <c r="C3200" s="64"/>
      <c r="D3200" s="64"/>
      <c r="E3200" s="64"/>
      <c r="F3200" s="64"/>
    </row>
    <row r="3201">
      <c r="B3201" s="64"/>
      <c r="C3201" s="64"/>
      <c r="D3201" s="64"/>
      <c r="E3201" s="64"/>
      <c r="F3201" s="64"/>
    </row>
    <row r="3202">
      <c r="B3202" s="64"/>
      <c r="C3202" s="64"/>
      <c r="D3202" s="64"/>
      <c r="E3202" s="64"/>
      <c r="F3202" s="64"/>
    </row>
    <row r="3203">
      <c r="B3203" s="64"/>
      <c r="C3203" s="64"/>
      <c r="D3203" s="64"/>
      <c r="E3203" s="64"/>
      <c r="F3203" s="64"/>
    </row>
    <row r="3204">
      <c r="B3204" s="64"/>
      <c r="C3204" s="64"/>
      <c r="D3204" s="64"/>
      <c r="E3204" s="64"/>
      <c r="F3204" s="64"/>
    </row>
    <row r="3205">
      <c r="B3205" s="64"/>
      <c r="C3205" s="64"/>
      <c r="D3205" s="64"/>
      <c r="E3205" s="64"/>
      <c r="F3205" s="64"/>
    </row>
    <row r="3206">
      <c r="B3206" s="64"/>
      <c r="C3206" s="64"/>
      <c r="D3206" s="64"/>
      <c r="E3206" s="64"/>
      <c r="F3206" s="64"/>
    </row>
    <row r="3207">
      <c r="B3207" s="64"/>
      <c r="C3207" s="64"/>
      <c r="D3207" s="64"/>
      <c r="E3207" s="64"/>
      <c r="F3207" s="64"/>
    </row>
    <row r="3208">
      <c r="B3208" s="64"/>
      <c r="C3208" s="64"/>
      <c r="D3208" s="64"/>
      <c r="E3208" s="64"/>
      <c r="F3208" s="64"/>
    </row>
    <row r="3209">
      <c r="B3209" s="64"/>
      <c r="C3209" s="64"/>
      <c r="D3209" s="64"/>
      <c r="E3209" s="64"/>
      <c r="F3209" s="64"/>
    </row>
    <row r="3210">
      <c r="B3210" s="64"/>
      <c r="C3210" s="64"/>
      <c r="D3210" s="64"/>
      <c r="E3210" s="64"/>
      <c r="F3210" s="64"/>
    </row>
    <row r="3211">
      <c r="B3211" s="64"/>
      <c r="C3211" s="64"/>
      <c r="D3211" s="64"/>
      <c r="E3211" s="64"/>
      <c r="F3211" s="64"/>
    </row>
    <row r="3212">
      <c r="B3212" s="64"/>
      <c r="C3212" s="64"/>
      <c r="D3212" s="64"/>
      <c r="E3212" s="64"/>
      <c r="F3212" s="64"/>
    </row>
    <row r="3213">
      <c r="B3213" s="64"/>
      <c r="C3213" s="64"/>
      <c r="D3213" s="64"/>
      <c r="E3213" s="64"/>
      <c r="F3213" s="64"/>
    </row>
    <row r="3214">
      <c r="B3214" s="64"/>
      <c r="C3214" s="64"/>
      <c r="D3214" s="64"/>
      <c r="E3214" s="64"/>
      <c r="F3214" s="64"/>
    </row>
    <row r="3215">
      <c r="B3215" s="64"/>
      <c r="C3215" s="64"/>
      <c r="D3215" s="64"/>
      <c r="E3215" s="64"/>
      <c r="F3215" s="64"/>
    </row>
    <row r="3216">
      <c r="B3216" s="64"/>
      <c r="C3216" s="64"/>
      <c r="D3216" s="64"/>
      <c r="E3216" s="64"/>
      <c r="F3216" s="64"/>
    </row>
    <row r="3217">
      <c r="B3217" s="64"/>
      <c r="C3217" s="64"/>
      <c r="D3217" s="64"/>
      <c r="E3217" s="64"/>
      <c r="F3217" s="64"/>
    </row>
    <row r="3218">
      <c r="B3218" s="64"/>
      <c r="C3218" s="64"/>
      <c r="D3218" s="64"/>
      <c r="E3218" s="64"/>
      <c r="F3218" s="64"/>
    </row>
    <row r="3219">
      <c r="B3219" s="64"/>
      <c r="C3219" s="64"/>
      <c r="D3219" s="64"/>
      <c r="E3219" s="64"/>
      <c r="F3219" s="64"/>
    </row>
    <row r="3220">
      <c r="B3220" s="64"/>
      <c r="C3220" s="64"/>
      <c r="D3220" s="64"/>
      <c r="E3220" s="64"/>
      <c r="F3220" s="64"/>
    </row>
    <row r="3221">
      <c r="B3221" s="64"/>
      <c r="C3221" s="64"/>
      <c r="D3221" s="64"/>
      <c r="E3221" s="64"/>
      <c r="F3221" s="64"/>
    </row>
    <row r="3222">
      <c r="B3222" s="64"/>
      <c r="C3222" s="64"/>
      <c r="D3222" s="64"/>
      <c r="E3222" s="64"/>
      <c r="F3222" s="64"/>
    </row>
    <row r="3223">
      <c r="B3223" s="64"/>
      <c r="C3223" s="64"/>
      <c r="D3223" s="64"/>
      <c r="E3223" s="64"/>
      <c r="F3223" s="64"/>
    </row>
    <row r="3224">
      <c r="B3224" s="64"/>
      <c r="C3224" s="64"/>
      <c r="D3224" s="64"/>
      <c r="E3224" s="64"/>
      <c r="F3224" s="64"/>
    </row>
    <row r="3225">
      <c r="B3225" s="64"/>
      <c r="C3225" s="64"/>
      <c r="D3225" s="64"/>
      <c r="E3225" s="64"/>
      <c r="F3225" s="64"/>
    </row>
    <row r="3226">
      <c r="B3226" s="64"/>
      <c r="C3226" s="64"/>
      <c r="D3226" s="64"/>
      <c r="E3226" s="64"/>
      <c r="F3226" s="64"/>
    </row>
    <row r="3227">
      <c r="B3227" s="64"/>
      <c r="C3227" s="64"/>
      <c r="D3227" s="64"/>
      <c r="E3227" s="64"/>
      <c r="F3227" s="64"/>
    </row>
    <row r="3228">
      <c r="B3228" s="64"/>
      <c r="C3228" s="64"/>
      <c r="D3228" s="64"/>
      <c r="E3228" s="64"/>
      <c r="F3228" s="64"/>
    </row>
    <row r="3229">
      <c r="B3229" s="64"/>
      <c r="C3229" s="64"/>
      <c r="D3229" s="64"/>
      <c r="E3229" s="64"/>
      <c r="F3229" s="64"/>
    </row>
    <row r="3230">
      <c r="B3230" s="64"/>
      <c r="C3230" s="64"/>
      <c r="D3230" s="64"/>
      <c r="E3230" s="64"/>
      <c r="F3230" s="64"/>
    </row>
    <row r="3231">
      <c r="B3231" s="64"/>
      <c r="C3231" s="64"/>
      <c r="D3231" s="64"/>
      <c r="E3231" s="64"/>
      <c r="F3231" s="64"/>
    </row>
    <row r="3232">
      <c r="B3232" s="64"/>
      <c r="C3232" s="64"/>
      <c r="D3232" s="64"/>
      <c r="E3232" s="64"/>
      <c r="F3232" s="64"/>
    </row>
    <row r="3233">
      <c r="B3233" s="64"/>
      <c r="C3233" s="64"/>
      <c r="D3233" s="64"/>
      <c r="E3233" s="64"/>
      <c r="F3233" s="64"/>
    </row>
    <row r="3234">
      <c r="B3234" s="64"/>
      <c r="C3234" s="64"/>
      <c r="D3234" s="64"/>
      <c r="E3234" s="64"/>
      <c r="F3234" s="64"/>
    </row>
    <row r="3235">
      <c r="B3235" s="64"/>
      <c r="C3235" s="64"/>
      <c r="D3235" s="64"/>
      <c r="E3235" s="64"/>
      <c r="F3235" s="64"/>
    </row>
    <row r="3236">
      <c r="B3236" s="64"/>
      <c r="C3236" s="64"/>
      <c r="D3236" s="64"/>
      <c r="E3236" s="64"/>
      <c r="F3236" s="64"/>
    </row>
    <row r="3237">
      <c r="B3237" s="64"/>
      <c r="C3237" s="64"/>
      <c r="D3237" s="64"/>
      <c r="E3237" s="64"/>
      <c r="F3237" s="64"/>
    </row>
    <row r="3238">
      <c r="B3238" s="64"/>
      <c r="C3238" s="64"/>
      <c r="D3238" s="64"/>
      <c r="E3238" s="64"/>
      <c r="F3238" s="64"/>
    </row>
    <row r="3239">
      <c r="B3239" s="64"/>
      <c r="C3239" s="64"/>
      <c r="D3239" s="64"/>
      <c r="E3239" s="64"/>
      <c r="F3239" s="64"/>
    </row>
    <row r="3240">
      <c r="B3240" s="64"/>
      <c r="C3240" s="64"/>
      <c r="D3240" s="64"/>
      <c r="E3240" s="64"/>
      <c r="F3240" s="64"/>
    </row>
    <row r="3241">
      <c r="B3241" s="64"/>
      <c r="C3241" s="64"/>
      <c r="D3241" s="64"/>
      <c r="E3241" s="64"/>
      <c r="F3241" s="64"/>
    </row>
    <row r="3242">
      <c r="B3242" s="64"/>
      <c r="C3242" s="64"/>
      <c r="D3242" s="64"/>
      <c r="E3242" s="64"/>
      <c r="F3242" s="64"/>
    </row>
    <row r="3243">
      <c r="B3243" s="64"/>
      <c r="C3243" s="64"/>
      <c r="D3243" s="64"/>
      <c r="E3243" s="64"/>
      <c r="F3243" s="64"/>
    </row>
    <row r="3244">
      <c r="B3244" s="64"/>
      <c r="C3244" s="64"/>
      <c r="D3244" s="64"/>
      <c r="E3244" s="64"/>
      <c r="F3244" s="64"/>
    </row>
    <row r="3245">
      <c r="B3245" s="64"/>
      <c r="C3245" s="64"/>
      <c r="D3245" s="64"/>
      <c r="E3245" s="64"/>
      <c r="F3245" s="64"/>
    </row>
    <row r="3246">
      <c r="B3246" s="64"/>
      <c r="C3246" s="64"/>
      <c r="D3246" s="64"/>
      <c r="E3246" s="64"/>
      <c r="F3246" s="64"/>
    </row>
    <row r="3247">
      <c r="B3247" s="64"/>
      <c r="C3247" s="64"/>
      <c r="D3247" s="64"/>
      <c r="E3247" s="64"/>
      <c r="F3247" s="64"/>
    </row>
    <row r="3248">
      <c r="B3248" s="64"/>
      <c r="C3248" s="64"/>
      <c r="D3248" s="64"/>
      <c r="E3248" s="64"/>
      <c r="F3248" s="64"/>
    </row>
    <row r="3249">
      <c r="B3249" s="64"/>
      <c r="C3249" s="64"/>
      <c r="D3249" s="64"/>
      <c r="E3249" s="64"/>
      <c r="F3249" s="64"/>
    </row>
    <row r="3250">
      <c r="B3250" s="64"/>
      <c r="C3250" s="64"/>
      <c r="D3250" s="64"/>
      <c r="E3250" s="64"/>
      <c r="F3250" s="64"/>
    </row>
    <row r="3251">
      <c r="B3251" s="64"/>
      <c r="C3251" s="64"/>
      <c r="D3251" s="64"/>
      <c r="E3251" s="64"/>
      <c r="F3251" s="64"/>
    </row>
    <row r="3252">
      <c r="B3252" s="64"/>
      <c r="C3252" s="64"/>
      <c r="D3252" s="64"/>
      <c r="E3252" s="64"/>
      <c r="F3252" s="64"/>
    </row>
    <row r="3253">
      <c r="B3253" s="64"/>
      <c r="C3253" s="64"/>
      <c r="D3253" s="64"/>
      <c r="E3253" s="64"/>
      <c r="F3253" s="64"/>
    </row>
    <row r="3254">
      <c r="B3254" s="64"/>
      <c r="C3254" s="64"/>
      <c r="D3254" s="64"/>
      <c r="E3254" s="64"/>
      <c r="F3254" s="64"/>
    </row>
    <row r="3255">
      <c r="B3255" s="64"/>
      <c r="C3255" s="64"/>
      <c r="D3255" s="64"/>
      <c r="E3255" s="64"/>
      <c r="F3255" s="64"/>
    </row>
    <row r="3256">
      <c r="B3256" s="64"/>
      <c r="C3256" s="64"/>
      <c r="D3256" s="64"/>
      <c r="E3256" s="64"/>
      <c r="F3256" s="64"/>
    </row>
    <row r="3257">
      <c r="B3257" s="64"/>
      <c r="C3257" s="64"/>
      <c r="D3257" s="64"/>
      <c r="E3257" s="64"/>
      <c r="F3257" s="64"/>
    </row>
    <row r="3258">
      <c r="B3258" s="64"/>
      <c r="C3258" s="64"/>
      <c r="D3258" s="64"/>
      <c r="E3258" s="64"/>
      <c r="F3258" s="64"/>
    </row>
    <row r="3259">
      <c r="B3259" s="64"/>
      <c r="C3259" s="64"/>
      <c r="D3259" s="64"/>
      <c r="E3259" s="64"/>
      <c r="F3259" s="64"/>
    </row>
    <row r="3260">
      <c r="B3260" s="64"/>
      <c r="C3260" s="64"/>
      <c r="D3260" s="64"/>
      <c r="E3260" s="64"/>
      <c r="F3260" s="64"/>
    </row>
    <row r="3261">
      <c r="B3261" s="64"/>
      <c r="C3261" s="64"/>
      <c r="D3261" s="64"/>
      <c r="E3261" s="64"/>
      <c r="F3261" s="64"/>
    </row>
    <row r="3262">
      <c r="B3262" s="64"/>
      <c r="C3262" s="64"/>
      <c r="D3262" s="64"/>
      <c r="E3262" s="64"/>
      <c r="F3262" s="64"/>
    </row>
    <row r="3263">
      <c r="B3263" s="64"/>
      <c r="C3263" s="64"/>
      <c r="D3263" s="64"/>
      <c r="E3263" s="64"/>
      <c r="F3263" s="64"/>
    </row>
    <row r="3264">
      <c r="B3264" s="64"/>
      <c r="C3264" s="64"/>
      <c r="D3264" s="64"/>
      <c r="E3264" s="64"/>
      <c r="F3264" s="64"/>
    </row>
    <row r="3265">
      <c r="B3265" s="64"/>
      <c r="C3265" s="64"/>
      <c r="D3265" s="64"/>
      <c r="E3265" s="64"/>
      <c r="F3265" s="64"/>
    </row>
    <row r="3266">
      <c r="B3266" s="64"/>
      <c r="C3266" s="64"/>
      <c r="D3266" s="64"/>
      <c r="E3266" s="64"/>
      <c r="F3266" s="64"/>
    </row>
    <row r="3267">
      <c r="B3267" s="64"/>
      <c r="C3267" s="64"/>
      <c r="D3267" s="64"/>
      <c r="E3267" s="64"/>
      <c r="F3267" s="64"/>
    </row>
    <row r="3268">
      <c r="B3268" s="64"/>
      <c r="C3268" s="64"/>
      <c r="D3268" s="64"/>
      <c r="E3268" s="64"/>
      <c r="F3268" s="64"/>
    </row>
    <row r="3269">
      <c r="B3269" s="64"/>
      <c r="C3269" s="64"/>
      <c r="D3269" s="64"/>
      <c r="E3269" s="64"/>
      <c r="F3269" s="64"/>
    </row>
    <row r="3270">
      <c r="B3270" s="64"/>
      <c r="C3270" s="64"/>
      <c r="D3270" s="64"/>
      <c r="E3270" s="64"/>
      <c r="F3270" s="64"/>
    </row>
    <row r="3271">
      <c r="B3271" s="64"/>
      <c r="C3271" s="64"/>
      <c r="D3271" s="64"/>
      <c r="E3271" s="64"/>
      <c r="F3271" s="64"/>
    </row>
    <row r="3272">
      <c r="B3272" s="64"/>
      <c r="C3272" s="64"/>
      <c r="D3272" s="64"/>
      <c r="E3272" s="64"/>
      <c r="F3272" s="64"/>
    </row>
    <row r="3273">
      <c r="B3273" s="64"/>
      <c r="C3273" s="64"/>
      <c r="D3273" s="64"/>
      <c r="E3273" s="64"/>
      <c r="F3273" s="64"/>
    </row>
    <row r="3274">
      <c r="B3274" s="64"/>
      <c r="C3274" s="64"/>
      <c r="D3274" s="64"/>
      <c r="E3274" s="64"/>
      <c r="F3274" s="64"/>
    </row>
    <row r="3275">
      <c r="B3275" s="64"/>
      <c r="C3275" s="64"/>
      <c r="D3275" s="64"/>
      <c r="E3275" s="64"/>
      <c r="F3275" s="64"/>
    </row>
    <row r="3276">
      <c r="B3276" s="64"/>
      <c r="C3276" s="64"/>
      <c r="D3276" s="64"/>
      <c r="E3276" s="64"/>
      <c r="F3276" s="64"/>
    </row>
    <row r="3277">
      <c r="B3277" s="64"/>
      <c r="C3277" s="64"/>
      <c r="D3277" s="64"/>
      <c r="E3277" s="64"/>
      <c r="F3277" s="64"/>
    </row>
    <row r="3278">
      <c r="B3278" s="64"/>
      <c r="C3278" s="64"/>
      <c r="D3278" s="64"/>
      <c r="E3278" s="64"/>
      <c r="F3278" s="64"/>
    </row>
    <row r="3279">
      <c r="B3279" s="64"/>
      <c r="C3279" s="64"/>
      <c r="D3279" s="64"/>
      <c r="E3279" s="64"/>
      <c r="F3279" s="64"/>
    </row>
    <row r="3280">
      <c r="B3280" s="64"/>
      <c r="C3280" s="64"/>
      <c r="D3280" s="64"/>
      <c r="E3280" s="64"/>
      <c r="F3280" s="64"/>
    </row>
    <row r="3281">
      <c r="B3281" s="64"/>
      <c r="C3281" s="64"/>
      <c r="D3281" s="64"/>
      <c r="E3281" s="64"/>
      <c r="F3281" s="64"/>
    </row>
    <row r="3282">
      <c r="B3282" s="64"/>
      <c r="C3282" s="64"/>
      <c r="D3282" s="64"/>
      <c r="E3282" s="64"/>
      <c r="F3282" s="64"/>
    </row>
    <row r="3283">
      <c r="B3283" s="64"/>
      <c r="C3283" s="64"/>
      <c r="D3283" s="64"/>
      <c r="E3283" s="64"/>
      <c r="F3283" s="64"/>
    </row>
    <row r="3284">
      <c r="B3284" s="64"/>
      <c r="C3284" s="64"/>
      <c r="D3284" s="64"/>
      <c r="E3284" s="64"/>
      <c r="F3284" s="64"/>
    </row>
    <row r="3285">
      <c r="B3285" s="64"/>
      <c r="C3285" s="64"/>
      <c r="D3285" s="64"/>
      <c r="E3285" s="64"/>
      <c r="F3285" s="64"/>
    </row>
    <row r="3286">
      <c r="B3286" s="64"/>
      <c r="C3286" s="64"/>
      <c r="D3286" s="64"/>
      <c r="E3286" s="64"/>
      <c r="F3286" s="64"/>
    </row>
    <row r="3287">
      <c r="B3287" s="64"/>
      <c r="C3287" s="64"/>
      <c r="D3287" s="64"/>
      <c r="E3287" s="64"/>
      <c r="F3287" s="64"/>
    </row>
    <row r="3288">
      <c r="B3288" s="64"/>
      <c r="C3288" s="64"/>
      <c r="D3288" s="64"/>
      <c r="E3288" s="64"/>
      <c r="F3288" s="64"/>
    </row>
    <row r="3289">
      <c r="B3289" s="64"/>
      <c r="C3289" s="64"/>
      <c r="D3289" s="64"/>
      <c r="E3289" s="64"/>
      <c r="F3289" s="64"/>
    </row>
    <row r="3290">
      <c r="B3290" s="64"/>
      <c r="C3290" s="64"/>
      <c r="D3290" s="64"/>
      <c r="E3290" s="64"/>
      <c r="F3290" s="64"/>
    </row>
    <row r="3291">
      <c r="B3291" s="64"/>
      <c r="C3291" s="64"/>
      <c r="D3291" s="64"/>
      <c r="E3291" s="64"/>
      <c r="F3291" s="64"/>
    </row>
    <row r="3292">
      <c r="B3292" s="64"/>
      <c r="C3292" s="64"/>
      <c r="D3292" s="64"/>
      <c r="E3292" s="64"/>
      <c r="F3292" s="64"/>
    </row>
    <row r="3293">
      <c r="B3293" s="64"/>
      <c r="C3293" s="64"/>
      <c r="D3293" s="64"/>
      <c r="E3293" s="64"/>
      <c r="F3293" s="64"/>
    </row>
    <row r="3294">
      <c r="B3294" s="64"/>
      <c r="C3294" s="64"/>
      <c r="D3294" s="64"/>
      <c r="E3294" s="64"/>
      <c r="F3294" s="64"/>
    </row>
    <row r="3295">
      <c r="B3295" s="64"/>
      <c r="C3295" s="64"/>
      <c r="D3295" s="64"/>
      <c r="E3295" s="64"/>
      <c r="F3295" s="64"/>
    </row>
    <row r="3296">
      <c r="B3296" s="64"/>
      <c r="C3296" s="64"/>
      <c r="D3296" s="64"/>
      <c r="E3296" s="64"/>
      <c r="F3296" s="64"/>
    </row>
    <row r="3297">
      <c r="B3297" s="64"/>
      <c r="C3297" s="64"/>
      <c r="D3297" s="64"/>
      <c r="E3297" s="64"/>
      <c r="F3297" s="64"/>
    </row>
    <row r="3298">
      <c r="B3298" s="64"/>
      <c r="C3298" s="64"/>
      <c r="D3298" s="64"/>
      <c r="E3298" s="64"/>
      <c r="F3298" s="64"/>
    </row>
    <row r="3299">
      <c r="B3299" s="64"/>
      <c r="C3299" s="64"/>
      <c r="D3299" s="64"/>
      <c r="E3299" s="64"/>
      <c r="F3299" s="64"/>
    </row>
    <row r="3300">
      <c r="B3300" s="64"/>
      <c r="C3300" s="64"/>
      <c r="D3300" s="64"/>
      <c r="E3300" s="64"/>
      <c r="F3300" s="64"/>
    </row>
    <row r="3301">
      <c r="B3301" s="64"/>
      <c r="C3301" s="64"/>
      <c r="D3301" s="64"/>
      <c r="E3301" s="64"/>
      <c r="F3301" s="64"/>
    </row>
    <row r="3302">
      <c r="B3302" s="64"/>
      <c r="C3302" s="64"/>
      <c r="D3302" s="64"/>
      <c r="E3302" s="64"/>
      <c r="F3302" s="64"/>
    </row>
    <row r="3303">
      <c r="B3303" s="64"/>
      <c r="C3303" s="64"/>
      <c r="D3303" s="64"/>
      <c r="E3303" s="64"/>
      <c r="F3303" s="64"/>
    </row>
    <row r="3304">
      <c r="B3304" s="64"/>
      <c r="C3304" s="64"/>
      <c r="D3304" s="64"/>
      <c r="E3304" s="64"/>
      <c r="F3304" s="64"/>
    </row>
    <row r="3305">
      <c r="B3305" s="64"/>
      <c r="C3305" s="64"/>
      <c r="D3305" s="64"/>
      <c r="E3305" s="64"/>
      <c r="F3305" s="64"/>
    </row>
    <row r="3306">
      <c r="B3306" s="64"/>
      <c r="C3306" s="64"/>
      <c r="D3306" s="64"/>
      <c r="E3306" s="64"/>
      <c r="F3306" s="64"/>
    </row>
    <row r="3307">
      <c r="B3307" s="64"/>
      <c r="C3307" s="64"/>
      <c r="D3307" s="64"/>
      <c r="E3307" s="64"/>
      <c r="F3307" s="64"/>
    </row>
    <row r="3308">
      <c r="B3308" s="64"/>
      <c r="C3308" s="64"/>
      <c r="D3308" s="64"/>
      <c r="E3308" s="64"/>
      <c r="F3308" s="64"/>
    </row>
    <row r="3309">
      <c r="B3309" s="64"/>
      <c r="C3309" s="64"/>
      <c r="D3309" s="64"/>
      <c r="E3309" s="64"/>
      <c r="F3309" s="64"/>
    </row>
    <row r="3310">
      <c r="B3310" s="64"/>
      <c r="C3310" s="64"/>
      <c r="D3310" s="64"/>
      <c r="E3310" s="64"/>
      <c r="F3310" s="64"/>
    </row>
    <row r="3311">
      <c r="B3311" s="64"/>
      <c r="C3311" s="64"/>
      <c r="D3311" s="64"/>
      <c r="E3311" s="64"/>
      <c r="F3311" s="64"/>
    </row>
    <row r="3312">
      <c r="B3312" s="64"/>
      <c r="C3312" s="64"/>
      <c r="D3312" s="64"/>
      <c r="E3312" s="64"/>
      <c r="F3312" s="64"/>
    </row>
    <row r="3313">
      <c r="B3313" s="64"/>
      <c r="C3313" s="64"/>
      <c r="D3313" s="64"/>
      <c r="E3313" s="64"/>
      <c r="F3313" s="64"/>
    </row>
    <row r="3314">
      <c r="B3314" s="64"/>
      <c r="C3314" s="64"/>
      <c r="D3314" s="64"/>
      <c r="E3314" s="64"/>
      <c r="F3314" s="64"/>
    </row>
    <row r="3315">
      <c r="B3315" s="64"/>
      <c r="C3315" s="64"/>
      <c r="D3315" s="64"/>
      <c r="E3315" s="64"/>
      <c r="F3315" s="64"/>
    </row>
    <row r="3316">
      <c r="B3316" s="64"/>
      <c r="C3316" s="64"/>
      <c r="D3316" s="64"/>
      <c r="E3316" s="64"/>
      <c r="F3316" s="64"/>
    </row>
    <row r="3317">
      <c r="B3317" s="64"/>
      <c r="C3317" s="64"/>
      <c r="D3317" s="64"/>
      <c r="E3317" s="64"/>
      <c r="F3317" s="64"/>
    </row>
    <row r="3318">
      <c r="B3318" s="64"/>
      <c r="C3318" s="64"/>
      <c r="D3318" s="64"/>
      <c r="E3318" s="64"/>
      <c r="F3318" s="64"/>
    </row>
    <row r="3319">
      <c r="B3319" s="64"/>
      <c r="C3319" s="64"/>
      <c r="D3319" s="64"/>
      <c r="E3319" s="64"/>
      <c r="F3319" s="64"/>
    </row>
    <row r="3320">
      <c r="B3320" s="64"/>
      <c r="C3320" s="64"/>
      <c r="D3320" s="64"/>
      <c r="E3320" s="64"/>
      <c r="F3320" s="64"/>
    </row>
    <row r="3321">
      <c r="B3321" s="64"/>
      <c r="C3321" s="64"/>
      <c r="D3321" s="64"/>
      <c r="E3321" s="64"/>
      <c r="F3321" s="64"/>
    </row>
    <row r="3322">
      <c r="B3322" s="64"/>
      <c r="C3322" s="64"/>
      <c r="D3322" s="64"/>
      <c r="E3322" s="64"/>
      <c r="F3322" s="64"/>
    </row>
    <row r="3323">
      <c r="B3323" s="64"/>
      <c r="C3323" s="64"/>
      <c r="D3323" s="64"/>
      <c r="E3323" s="64"/>
      <c r="F3323" s="64"/>
    </row>
    <row r="3324">
      <c r="B3324" s="64"/>
      <c r="C3324" s="64"/>
      <c r="D3324" s="64"/>
      <c r="E3324" s="64"/>
      <c r="F3324" s="64"/>
    </row>
    <row r="3325">
      <c r="B3325" s="64"/>
      <c r="C3325" s="64"/>
      <c r="D3325" s="64"/>
      <c r="E3325" s="64"/>
      <c r="F3325" s="64"/>
    </row>
    <row r="3326">
      <c r="B3326" s="64"/>
      <c r="C3326" s="64"/>
      <c r="D3326" s="64"/>
      <c r="E3326" s="64"/>
      <c r="F3326" s="64"/>
    </row>
    <row r="3327">
      <c r="B3327" s="64"/>
      <c r="C3327" s="64"/>
      <c r="D3327" s="64"/>
      <c r="E3327" s="64"/>
      <c r="F3327" s="64"/>
    </row>
    <row r="3328">
      <c r="B3328" s="64"/>
      <c r="C3328" s="64"/>
      <c r="D3328" s="64"/>
      <c r="E3328" s="64"/>
      <c r="F3328" s="64"/>
    </row>
    <row r="3329">
      <c r="B3329" s="64"/>
      <c r="C3329" s="64"/>
      <c r="D3329" s="64"/>
      <c r="E3329" s="64"/>
      <c r="F3329" s="64"/>
    </row>
    <row r="3330">
      <c r="B3330" s="64"/>
      <c r="C3330" s="64"/>
      <c r="D3330" s="64"/>
      <c r="E3330" s="64"/>
      <c r="F3330" s="64"/>
    </row>
    <row r="3331">
      <c r="B3331" s="64"/>
      <c r="C3331" s="64"/>
      <c r="D3331" s="64"/>
      <c r="E3331" s="64"/>
      <c r="F3331" s="64"/>
    </row>
    <row r="3332">
      <c r="B3332" s="64"/>
      <c r="C3332" s="64"/>
      <c r="D3332" s="64"/>
      <c r="E3332" s="64"/>
      <c r="F3332" s="64"/>
    </row>
    <row r="3333">
      <c r="B3333" s="64"/>
      <c r="C3333" s="64"/>
      <c r="D3333" s="64"/>
      <c r="E3333" s="64"/>
      <c r="F3333" s="64"/>
    </row>
    <row r="3334">
      <c r="B3334" s="64"/>
      <c r="C3334" s="64"/>
      <c r="D3334" s="64"/>
      <c r="E3334" s="64"/>
      <c r="F3334" s="64"/>
    </row>
    <row r="3335">
      <c r="B3335" s="64"/>
      <c r="C3335" s="64"/>
      <c r="D3335" s="64"/>
      <c r="E3335" s="64"/>
      <c r="F3335" s="64"/>
    </row>
    <row r="3336">
      <c r="B3336" s="64"/>
      <c r="C3336" s="64"/>
      <c r="D3336" s="64"/>
      <c r="E3336" s="64"/>
      <c r="F3336" s="64"/>
    </row>
    <row r="3337">
      <c r="B3337" s="64"/>
      <c r="C3337" s="64"/>
      <c r="D3337" s="64"/>
      <c r="E3337" s="64"/>
      <c r="F3337" s="64"/>
    </row>
    <row r="3338">
      <c r="B3338" s="64"/>
      <c r="C3338" s="64"/>
      <c r="D3338" s="64"/>
      <c r="E3338" s="64"/>
      <c r="F3338" s="64"/>
    </row>
    <row r="3339">
      <c r="B3339" s="64"/>
      <c r="C3339" s="64"/>
      <c r="D3339" s="64"/>
      <c r="E3339" s="64"/>
      <c r="F3339" s="64"/>
    </row>
    <row r="3340">
      <c r="B3340" s="64"/>
      <c r="C3340" s="64"/>
      <c r="D3340" s="64"/>
      <c r="E3340" s="64"/>
      <c r="F3340" s="64"/>
    </row>
    <row r="3341">
      <c r="B3341" s="64"/>
      <c r="C3341" s="64"/>
      <c r="D3341" s="64"/>
      <c r="E3341" s="64"/>
      <c r="F3341" s="64"/>
    </row>
    <row r="3342">
      <c r="B3342" s="64"/>
      <c r="C3342" s="64"/>
      <c r="D3342" s="64"/>
      <c r="E3342" s="64"/>
      <c r="F3342" s="64"/>
    </row>
    <row r="3343">
      <c r="B3343" s="64"/>
      <c r="C3343" s="64"/>
      <c r="D3343" s="64"/>
      <c r="E3343" s="64"/>
      <c r="F3343" s="64"/>
    </row>
    <row r="3344">
      <c r="B3344" s="64"/>
      <c r="C3344" s="64"/>
      <c r="D3344" s="64"/>
      <c r="E3344" s="64"/>
      <c r="F3344" s="64"/>
    </row>
    <row r="3345">
      <c r="B3345" s="64"/>
      <c r="C3345" s="64"/>
      <c r="D3345" s="64"/>
      <c r="E3345" s="64"/>
      <c r="F3345" s="64"/>
    </row>
    <row r="3346">
      <c r="B3346" s="64"/>
      <c r="C3346" s="64"/>
      <c r="D3346" s="64"/>
      <c r="E3346" s="64"/>
      <c r="F3346" s="64"/>
    </row>
    <row r="3347">
      <c r="B3347" s="64"/>
      <c r="C3347" s="64"/>
      <c r="D3347" s="64"/>
      <c r="E3347" s="64"/>
      <c r="F3347" s="64"/>
    </row>
    <row r="3348">
      <c r="B3348" s="64"/>
      <c r="C3348" s="64"/>
      <c r="D3348" s="64"/>
      <c r="E3348" s="64"/>
      <c r="F3348" s="64"/>
    </row>
    <row r="3349">
      <c r="B3349" s="64"/>
      <c r="C3349" s="64"/>
      <c r="D3349" s="64"/>
      <c r="E3349" s="64"/>
      <c r="F3349" s="64"/>
    </row>
    <row r="3350">
      <c r="B3350" s="64"/>
      <c r="C3350" s="64"/>
      <c r="D3350" s="64"/>
      <c r="E3350" s="64"/>
      <c r="F3350" s="64"/>
    </row>
    <row r="3351">
      <c r="B3351" s="64"/>
      <c r="C3351" s="64"/>
      <c r="D3351" s="64"/>
      <c r="E3351" s="64"/>
      <c r="F3351" s="64"/>
    </row>
    <row r="3352">
      <c r="B3352" s="64"/>
      <c r="C3352" s="64"/>
      <c r="D3352" s="64"/>
      <c r="E3352" s="64"/>
      <c r="F3352" s="64"/>
    </row>
    <row r="3353">
      <c r="B3353" s="64"/>
      <c r="C3353" s="64"/>
      <c r="D3353" s="64"/>
      <c r="E3353" s="64"/>
      <c r="F3353" s="64"/>
    </row>
    <row r="3354">
      <c r="B3354" s="64"/>
      <c r="C3354" s="64"/>
      <c r="D3354" s="64"/>
      <c r="E3354" s="64"/>
      <c r="F3354" s="64"/>
    </row>
    <row r="3355">
      <c r="B3355" s="64"/>
      <c r="C3355" s="64"/>
      <c r="D3355" s="64"/>
      <c r="E3355" s="64"/>
      <c r="F3355" s="64"/>
    </row>
    <row r="3356">
      <c r="B3356" s="64"/>
      <c r="C3356" s="64"/>
      <c r="D3356" s="64"/>
      <c r="E3356" s="64"/>
      <c r="F3356" s="64"/>
    </row>
    <row r="3357">
      <c r="B3357" s="64"/>
      <c r="C3357" s="64"/>
      <c r="D3357" s="64"/>
      <c r="E3357" s="64"/>
      <c r="F3357" s="64"/>
    </row>
    <row r="3358">
      <c r="B3358" s="64"/>
      <c r="C3358" s="64"/>
      <c r="D3358" s="64"/>
      <c r="E3358" s="64"/>
      <c r="F3358" s="64"/>
    </row>
    <row r="3359">
      <c r="B3359" s="64"/>
      <c r="C3359" s="64"/>
      <c r="D3359" s="64"/>
      <c r="E3359" s="64"/>
      <c r="F3359" s="64"/>
    </row>
    <row r="3360">
      <c r="B3360" s="64"/>
      <c r="C3360" s="64"/>
      <c r="D3360" s="64"/>
      <c r="E3360" s="64"/>
      <c r="F3360" s="64"/>
    </row>
    <row r="3361">
      <c r="B3361" s="64"/>
      <c r="C3361" s="64"/>
      <c r="D3361" s="64"/>
      <c r="E3361" s="64"/>
      <c r="F3361" s="64"/>
    </row>
    <row r="3362">
      <c r="B3362" s="64"/>
      <c r="C3362" s="64"/>
      <c r="D3362" s="64"/>
      <c r="E3362" s="64"/>
      <c r="F3362" s="64"/>
    </row>
    <row r="3363">
      <c r="B3363" s="64"/>
      <c r="C3363" s="64"/>
      <c r="D3363" s="64"/>
      <c r="E3363" s="64"/>
      <c r="F3363" s="64"/>
    </row>
    <row r="3364">
      <c r="B3364" s="64"/>
      <c r="C3364" s="64"/>
      <c r="D3364" s="64"/>
      <c r="E3364" s="64"/>
      <c r="F3364" s="64"/>
    </row>
    <row r="3365">
      <c r="B3365" s="64"/>
      <c r="C3365" s="64"/>
      <c r="D3365" s="64"/>
      <c r="E3365" s="64"/>
      <c r="F3365" s="64"/>
    </row>
    <row r="3366">
      <c r="B3366" s="64"/>
      <c r="C3366" s="64"/>
      <c r="D3366" s="64"/>
      <c r="E3366" s="64"/>
      <c r="F3366" s="64"/>
    </row>
    <row r="3367">
      <c r="B3367" s="64"/>
      <c r="C3367" s="64"/>
      <c r="D3367" s="64"/>
      <c r="E3367" s="64"/>
      <c r="F3367" s="64"/>
    </row>
    <row r="3368">
      <c r="B3368" s="64"/>
      <c r="C3368" s="64"/>
      <c r="D3368" s="64"/>
      <c r="E3368" s="64"/>
      <c r="F3368" s="64"/>
    </row>
    <row r="3369">
      <c r="B3369" s="64"/>
      <c r="C3369" s="64"/>
      <c r="D3369" s="64"/>
      <c r="E3369" s="64"/>
      <c r="F3369" s="64"/>
    </row>
    <row r="3370">
      <c r="B3370" s="64"/>
      <c r="C3370" s="64"/>
      <c r="D3370" s="64"/>
      <c r="E3370" s="64"/>
      <c r="F3370" s="64"/>
    </row>
    <row r="3371">
      <c r="B3371" s="64"/>
      <c r="C3371" s="64"/>
      <c r="D3371" s="64"/>
      <c r="E3371" s="64"/>
      <c r="F3371" s="64"/>
    </row>
    <row r="3372">
      <c r="B3372" s="64"/>
      <c r="C3372" s="64"/>
      <c r="D3372" s="64"/>
      <c r="E3372" s="64"/>
      <c r="F3372" s="64"/>
    </row>
    <row r="3373">
      <c r="B3373" s="64"/>
      <c r="C3373" s="64"/>
      <c r="D3373" s="64"/>
      <c r="E3373" s="64"/>
      <c r="F3373" s="64"/>
    </row>
    <row r="3374">
      <c r="B3374" s="64"/>
      <c r="C3374" s="64"/>
      <c r="D3374" s="64"/>
      <c r="E3374" s="64"/>
      <c r="F3374" s="64"/>
    </row>
    <row r="3375">
      <c r="B3375" s="64"/>
      <c r="C3375" s="64"/>
      <c r="D3375" s="64"/>
      <c r="E3375" s="64"/>
      <c r="F3375" s="64"/>
    </row>
    <row r="3376">
      <c r="B3376" s="64"/>
      <c r="C3376" s="64"/>
      <c r="D3376" s="64"/>
      <c r="E3376" s="64"/>
      <c r="F3376" s="64"/>
    </row>
    <row r="3377">
      <c r="B3377" s="64"/>
      <c r="C3377" s="64"/>
      <c r="D3377" s="64"/>
      <c r="E3377" s="64"/>
      <c r="F3377" s="64"/>
    </row>
    <row r="3378">
      <c r="B3378" s="64"/>
      <c r="C3378" s="64"/>
      <c r="D3378" s="64"/>
      <c r="E3378" s="64"/>
      <c r="F3378" s="64"/>
    </row>
    <row r="3379">
      <c r="B3379" s="64"/>
      <c r="C3379" s="64"/>
      <c r="D3379" s="64"/>
      <c r="E3379" s="64"/>
      <c r="F3379" s="64"/>
    </row>
    <row r="3380">
      <c r="B3380" s="64"/>
      <c r="C3380" s="64"/>
      <c r="D3380" s="64"/>
      <c r="E3380" s="64"/>
      <c r="F3380" s="64"/>
    </row>
    <row r="3381">
      <c r="B3381" s="64"/>
      <c r="C3381" s="64"/>
      <c r="D3381" s="64"/>
      <c r="E3381" s="64"/>
      <c r="F3381" s="64"/>
    </row>
    <row r="3382">
      <c r="B3382" s="64"/>
      <c r="C3382" s="64"/>
      <c r="D3382" s="64"/>
      <c r="E3382" s="64"/>
      <c r="F3382" s="64"/>
    </row>
    <row r="3383">
      <c r="B3383" s="64"/>
      <c r="C3383" s="64"/>
      <c r="D3383" s="64"/>
      <c r="E3383" s="64"/>
      <c r="F3383" s="64"/>
    </row>
    <row r="3384">
      <c r="B3384" s="64"/>
      <c r="C3384" s="64"/>
      <c r="D3384" s="64"/>
      <c r="E3384" s="64"/>
      <c r="F3384" s="64"/>
    </row>
    <row r="3385">
      <c r="B3385" s="64"/>
      <c r="C3385" s="64"/>
      <c r="D3385" s="64"/>
      <c r="E3385" s="64"/>
      <c r="F3385" s="64"/>
    </row>
    <row r="3386">
      <c r="B3386" s="64"/>
      <c r="C3386" s="64"/>
      <c r="D3386" s="64"/>
      <c r="E3386" s="64"/>
      <c r="F3386" s="64"/>
    </row>
    <row r="3387">
      <c r="B3387" s="64"/>
      <c r="C3387" s="64"/>
      <c r="D3387" s="64"/>
      <c r="E3387" s="64"/>
      <c r="F3387" s="64"/>
    </row>
    <row r="3388">
      <c r="B3388" s="64"/>
      <c r="C3388" s="64"/>
      <c r="D3388" s="64"/>
      <c r="E3388" s="64"/>
      <c r="F3388" s="64"/>
    </row>
    <row r="3389">
      <c r="B3389" s="64"/>
      <c r="C3389" s="64"/>
      <c r="D3389" s="64"/>
      <c r="E3389" s="64"/>
      <c r="F3389" s="64"/>
    </row>
    <row r="3390">
      <c r="B3390" s="64"/>
      <c r="C3390" s="64"/>
      <c r="D3390" s="64"/>
      <c r="E3390" s="64"/>
      <c r="F3390" s="64"/>
    </row>
    <row r="3391">
      <c r="B3391" s="64"/>
      <c r="C3391" s="64"/>
      <c r="D3391" s="64"/>
      <c r="E3391" s="64"/>
      <c r="F3391" s="64"/>
    </row>
    <row r="3392">
      <c r="B3392" s="64"/>
      <c r="C3392" s="64"/>
      <c r="D3392" s="64"/>
      <c r="E3392" s="64"/>
      <c r="F3392" s="64"/>
    </row>
    <row r="3393">
      <c r="B3393" s="64"/>
      <c r="C3393" s="64"/>
      <c r="D3393" s="64"/>
      <c r="E3393" s="64"/>
      <c r="F3393" s="64"/>
    </row>
    <row r="3394">
      <c r="B3394" s="64"/>
      <c r="C3394" s="64"/>
      <c r="D3394" s="64"/>
      <c r="E3394" s="64"/>
      <c r="F3394" s="64"/>
    </row>
    <row r="3395">
      <c r="B3395" s="64"/>
      <c r="C3395" s="64"/>
      <c r="D3395" s="64"/>
      <c r="E3395" s="64"/>
      <c r="F3395" s="64"/>
    </row>
    <row r="3396">
      <c r="B3396" s="64"/>
      <c r="C3396" s="64"/>
      <c r="D3396" s="64"/>
      <c r="E3396" s="64"/>
      <c r="F3396" s="64"/>
    </row>
    <row r="3397">
      <c r="B3397" s="64"/>
      <c r="C3397" s="64"/>
      <c r="D3397" s="64"/>
      <c r="E3397" s="64"/>
      <c r="F3397" s="64"/>
    </row>
    <row r="3398">
      <c r="B3398" s="64"/>
      <c r="C3398" s="64"/>
      <c r="D3398" s="64"/>
      <c r="E3398" s="64"/>
      <c r="F3398" s="64"/>
    </row>
    <row r="3399">
      <c r="B3399" s="64"/>
      <c r="C3399" s="64"/>
      <c r="D3399" s="64"/>
      <c r="E3399" s="64"/>
      <c r="F3399" s="64"/>
    </row>
    <row r="3400">
      <c r="B3400" s="64"/>
      <c r="C3400" s="64"/>
      <c r="D3400" s="64"/>
      <c r="E3400" s="64"/>
      <c r="F3400" s="64"/>
    </row>
    <row r="3401">
      <c r="B3401" s="64"/>
      <c r="C3401" s="64"/>
      <c r="D3401" s="64"/>
      <c r="E3401" s="64"/>
      <c r="F3401" s="64"/>
    </row>
    <row r="3402">
      <c r="B3402" s="64"/>
      <c r="C3402" s="64"/>
      <c r="D3402" s="64"/>
      <c r="E3402" s="64"/>
      <c r="F3402" s="64"/>
    </row>
    <row r="3403">
      <c r="B3403" s="64"/>
      <c r="C3403" s="64"/>
      <c r="D3403" s="64"/>
      <c r="E3403" s="64"/>
      <c r="F3403" s="64"/>
    </row>
    <row r="3404">
      <c r="B3404" s="64"/>
      <c r="C3404" s="64"/>
      <c r="D3404" s="64"/>
      <c r="E3404" s="64"/>
      <c r="F3404" s="64"/>
    </row>
    <row r="3405">
      <c r="B3405" s="64"/>
      <c r="C3405" s="64"/>
      <c r="D3405" s="64"/>
      <c r="E3405" s="64"/>
      <c r="F3405" s="64"/>
    </row>
    <row r="3406">
      <c r="B3406" s="64"/>
      <c r="C3406" s="64"/>
      <c r="D3406" s="64"/>
      <c r="E3406" s="64"/>
      <c r="F3406" s="64"/>
    </row>
    <row r="3407">
      <c r="B3407" s="64"/>
      <c r="C3407" s="64"/>
      <c r="D3407" s="64"/>
      <c r="E3407" s="64"/>
      <c r="F3407" s="64"/>
    </row>
    <row r="3408">
      <c r="B3408" s="64"/>
      <c r="C3408" s="64"/>
      <c r="D3408" s="64"/>
      <c r="E3408" s="64"/>
      <c r="F3408" s="64"/>
    </row>
    <row r="3409">
      <c r="B3409" s="64"/>
      <c r="C3409" s="64"/>
      <c r="D3409" s="64"/>
      <c r="E3409" s="64"/>
      <c r="F3409" s="64"/>
    </row>
    <row r="3410">
      <c r="B3410" s="64"/>
      <c r="C3410" s="64"/>
      <c r="D3410" s="64"/>
      <c r="E3410" s="64"/>
      <c r="F3410" s="64"/>
    </row>
    <row r="3411">
      <c r="B3411" s="64"/>
      <c r="C3411" s="64"/>
      <c r="D3411" s="64"/>
      <c r="E3411" s="64"/>
      <c r="F3411" s="64"/>
    </row>
    <row r="3412">
      <c r="B3412" s="64"/>
      <c r="C3412" s="64"/>
      <c r="D3412" s="64"/>
      <c r="E3412" s="64"/>
      <c r="F3412" s="64"/>
    </row>
    <row r="3413">
      <c r="B3413" s="64"/>
      <c r="C3413" s="64"/>
      <c r="D3413" s="64"/>
      <c r="E3413" s="64"/>
      <c r="F3413" s="64"/>
    </row>
    <row r="3414">
      <c r="B3414" s="64"/>
      <c r="C3414" s="64"/>
      <c r="D3414" s="64"/>
      <c r="E3414" s="64"/>
      <c r="F3414" s="64"/>
    </row>
    <row r="3415">
      <c r="B3415" s="64"/>
      <c r="C3415" s="64"/>
      <c r="D3415" s="64"/>
      <c r="E3415" s="64"/>
      <c r="F3415" s="64"/>
    </row>
    <row r="3416">
      <c r="B3416" s="64"/>
      <c r="C3416" s="64"/>
      <c r="D3416" s="64"/>
      <c r="E3416" s="64"/>
      <c r="F3416" s="64"/>
    </row>
    <row r="3417">
      <c r="B3417" s="64"/>
      <c r="C3417" s="64"/>
      <c r="D3417" s="64"/>
      <c r="E3417" s="64"/>
      <c r="F3417" s="64"/>
    </row>
    <row r="3418">
      <c r="B3418" s="64"/>
      <c r="C3418" s="64"/>
      <c r="D3418" s="64"/>
      <c r="E3418" s="64"/>
      <c r="F3418" s="64"/>
    </row>
    <row r="3419">
      <c r="B3419" s="64"/>
      <c r="C3419" s="64"/>
      <c r="D3419" s="64"/>
      <c r="E3419" s="64"/>
      <c r="F3419" s="64"/>
    </row>
    <row r="3420">
      <c r="B3420" s="64"/>
      <c r="C3420" s="64"/>
      <c r="D3420" s="64"/>
      <c r="E3420" s="64"/>
      <c r="F3420" s="64"/>
    </row>
    <row r="3421">
      <c r="B3421" s="64"/>
      <c r="C3421" s="64"/>
      <c r="D3421" s="64"/>
      <c r="E3421" s="64"/>
      <c r="F3421" s="64"/>
    </row>
    <row r="3422">
      <c r="B3422" s="64"/>
      <c r="C3422" s="64"/>
      <c r="D3422" s="64"/>
      <c r="E3422" s="64"/>
      <c r="F3422" s="64"/>
    </row>
    <row r="3423">
      <c r="B3423" s="64"/>
      <c r="C3423" s="64"/>
      <c r="D3423" s="64"/>
      <c r="E3423" s="64"/>
      <c r="F3423" s="64"/>
    </row>
    <row r="3424">
      <c r="B3424" s="64"/>
      <c r="C3424" s="64"/>
      <c r="D3424" s="64"/>
      <c r="E3424" s="64"/>
      <c r="F3424" s="64"/>
    </row>
    <row r="3425">
      <c r="B3425" s="64"/>
      <c r="C3425" s="64"/>
      <c r="D3425" s="64"/>
      <c r="E3425" s="64"/>
      <c r="F3425" s="64"/>
    </row>
    <row r="3426">
      <c r="B3426" s="64"/>
      <c r="C3426" s="64"/>
      <c r="D3426" s="64"/>
      <c r="E3426" s="64"/>
      <c r="F3426" s="64"/>
    </row>
    <row r="3427">
      <c r="B3427" s="64"/>
      <c r="C3427" s="64"/>
      <c r="D3427" s="64"/>
      <c r="E3427" s="64"/>
      <c r="F3427" s="64"/>
    </row>
    <row r="3428">
      <c r="B3428" s="64"/>
      <c r="C3428" s="64"/>
      <c r="D3428" s="64"/>
      <c r="E3428" s="64"/>
      <c r="F3428" s="64"/>
    </row>
    <row r="3429">
      <c r="B3429" s="64"/>
      <c r="C3429" s="64"/>
      <c r="D3429" s="64"/>
      <c r="E3429" s="64"/>
      <c r="F3429" s="64"/>
    </row>
    <row r="3430">
      <c r="B3430" s="64"/>
      <c r="C3430" s="64"/>
      <c r="D3430" s="64"/>
      <c r="E3430" s="64"/>
      <c r="F3430" s="64"/>
    </row>
    <row r="3431">
      <c r="B3431" s="64"/>
      <c r="C3431" s="64"/>
      <c r="D3431" s="64"/>
      <c r="E3431" s="64"/>
      <c r="F3431" s="64"/>
    </row>
    <row r="3432">
      <c r="B3432" s="64"/>
      <c r="C3432" s="64"/>
      <c r="D3432" s="64"/>
      <c r="E3432" s="64"/>
      <c r="F3432" s="64"/>
    </row>
    <row r="3433">
      <c r="B3433" s="64"/>
      <c r="C3433" s="64"/>
      <c r="D3433" s="64"/>
      <c r="E3433" s="64"/>
      <c r="F3433" s="64"/>
    </row>
    <row r="3434">
      <c r="B3434" s="64"/>
      <c r="C3434" s="64"/>
      <c r="D3434" s="64"/>
      <c r="E3434" s="64"/>
      <c r="F3434" s="64"/>
    </row>
    <row r="3435">
      <c r="B3435" s="64"/>
      <c r="C3435" s="64"/>
      <c r="D3435" s="64"/>
      <c r="E3435" s="64"/>
      <c r="F3435" s="64"/>
    </row>
    <row r="3436">
      <c r="B3436" s="64"/>
      <c r="C3436" s="64"/>
      <c r="D3436" s="64"/>
      <c r="E3436" s="64"/>
      <c r="F3436" s="64"/>
    </row>
    <row r="3437">
      <c r="B3437" s="64"/>
      <c r="C3437" s="64"/>
      <c r="D3437" s="64"/>
      <c r="E3437" s="64"/>
      <c r="F3437" s="64"/>
    </row>
    <row r="3438">
      <c r="B3438" s="64"/>
      <c r="C3438" s="64"/>
      <c r="D3438" s="64"/>
      <c r="E3438" s="64"/>
      <c r="F3438" s="64"/>
    </row>
    <row r="3439">
      <c r="B3439" s="64"/>
      <c r="C3439" s="64"/>
      <c r="D3439" s="64"/>
      <c r="E3439" s="64"/>
      <c r="F3439" s="64"/>
    </row>
    <row r="3440">
      <c r="B3440" s="64"/>
      <c r="C3440" s="64"/>
      <c r="D3440" s="64"/>
      <c r="E3440" s="64"/>
      <c r="F3440" s="64"/>
    </row>
    <row r="3441">
      <c r="B3441" s="64"/>
      <c r="C3441" s="64"/>
      <c r="D3441" s="64"/>
      <c r="E3441" s="64"/>
      <c r="F3441" s="64"/>
    </row>
    <row r="3442">
      <c r="B3442" s="64"/>
      <c r="C3442" s="64"/>
      <c r="D3442" s="64"/>
      <c r="E3442" s="64"/>
      <c r="F3442" s="64"/>
    </row>
    <row r="3443">
      <c r="B3443" s="64"/>
      <c r="C3443" s="64"/>
      <c r="D3443" s="64"/>
      <c r="E3443" s="64"/>
      <c r="F3443" s="64"/>
    </row>
    <row r="3444">
      <c r="B3444" s="64"/>
      <c r="C3444" s="64"/>
      <c r="D3444" s="64"/>
      <c r="E3444" s="64"/>
      <c r="F3444" s="64"/>
    </row>
    <row r="3445">
      <c r="B3445" s="64"/>
      <c r="C3445" s="64"/>
      <c r="D3445" s="64"/>
      <c r="E3445" s="64"/>
      <c r="F3445" s="64"/>
    </row>
    <row r="3446">
      <c r="B3446" s="64"/>
      <c r="C3446" s="64"/>
      <c r="D3446" s="64"/>
      <c r="E3446" s="64"/>
      <c r="F3446" s="64"/>
    </row>
    <row r="3447">
      <c r="B3447" s="64"/>
      <c r="C3447" s="64"/>
      <c r="D3447" s="64"/>
      <c r="E3447" s="64"/>
      <c r="F3447" s="64"/>
    </row>
    <row r="3448">
      <c r="B3448" s="64"/>
      <c r="C3448" s="64"/>
      <c r="D3448" s="64"/>
      <c r="E3448" s="64"/>
      <c r="F3448" s="64"/>
    </row>
    <row r="3449">
      <c r="B3449" s="64"/>
      <c r="C3449" s="64"/>
      <c r="D3449" s="64"/>
      <c r="E3449" s="64"/>
      <c r="F3449" s="64"/>
    </row>
    <row r="3450">
      <c r="B3450" s="64"/>
      <c r="C3450" s="64"/>
      <c r="D3450" s="64"/>
      <c r="E3450" s="64"/>
      <c r="F3450" s="64"/>
    </row>
    <row r="3451">
      <c r="B3451" s="64"/>
      <c r="C3451" s="64"/>
      <c r="D3451" s="64"/>
      <c r="E3451" s="64"/>
      <c r="F3451" s="64"/>
    </row>
    <row r="3452">
      <c r="B3452" s="64"/>
      <c r="C3452" s="64"/>
      <c r="D3452" s="64"/>
      <c r="E3452" s="64"/>
      <c r="F3452" s="64"/>
    </row>
    <row r="3453">
      <c r="B3453" s="64"/>
      <c r="C3453" s="64"/>
      <c r="D3453" s="64"/>
      <c r="E3453" s="64"/>
      <c r="F3453" s="64"/>
    </row>
    <row r="3454">
      <c r="B3454" s="64"/>
      <c r="C3454" s="64"/>
      <c r="D3454" s="64"/>
      <c r="E3454" s="64"/>
      <c r="F3454" s="64"/>
    </row>
    <row r="3455">
      <c r="B3455" s="64"/>
      <c r="C3455" s="64"/>
      <c r="D3455" s="64"/>
      <c r="E3455" s="64"/>
      <c r="F3455" s="64"/>
    </row>
    <row r="3456">
      <c r="B3456" s="64"/>
      <c r="C3456" s="64"/>
      <c r="D3456" s="64"/>
      <c r="E3456" s="64"/>
      <c r="F3456" s="64"/>
    </row>
    <row r="3457">
      <c r="B3457" s="64"/>
      <c r="C3457" s="64"/>
      <c r="D3457" s="64"/>
      <c r="E3457" s="64"/>
      <c r="F3457" s="64"/>
    </row>
    <row r="3458">
      <c r="B3458" s="64"/>
      <c r="C3458" s="64"/>
      <c r="D3458" s="64"/>
      <c r="E3458" s="64"/>
      <c r="F3458" s="64"/>
    </row>
    <row r="3459">
      <c r="B3459" s="64"/>
      <c r="C3459" s="64"/>
      <c r="D3459" s="64"/>
      <c r="E3459" s="64"/>
      <c r="F3459" s="64"/>
    </row>
    <row r="3460">
      <c r="B3460" s="64"/>
      <c r="C3460" s="64"/>
      <c r="D3460" s="64"/>
      <c r="E3460" s="64"/>
      <c r="F3460" s="64"/>
    </row>
    <row r="3461">
      <c r="B3461" s="64"/>
      <c r="C3461" s="64"/>
      <c r="D3461" s="64"/>
      <c r="E3461" s="64"/>
      <c r="F3461" s="64"/>
    </row>
    <row r="3462">
      <c r="B3462" s="64"/>
      <c r="C3462" s="64"/>
      <c r="D3462" s="64"/>
      <c r="E3462" s="64"/>
      <c r="F3462" s="64"/>
    </row>
    <row r="3463">
      <c r="B3463" s="64"/>
      <c r="C3463" s="64"/>
      <c r="D3463" s="64"/>
      <c r="E3463" s="64"/>
      <c r="F3463" s="64"/>
    </row>
    <row r="3464">
      <c r="B3464" s="64"/>
      <c r="C3464" s="64"/>
      <c r="D3464" s="64"/>
      <c r="E3464" s="64"/>
      <c r="F3464" s="64"/>
    </row>
    <row r="3465">
      <c r="B3465" s="64"/>
      <c r="C3465" s="64"/>
      <c r="D3465" s="64"/>
      <c r="E3465" s="64"/>
      <c r="F3465" s="64"/>
    </row>
    <row r="3466">
      <c r="B3466" s="64"/>
      <c r="C3466" s="64"/>
      <c r="D3466" s="64"/>
      <c r="E3466" s="64"/>
      <c r="F3466" s="64"/>
    </row>
    <row r="3467">
      <c r="B3467" s="64"/>
      <c r="C3467" s="64"/>
      <c r="D3467" s="64"/>
      <c r="E3467" s="64"/>
      <c r="F3467" s="64"/>
    </row>
    <row r="3468">
      <c r="B3468" s="64"/>
      <c r="C3468" s="64"/>
      <c r="D3468" s="64"/>
      <c r="E3468" s="64"/>
      <c r="F3468" s="64"/>
    </row>
    <row r="3469">
      <c r="B3469" s="64"/>
      <c r="C3469" s="64"/>
      <c r="D3469" s="64"/>
      <c r="E3469" s="64"/>
      <c r="F3469" s="64"/>
    </row>
    <row r="3470">
      <c r="B3470" s="64"/>
      <c r="C3470" s="64"/>
      <c r="D3470" s="64"/>
      <c r="E3470" s="64"/>
      <c r="F3470" s="64"/>
    </row>
    <row r="3471">
      <c r="B3471" s="64"/>
      <c r="C3471" s="64"/>
      <c r="D3471" s="64"/>
      <c r="E3471" s="64"/>
      <c r="F3471" s="64"/>
    </row>
    <row r="3472">
      <c r="B3472" s="64"/>
      <c r="C3472" s="64"/>
      <c r="D3472" s="64"/>
      <c r="E3472" s="64"/>
      <c r="F3472" s="64"/>
    </row>
    <row r="3473">
      <c r="B3473" s="64"/>
      <c r="C3473" s="64"/>
      <c r="D3473" s="64"/>
      <c r="E3473" s="64"/>
      <c r="F3473" s="64"/>
    </row>
    <row r="3474">
      <c r="B3474" s="64"/>
      <c r="C3474" s="64"/>
      <c r="D3474" s="64"/>
      <c r="E3474" s="64"/>
      <c r="F3474" s="64"/>
    </row>
    <row r="3475">
      <c r="B3475" s="64"/>
      <c r="C3475" s="64"/>
      <c r="D3475" s="64"/>
      <c r="E3475" s="64"/>
      <c r="F3475" s="64"/>
    </row>
    <row r="3476">
      <c r="B3476" s="64"/>
      <c r="C3476" s="64"/>
      <c r="D3476" s="64"/>
      <c r="E3476" s="64"/>
      <c r="F3476" s="64"/>
    </row>
    <row r="3477">
      <c r="B3477" s="64"/>
      <c r="C3477" s="64"/>
      <c r="D3477" s="64"/>
      <c r="E3477" s="64"/>
      <c r="F3477" s="64"/>
    </row>
    <row r="3478">
      <c r="B3478" s="64"/>
      <c r="C3478" s="64"/>
      <c r="D3478" s="64"/>
      <c r="E3478" s="64"/>
      <c r="F3478" s="64"/>
    </row>
    <row r="3479">
      <c r="B3479" s="64"/>
      <c r="C3479" s="64"/>
      <c r="D3479" s="64"/>
      <c r="E3479" s="64"/>
      <c r="F3479" s="64"/>
    </row>
    <row r="3480">
      <c r="B3480" s="64"/>
      <c r="C3480" s="64"/>
      <c r="D3480" s="64"/>
      <c r="E3480" s="64"/>
      <c r="F3480" s="64"/>
    </row>
    <row r="3481">
      <c r="B3481" s="64"/>
      <c r="C3481" s="64"/>
      <c r="D3481" s="64"/>
      <c r="E3481" s="64"/>
      <c r="F3481" s="64"/>
    </row>
    <row r="3482">
      <c r="B3482" s="64"/>
      <c r="C3482" s="64"/>
      <c r="D3482" s="64"/>
      <c r="E3482" s="64"/>
      <c r="F3482" s="64"/>
    </row>
    <row r="3483">
      <c r="B3483" s="64"/>
      <c r="C3483" s="64"/>
      <c r="D3483" s="64"/>
      <c r="E3483" s="64"/>
      <c r="F3483" s="64"/>
    </row>
    <row r="3484">
      <c r="B3484" s="64"/>
      <c r="C3484" s="64"/>
      <c r="D3484" s="64"/>
      <c r="E3484" s="64"/>
      <c r="F3484" s="64"/>
    </row>
    <row r="3485">
      <c r="B3485" s="64"/>
      <c r="C3485" s="64"/>
      <c r="D3485" s="64"/>
      <c r="E3485" s="64"/>
      <c r="F3485" s="64"/>
    </row>
    <row r="3486">
      <c r="B3486" s="64"/>
      <c r="C3486" s="64"/>
      <c r="D3486" s="64"/>
      <c r="E3486" s="64"/>
      <c r="F3486" s="64"/>
    </row>
    <row r="3487">
      <c r="B3487" s="64"/>
      <c r="C3487" s="64"/>
      <c r="D3487" s="64"/>
      <c r="E3487" s="64"/>
      <c r="F3487" s="64"/>
    </row>
    <row r="3488">
      <c r="B3488" s="64"/>
      <c r="C3488" s="64"/>
      <c r="D3488" s="64"/>
      <c r="E3488" s="64"/>
      <c r="F3488" s="64"/>
    </row>
    <row r="3489">
      <c r="B3489" s="64"/>
      <c r="C3489" s="64"/>
      <c r="D3489" s="64"/>
      <c r="E3489" s="64"/>
      <c r="F3489" s="64"/>
    </row>
    <row r="3490">
      <c r="B3490" s="64"/>
      <c r="C3490" s="64"/>
      <c r="D3490" s="64"/>
      <c r="E3490" s="64"/>
      <c r="F3490" s="64"/>
    </row>
    <row r="3491">
      <c r="B3491" s="64"/>
      <c r="C3491" s="64"/>
      <c r="D3491" s="64"/>
      <c r="E3491" s="64"/>
      <c r="F3491" s="64"/>
    </row>
    <row r="3492">
      <c r="B3492" s="64"/>
      <c r="C3492" s="64"/>
      <c r="D3492" s="64"/>
      <c r="E3492" s="64"/>
      <c r="F3492" s="64"/>
    </row>
    <row r="3493">
      <c r="B3493" s="64"/>
      <c r="C3493" s="64"/>
      <c r="D3493" s="64"/>
      <c r="E3493" s="64"/>
      <c r="F3493" s="64"/>
    </row>
    <row r="3494">
      <c r="B3494" s="64"/>
      <c r="C3494" s="64"/>
      <c r="D3494" s="64"/>
      <c r="E3494" s="64"/>
      <c r="F3494" s="64"/>
    </row>
    <row r="3495">
      <c r="B3495" s="64"/>
      <c r="C3495" s="64"/>
      <c r="D3495" s="64"/>
      <c r="E3495" s="64"/>
      <c r="F3495" s="64"/>
    </row>
    <row r="3496">
      <c r="B3496" s="64"/>
      <c r="C3496" s="64"/>
      <c r="D3496" s="64"/>
      <c r="E3496" s="64"/>
      <c r="F3496" s="64"/>
    </row>
    <row r="3497">
      <c r="B3497" s="64"/>
      <c r="C3497" s="64"/>
      <c r="D3497" s="64"/>
      <c r="E3497" s="64"/>
      <c r="F3497" s="64"/>
    </row>
    <row r="3498">
      <c r="B3498" s="64"/>
      <c r="C3498" s="64"/>
      <c r="D3498" s="64"/>
      <c r="E3498" s="64"/>
      <c r="F3498" s="64"/>
    </row>
    <row r="3499">
      <c r="B3499" s="64"/>
      <c r="C3499" s="64"/>
      <c r="D3499" s="64"/>
      <c r="E3499" s="64"/>
      <c r="F3499" s="64"/>
    </row>
    <row r="3500">
      <c r="B3500" s="64"/>
      <c r="C3500" s="64"/>
      <c r="D3500" s="64"/>
      <c r="E3500" s="64"/>
      <c r="F3500" s="64"/>
    </row>
    <row r="3501">
      <c r="B3501" s="64"/>
      <c r="C3501" s="64"/>
      <c r="D3501" s="64"/>
      <c r="E3501" s="64"/>
      <c r="F3501" s="64"/>
    </row>
    <row r="3502">
      <c r="B3502" s="64"/>
      <c r="C3502" s="64"/>
      <c r="D3502" s="64"/>
      <c r="E3502" s="64"/>
      <c r="F3502" s="64"/>
    </row>
    <row r="3503">
      <c r="B3503" s="64"/>
      <c r="C3503" s="64"/>
      <c r="D3503" s="64"/>
      <c r="E3503" s="64"/>
      <c r="F3503" s="64"/>
    </row>
    <row r="3504">
      <c r="B3504" s="64"/>
      <c r="C3504" s="64"/>
      <c r="D3504" s="64"/>
      <c r="E3504" s="64"/>
      <c r="F3504" s="64"/>
    </row>
    <row r="3505">
      <c r="B3505" s="64"/>
      <c r="C3505" s="64"/>
      <c r="D3505" s="64"/>
      <c r="E3505" s="64"/>
      <c r="F3505" s="64"/>
    </row>
    <row r="3506">
      <c r="B3506" s="64"/>
      <c r="C3506" s="64"/>
      <c r="D3506" s="64"/>
      <c r="E3506" s="64"/>
      <c r="F3506" s="64"/>
    </row>
    <row r="3507">
      <c r="B3507" s="64"/>
      <c r="C3507" s="64"/>
      <c r="D3507" s="64"/>
      <c r="E3507" s="64"/>
      <c r="F3507" s="64"/>
    </row>
    <row r="3508">
      <c r="B3508" s="64"/>
      <c r="C3508" s="64"/>
      <c r="D3508" s="64"/>
      <c r="E3508" s="64"/>
      <c r="F3508" s="64"/>
    </row>
    <row r="3509">
      <c r="B3509" s="64"/>
      <c r="C3509" s="64"/>
      <c r="D3509" s="64"/>
      <c r="E3509" s="64"/>
      <c r="F3509" s="64"/>
    </row>
    <row r="3510">
      <c r="B3510" s="64"/>
      <c r="C3510" s="64"/>
      <c r="D3510" s="64"/>
      <c r="E3510" s="64"/>
      <c r="F3510" s="64"/>
    </row>
    <row r="3511">
      <c r="B3511" s="64"/>
      <c r="C3511" s="64"/>
      <c r="D3511" s="64"/>
      <c r="E3511" s="64"/>
      <c r="F3511" s="64"/>
    </row>
    <row r="3512">
      <c r="B3512" s="64"/>
      <c r="C3512" s="64"/>
      <c r="D3512" s="64"/>
      <c r="E3512" s="64"/>
      <c r="F3512" s="64"/>
    </row>
    <row r="3513">
      <c r="B3513" s="64"/>
      <c r="C3513" s="64"/>
      <c r="D3513" s="64"/>
      <c r="E3513" s="64"/>
      <c r="F3513" s="64"/>
    </row>
    <row r="3514">
      <c r="B3514" s="64"/>
      <c r="C3514" s="64"/>
      <c r="D3514" s="64"/>
      <c r="E3514" s="64"/>
      <c r="F3514" s="64"/>
    </row>
    <row r="3515">
      <c r="B3515" s="64"/>
      <c r="C3515" s="64"/>
      <c r="D3515" s="64"/>
      <c r="E3515" s="64"/>
      <c r="F3515" s="64"/>
    </row>
    <row r="3516">
      <c r="B3516" s="64"/>
      <c r="C3516" s="64"/>
      <c r="D3516" s="64"/>
      <c r="E3516" s="64"/>
      <c r="F3516" s="64"/>
    </row>
    <row r="3517">
      <c r="B3517" s="64"/>
      <c r="C3517" s="64"/>
      <c r="D3517" s="64"/>
      <c r="E3517" s="64"/>
      <c r="F3517" s="64"/>
    </row>
    <row r="3518">
      <c r="B3518" s="64"/>
      <c r="C3518" s="64"/>
      <c r="D3518" s="64"/>
      <c r="E3518" s="64"/>
      <c r="F3518" s="64"/>
    </row>
    <row r="3519">
      <c r="B3519" s="64"/>
      <c r="C3519" s="64"/>
      <c r="D3519" s="64"/>
      <c r="E3519" s="64"/>
      <c r="F3519" s="64"/>
    </row>
    <row r="3520">
      <c r="B3520" s="64"/>
      <c r="C3520" s="64"/>
      <c r="D3520" s="64"/>
      <c r="E3520" s="64"/>
      <c r="F3520" s="64"/>
    </row>
    <row r="3521">
      <c r="B3521" s="64"/>
      <c r="C3521" s="64"/>
      <c r="D3521" s="64"/>
      <c r="E3521" s="64"/>
      <c r="F3521" s="64"/>
    </row>
    <row r="3522">
      <c r="B3522" s="64"/>
      <c r="C3522" s="64"/>
      <c r="D3522" s="64"/>
      <c r="E3522" s="64"/>
      <c r="F3522" s="64"/>
    </row>
    <row r="3523">
      <c r="B3523" s="64"/>
      <c r="C3523" s="64"/>
      <c r="D3523" s="64"/>
      <c r="E3523" s="64"/>
      <c r="F3523" s="64"/>
    </row>
    <row r="3524">
      <c r="B3524" s="64"/>
      <c r="C3524" s="64"/>
      <c r="D3524" s="64"/>
      <c r="E3524" s="64"/>
      <c r="F3524" s="64"/>
    </row>
    <row r="3525">
      <c r="B3525" s="64"/>
      <c r="C3525" s="64"/>
      <c r="D3525" s="64"/>
      <c r="E3525" s="64"/>
      <c r="F3525" s="64"/>
    </row>
    <row r="3526">
      <c r="B3526" s="64"/>
      <c r="C3526" s="64"/>
      <c r="D3526" s="64"/>
      <c r="E3526" s="64"/>
      <c r="F3526" s="64"/>
    </row>
    <row r="3527">
      <c r="B3527" s="64"/>
      <c r="C3527" s="64"/>
      <c r="D3527" s="64"/>
      <c r="E3527" s="64"/>
      <c r="F3527" s="64"/>
    </row>
    <row r="3528">
      <c r="B3528" s="64"/>
      <c r="C3528" s="64"/>
      <c r="D3528" s="64"/>
      <c r="E3528" s="64"/>
      <c r="F3528" s="64"/>
    </row>
    <row r="3529">
      <c r="B3529" s="64"/>
      <c r="C3529" s="64"/>
      <c r="D3529" s="64"/>
      <c r="E3529" s="64"/>
      <c r="F3529" s="64"/>
    </row>
    <row r="3530">
      <c r="B3530" s="64"/>
      <c r="C3530" s="64"/>
      <c r="D3530" s="64"/>
      <c r="E3530" s="64"/>
      <c r="F3530" s="64"/>
    </row>
    <row r="3531">
      <c r="B3531" s="64"/>
      <c r="C3531" s="64"/>
      <c r="D3531" s="64"/>
      <c r="E3531" s="64"/>
      <c r="F3531" s="64"/>
    </row>
    <row r="3532">
      <c r="B3532" s="64"/>
      <c r="C3532" s="64"/>
      <c r="D3532" s="64"/>
      <c r="E3532" s="64"/>
      <c r="F3532" s="64"/>
    </row>
    <row r="3533">
      <c r="B3533" s="64"/>
      <c r="C3533" s="64"/>
      <c r="D3533" s="64"/>
      <c r="E3533" s="64"/>
      <c r="F3533" s="64"/>
    </row>
    <row r="3534">
      <c r="B3534" s="64"/>
      <c r="C3534" s="64"/>
      <c r="D3534" s="64"/>
      <c r="E3534" s="64"/>
      <c r="F3534" s="64"/>
    </row>
    <row r="3535">
      <c r="B3535" s="64"/>
      <c r="C3535" s="64"/>
      <c r="D3535" s="64"/>
      <c r="E3535" s="64"/>
      <c r="F3535" s="64"/>
    </row>
    <row r="3536">
      <c r="B3536" s="64"/>
      <c r="C3536" s="64"/>
      <c r="D3536" s="64"/>
      <c r="E3536" s="64"/>
      <c r="F3536" s="64"/>
    </row>
    <row r="3537">
      <c r="B3537" s="64"/>
      <c r="C3537" s="64"/>
      <c r="D3537" s="64"/>
      <c r="E3537" s="64"/>
      <c r="F3537" s="64"/>
    </row>
    <row r="3538">
      <c r="B3538" s="64"/>
      <c r="C3538" s="64"/>
      <c r="D3538" s="64"/>
      <c r="E3538" s="64"/>
      <c r="F3538" s="64"/>
    </row>
    <row r="3539">
      <c r="B3539" s="64"/>
      <c r="C3539" s="64"/>
      <c r="D3539" s="64"/>
      <c r="E3539" s="64"/>
      <c r="F3539" s="64"/>
    </row>
    <row r="3540">
      <c r="B3540" s="64"/>
      <c r="C3540" s="64"/>
      <c r="D3540" s="64"/>
      <c r="E3540" s="64"/>
      <c r="F3540" s="64"/>
    </row>
    <row r="3541">
      <c r="B3541" s="64"/>
      <c r="C3541" s="64"/>
      <c r="D3541" s="64"/>
      <c r="E3541" s="64"/>
      <c r="F3541" s="64"/>
    </row>
    <row r="3542">
      <c r="B3542" s="64"/>
      <c r="C3542" s="64"/>
      <c r="D3542" s="64"/>
      <c r="E3542" s="64"/>
      <c r="F3542" s="64"/>
    </row>
    <row r="3543">
      <c r="B3543" s="64"/>
      <c r="C3543" s="64"/>
      <c r="D3543" s="64"/>
      <c r="E3543" s="64"/>
      <c r="F3543" s="64"/>
    </row>
    <row r="3544">
      <c r="B3544" s="64"/>
      <c r="C3544" s="64"/>
      <c r="D3544" s="64"/>
      <c r="E3544" s="64"/>
      <c r="F3544" s="64"/>
    </row>
    <row r="3545">
      <c r="B3545" s="64"/>
      <c r="C3545" s="64"/>
      <c r="D3545" s="64"/>
      <c r="E3545" s="64"/>
      <c r="F3545" s="64"/>
    </row>
    <row r="3546">
      <c r="B3546" s="64"/>
      <c r="C3546" s="64"/>
      <c r="D3546" s="64"/>
      <c r="E3546" s="64"/>
      <c r="F3546" s="64"/>
    </row>
    <row r="3547">
      <c r="B3547" s="64"/>
      <c r="C3547" s="64"/>
      <c r="D3547" s="64"/>
      <c r="E3547" s="64"/>
      <c r="F3547" s="64"/>
    </row>
    <row r="3548">
      <c r="B3548" s="64"/>
      <c r="C3548" s="64"/>
      <c r="D3548" s="64"/>
      <c r="E3548" s="64"/>
      <c r="F3548" s="64"/>
    </row>
    <row r="3549">
      <c r="B3549" s="64"/>
      <c r="C3549" s="64"/>
      <c r="D3549" s="64"/>
      <c r="E3549" s="64"/>
      <c r="F3549" s="64"/>
    </row>
    <row r="3550">
      <c r="B3550" s="64"/>
      <c r="C3550" s="64"/>
      <c r="D3550" s="64"/>
      <c r="E3550" s="64"/>
      <c r="F3550" s="64"/>
    </row>
    <row r="3551">
      <c r="B3551" s="64"/>
      <c r="C3551" s="64"/>
      <c r="D3551" s="64"/>
      <c r="E3551" s="64"/>
      <c r="F3551" s="64"/>
    </row>
    <row r="3552">
      <c r="B3552" s="64"/>
      <c r="C3552" s="64"/>
      <c r="D3552" s="64"/>
      <c r="E3552" s="64"/>
      <c r="F3552" s="64"/>
    </row>
    <row r="3553">
      <c r="B3553" s="64"/>
      <c r="C3553" s="64"/>
      <c r="D3553" s="64"/>
      <c r="E3553" s="64"/>
      <c r="F3553" s="64"/>
    </row>
    <row r="3554">
      <c r="B3554" s="64"/>
      <c r="C3554" s="64"/>
      <c r="D3554" s="64"/>
      <c r="E3554" s="64"/>
      <c r="F3554" s="64"/>
    </row>
    <row r="3555">
      <c r="B3555" s="64"/>
      <c r="C3555" s="64"/>
      <c r="D3555" s="64"/>
      <c r="E3555" s="64"/>
      <c r="F3555" s="64"/>
    </row>
    <row r="3556">
      <c r="B3556" s="64"/>
      <c r="C3556" s="64"/>
      <c r="D3556" s="64"/>
      <c r="E3556" s="64"/>
      <c r="F3556" s="64"/>
    </row>
    <row r="3557">
      <c r="B3557" s="64"/>
      <c r="C3557" s="64"/>
      <c r="D3557" s="64"/>
      <c r="E3557" s="64"/>
      <c r="F3557" s="64"/>
    </row>
    <row r="3558">
      <c r="B3558" s="64"/>
      <c r="C3558" s="64"/>
      <c r="D3558" s="64"/>
      <c r="E3558" s="64"/>
      <c r="F3558" s="64"/>
    </row>
    <row r="3559">
      <c r="B3559" s="64"/>
      <c r="C3559" s="64"/>
      <c r="D3559" s="64"/>
      <c r="E3559" s="64"/>
      <c r="F3559" s="64"/>
    </row>
    <row r="3560">
      <c r="B3560" s="64"/>
      <c r="C3560" s="64"/>
      <c r="D3560" s="64"/>
      <c r="E3560" s="64"/>
      <c r="F3560" s="64"/>
    </row>
    <row r="3561">
      <c r="B3561" s="64"/>
      <c r="C3561" s="64"/>
      <c r="D3561" s="64"/>
      <c r="E3561" s="64"/>
      <c r="F3561" s="64"/>
    </row>
    <row r="3562">
      <c r="B3562" s="64"/>
      <c r="C3562" s="64"/>
      <c r="D3562" s="64"/>
      <c r="E3562" s="64"/>
      <c r="F3562" s="64"/>
    </row>
    <row r="3563">
      <c r="B3563" s="64"/>
      <c r="C3563" s="64"/>
      <c r="D3563" s="64"/>
      <c r="E3563" s="64"/>
      <c r="F3563" s="64"/>
    </row>
    <row r="3564">
      <c r="B3564" s="64"/>
      <c r="C3564" s="64"/>
      <c r="D3564" s="64"/>
      <c r="E3564" s="64"/>
      <c r="F3564" s="64"/>
    </row>
    <row r="3565">
      <c r="B3565" s="64"/>
      <c r="C3565" s="64"/>
      <c r="D3565" s="64"/>
      <c r="E3565" s="64"/>
      <c r="F3565" s="64"/>
    </row>
    <row r="3566">
      <c r="B3566" s="64"/>
      <c r="C3566" s="64"/>
      <c r="D3566" s="64"/>
      <c r="E3566" s="64"/>
      <c r="F3566" s="64"/>
    </row>
    <row r="3567">
      <c r="B3567" s="64"/>
      <c r="C3567" s="64"/>
      <c r="D3567" s="64"/>
      <c r="E3567" s="64"/>
      <c r="F3567" s="64"/>
    </row>
    <row r="3568">
      <c r="B3568" s="64"/>
      <c r="C3568" s="64"/>
      <c r="D3568" s="64"/>
      <c r="E3568" s="64"/>
      <c r="F3568" s="64"/>
    </row>
    <row r="3569">
      <c r="B3569" s="64"/>
      <c r="C3569" s="64"/>
      <c r="D3569" s="64"/>
      <c r="E3569" s="64"/>
      <c r="F3569" s="64"/>
    </row>
    <row r="3570">
      <c r="B3570" s="64"/>
      <c r="C3570" s="64"/>
      <c r="D3570" s="64"/>
      <c r="E3570" s="64"/>
      <c r="F3570" s="64"/>
    </row>
    <row r="3571">
      <c r="B3571" s="64"/>
      <c r="C3571" s="64"/>
      <c r="D3571" s="64"/>
      <c r="E3571" s="64"/>
      <c r="F3571" s="64"/>
    </row>
    <row r="3572">
      <c r="B3572" s="64"/>
      <c r="C3572" s="64"/>
      <c r="D3572" s="64"/>
      <c r="E3572" s="64"/>
      <c r="F3572" s="64"/>
    </row>
    <row r="3573">
      <c r="B3573" s="64"/>
      <c r="C3573" s="64"/>
      <c r="D3573" s="64"/>
      <c r="E3573" s="64"/>
      <c r="F3573" s="64"/>
    </row>
    <row r="3574">
      <c r="B3574" s="64"/>
      <c r="C3574" s="64"/>
      <c r="D3574" s="64"/>
      <c r="E3574" s="64"/>
      <c r="F3574" s="64"/>
    </row>
    <row r="3575">
      <c r="B3575" s="64"/>
      <c r="C3575" s="64"/>
      <c r="D3575" s="64"/>
      <c r="E3575" s="64"/>
      <c r="F3575" s="64"/>
    </row>
    <row r="3576">
      <c r="B3576" s="64"/>
      <c r="C3576" s="64"/>
      <c r="D3576" s="64"/>
      <c r="E3576" s="64"/>
      <c r="F3576" s="64"/>
    </row>
    <row r="3577">
      <c r="B3577" s="64"/>
      <c r="C3577" s="64"/>
      <c r="D3577" s="64"/>
      <c r="E3577" s="64"/>
      <c r="F3577" s="64"/>
    </row>
    <row r="3578">
      <c r="B3578" s="64"/>
      <c r="C3578" s="64"/>
      <c r="D3578" s="64"/>
      <c r="E3578" s="64"/>
      <c r="F3578" s="64"/>
    </row>
    <row r="3579">
      <c r="B3579" s="64"/>
      <c r="C3579" s="64"/>
      <c r="D3579" s="64"/>
      <c r="E3579" s="64"/>
      <c r="F3579" s="64"/>
    </row>
    <row r="3580">
      <c r="B3580" s="64"/>
      <c r="C3580" s="64"/>
      <c r="D3580" s="64"/>
      <c r="E3580" s="64"/>
      <c r="F3580" s="64"/>
    </row>
    <row r="3581">
      <c r="B3581" s="64"/>
      <c r="C3581" s="64"/>
      <c r="D3581" s="64"/>
      <c r="E3581" s="64"/>
      <c r="F3581" s="64"/>
    </row>
    <row r="3582">
      <c r="B3582" s="64"/>
      <c r="C3582" s="64"/>
      <c r="D3582" s="64"/>
      <c r="E3582" s="64"/>
      <c r="F3582" s="64"/>
    </row>
    <row r="3583">
      <c r="B3583" s="64"/>
      <c r="C3583" s="64"/>
      <c r="D3583" s="64"/>
      <c r="E3583" s="64"/>
      <c r="F3583" s="64"/>
    </row>
    <row r="3584">
      <c r="B3584" s="64"/>
      <c r="C3584" s="64"/>
      <c r="D3584" s="64"/>
      <c r="E3584" s="64"/>
      <c r="F3584" s="64"/>
    </row>
    <row r="3585">
      <c r="B3585" s="64"/>
      <c r="C3585" s="64"/>
      <c r="D3585" s="64"/>
      <c r="E3585" s="64"/>
      <c r="F3585" s="64"/>
    </row>
    <row r="3586">
      <c r="B3586" s="64"/>
      <c r="C3586" s="64"/>
      <c r="D3586" s="64"/>
      <c r="E3586" s="64"/>
      <c r="F3586" s="64"/>
    </row>
    <row r="3587">
      <c r="B3587" s="64"/>
      <c r="C3587" s="64"/>
      <c r="D3587" s="64"/>
      <c r="E3587" s="64"/>
      <c r="F3587" s="64"/>
    </row>
    <row r="3588">
      <c r="B3588" s="64"/>
      <c r="C3588" s="64"/>
      <c r="D3588" s="64"/>
      <c r="E3588" s="64"/>
      <c r="F3588" s="64"/>
    </row>
    <row r="3589">
      <c r="B3589" s="64"/>
      <c r="C3589" s="64"/>
      <c r="D3589" s="64"/>
      <c r="E3589" s="64"/>
      <c r="F3589" s="64"/>
    </row>
    <row r="3590">
      <c r="B3590" s="64"/>
      <c r="C3590" s="64"/>
      <c r="D3590" s="64"/>
      <c r="E3590" s="64"/>
      <c r="F3590" s="64"/>
    </row>
    <row r="3591">
      <c r="B3591" s="64"/>
      <c r="C3591" s="64"/>
      <c r="D3591" s="64"/>
      <c r="E3591" s="64"/>
      <c r="F3591" s="64"/>
    </row>
    <row r="3592">
      <c r="B3592" s="64"/>
      <c r="C3592" s="64"/>
      <c r="D3592" s="64"/>
      <c r="E3592" s="64"/>
      <c r="F3592" s="64"/>
    </row>
    <row r="3593">
      <c r="B3593" s="64"/>
      <c r="C3593" s="64"/>
      <c r="D3593" s="64"/>
      <c r="E3593" s="64"/>
      <c r="F3593" s="64"/>
    </row>
    <row r="3594">
      <c r="B3594" s="64"/>
      <c r="C3594" s="64"/>
      <c r="D3594" s="64"/>
      <c r="E3594" s="64"/>
      <c r="F3594" s="64"/>
    </row>
    <row r="3595">
      <c r="B3595" s="64"/>
      <c r="C3595" s="64"/>
      <c r="D3595" s="64"/>
      <c r="E3595" s="64"/>
      <c r="F3595" s="64"/>
    </row>
    <row r="3596">
      <c r="B3596" s="64"/>
      <c r="C3596" s="64"/>
      <c r="D3596" s="64"/>
      <c r="E3596" s="64"/>
      <c r="F3596" s="64"/>
    </row>
    <row r="3597">
      <c r="B3597" s="64"/>
      <c r="C3597" s="64"/>
      <c r="D3597" s="64"/>
      <c r="E3597" s="64"/>
      <c r="F3597" s="64"/>
    </row>
    <row r="3598">
      <c r="B3598" s="64"/>
      <c r="C3598" s="64"/>
      <c r="D3598" s="64"/>
      <c r="E3598" s="64"/>
      <c r="F3598" s="64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1905</v>
      </c>
      <c r="B1" s="1" t="s">
        <v>1906</v>
      </c>
    </row>
    <row r="2">
      <c r="A2" s="1" t="s">
        <v>1907</v>
      </c>
      <c r="B2" s="1" t="s">
        <v>1908</v>
      </c>
    </row>
    <row r="3">
      <c r="A3" s="1" t="s">
        <v>1909</v>
      </c>
      <c r="B3" s="1" t="s">
        <v>1910</v>
      </c>
    </row>
    <row r="4">
      <c r="A4" s="1" t="s">
        <v>1911</v>
      </c>
      <c r="B4" s="1" t="s">
        <v>1912</v>
      </c>
    </row>
    <row r="5">
      <c r="A5" s="1" t="s">
        <v>1913</v>
      </c>
      <c r="B5" s="1" t="s">
        <v>1914</v>
      </c>
    </row>
    <row r="6">
      <c r="A6" s="1" t="s">
        <v>1915</v>
      </c>
      <c r="B6" s="1" t="s">
        <v>1916</v>
      </c>
    </row>
    <row r="7">
      <c r="A7" s="1" t="s">
        <v>1917</v>
      </c>
      <c r="B7" s="1" t="s">
        <v>1919</v>
      </c>
    </row>
    <row r="8">
      <c r="A8" s="1" t="s">
        <v>1920</v>
      </c>
      <c r="B8" s="1" t="s">
        <v>1912</v>
      </c>
    </row>
    <row r="9">
      <c r="A9" s="1" t="s">
        <v>1922</v>
      </c>
      <c r="B9" s="1">
        <v>865541.0</v>
      </c>
    </row>
    <row r="10" hidden="1">
      <c r="A10" s="1" t="s">
        <v>1924</v>
      </c>
      <c r="B10" s="1">
        <v>0.01219761</v>
      </c>
    </row>
    <row r="11" hidden="1">
      <c r="A11" s="1" t="s">
        <v>1925</v>
      </c>
      <c r="B11" s="1">
        <v>0.01219618</v>
      </c>
    </row>
    <row r="12" hidden="1">
      <c r="A12" s="1" t="s">
        <v>1926</v>
      </c>
      <c r="B12" s="1">
        <v>0.01223206</v>
      </c>
    </row>
    <row r="13" hidden="1">
      <c r="A13" s="1" t="s">
        <v>1927</v>
      </c>
      <c r="B13" s="1">
        <v>0.01224785</v>
      </c>
    </row>
    <row r="14" hidden="1">
      <c r="A14" s="1" t="s">
        <v>1928</v>
      </c>
      <c r="B14" s="1">
        <v>0.01227368</v>
      </c>
    </row>
    <row r="15" hidden="1">
      <c r="A15" s="1" t="s">
        <v>1929</v>
      </c>
      <c r="B15" s="1">
        <v>0.01234831</v>
      </c>
    </row>
    <row r="16" hidden="1">
      <c r="A16" s="1" t="s">
        <v>1930</v>
      </c>
      <c r="B16" s="1">
        <v>0.01240859</v>
      </c>
    </row>
    <row r="17" hidden="1">
      <c r="A17" s="1" t="s">
        <v>1932</v>
      </c>
      <c r="B17" s="1">
        <v>0.01246599</v>
      </c>
    </row>
    <row r="18" hidden="1">
      <c r="A18" s="1" t="s">
        <v>1933</v>
      </c>
      <c r="B18" s="1">
        <v>0.01249613</v>
      </c>
    </row>
    <row r="19">
      <c r="A19" s="1" t="s">
        <v>1934</v>
      </c>
      <c r="B19" s="1">
        <v>0.01250044</v>
      </c>
    </row>
    <row r="20" hidden="1">
      <c r="A20" s="1" t="s">
        <v>1935</v>
      </c>
      <c r="B20" s="1">
        <v>0.01256789</v>
      </c>
    </row>
    <row r="21" hidden="1">
      <c r="A21" s="1" t="s">
        <v>1936</v>
      </c>
      <c r="B21" s="1">
        <v>0.0126741</v>
      </c>
    </row>
    <row r="22" hidden="1">
      <c r="A22" s="1" t="s">
        <v>1937</v>
      </c>
      <c r="B22" s="1">
        <v>0.01279896</v>
      </c>
      <c r="C22" s="56">
        <f t="shared" ref="C22:C690" si="1">((B22-B10)/B10)</f>
        <v>0.04930064168</v>
      </c>
    </row>
    <row r="23" hidden="1">
      <c r="A23" s="1" t="s">
        <v>1941</v>
      </c>
      <c r="B23" s="1">
        <v>0.01285206</v>
      </c>
      <c r="C23" s="56">
        <f t="shared" si="1"/>
        <v>0.05377749426</v>
      </c>
    </row>
    <row r="24" hidden="1">
      <c r="A24" s="1" t="s">
        <v>1942</v>
      </c>
      <c r="B24" s="1">
        <v>0.01290085</v>
      </c>
      <c r="C24" s="56">
        <f t="shared" si="1"/>
        <v>0.05467517327</v>
      </c>
    </row>
    <row r="25" hidden="1">
      <c r="A25" s="1" t="s">
        <v>1943</v>
      </c>
      <c r="B25" s="1">
        <v>0.01296687</v>
      </c>
      <c r="C25" s="56">
        <f t="shared" si="1"/>
        <v>0.05870581367</v>
      </c>
    </row>
    <row r="26" hidden="1">
      <c r="A26" s="1" t="s">
        <v>1945</v>
      </c>
      <c r="B26" s="1">
        <v>0.01299415</v>
      </c>
      <c r="C26" s="56">
        <f t="shared" si="1"/>
        <v>0.05870040607</v>
      </c>
    </row>
    <row r="27" hidden="1">
      <c r="A27" s="1" t="s">
        <v>1946</v>
      </c>
      <c r="B27" s="1">
        <v>0.01305299</v>
      </c>
      <c r="C27" s="56">
        <f t="shared" si="1"/>
        <v>0.05706691847</v>
      </c>
    </row>
    <row r="28" hidden="1">
      <c r="A28" s="1" t="s">
        <v>1947</v>
      </c>
      <c r="B28" s="1">
        <v>0.01304294</v>
      </c>
      <c r="C28" s="56">
        <f t="shared" si="1"/>
        <v>0.05112184382</v>
      </c>
    </row>
    <row r="29" hidden="1">
      <c r="A29" s="1" t="s">
        <v>1948</v>
      </c>
      <c r="B29" s="1">
        <v>0.01316206</v>
      </c>
      <c r="C29" s="56">
        <f t="shared" si="1"/>
        <v>0.05583752273</v>
      </c>
    </row>
    <row r="30" hidden="1">
      <c r="A30" s="1" t="s">
        <v>1949</v>
      </c>
      <c r="B30" s="1">
        <v>0.01320511</v>
      </c>
      <c r="C30" s="56">
        <f t="shared" si="1"/>
        <v>0.05673596545</v>
      </c>
    </row>
    <row r="31">
      <c r="A31" s="1" t="s">
        <v>1951</v>
      </c>
      <c r="B31" s="1">
        <v>0.01321803</v>
      </c>
      <c r="C31" s="56">
        <f t="shared" si="1"/>
        <v>0.05740517934</v>
      </c>
    </row>
    <row r="32" hidden="1">
      <c r="A32" s="1" t="s">
        <v>1952</v>
      </c>
      <c r="B32" s="1">
        <v>0.01323956</v>
      </c>
      <c r="C32" s="56">
        <f t="shared" si="1"/>
        <v>0.05344333854</v>
      </c>
    </row>
    <row r="33" hidden="1">
      <c r="A33" s="1" t="s">
        <v>1953</v>
      </c>
      <c r="B33" s="1">
        <v>0.01330271</v>
      </c>
      <c r="C33" s="56">
        <f t="shared" si="1"/>
        <v>0.04959799907</v>
      </c>
    </row>
    <row r="34" hidden="1">
      <c r="A34" s="1" t="s">
        <v>1954</v>
      </c>
      <c r="B34" s="1">
        <v>0.01336155</v>
      </c>
      <c r="C34" s="56">
        <f t="shared" si="1"/>
        <v>0.04395591517</v>
      </c>
    </row>
    <row r="35" hidden="1">
      <c r="A35" s="1" t="s">
        <v>1957</v>
      </c>
      <c r="B35" s="1">
        <v>0.01340317</v>
      </c>
      <c r="C35" s="56">
        <f t="shared" si="1"/>
        <v>0.04288106342</v>
      </c>
    </row>
    <row r="36" hidden="1">
      <c r="A36" s="1" t="s">
        <v>1958</v>
      </c>
      <c r="B36" s="1">
        <v>0.01347637</v>
      </c>
      <c r="C36" s="56">
        <f t="shared" si="1"/>
        <v>0.044611014</v>
      </c>
    </row>
    <row r="37" hidden="1">
      <c r="A37" s="1" t="s">
        <v>1959</v>
      </c>
      <c r="B37" s="1">
        <v>0.01356104</v>
      </c>
      <c r="C37" s="56">
        <f t="shared" si="1"/>
        <v>0.04582216063</v>
      </c>
    </row>
    <row r="38" hidden="1">
      <c r="A38" s="1" t="s">
        <v>1961</v>
      </c>
      <c r="B38" s="1">
        <v>0.01358831</v>
      </c>
      <c r="C38" s="56">
        <f t="shared" si="1"/>
        <v>0.04572519172</v>
      </c>
    </row>
    <row r="39" hidden="1">
      <c r="A39" s="1" t="s">
        <v>1963</v>
      </c>
      <c r="B39" s="1">
        <v>0.01368877</v>
      </c>
      <c r="C39" s="56">
        <f t="shared" si="1"/>
        <v>0.04870761412</v>
      </c>
    </row>
    <row r="40" hidden="1">
      <c r="A40" s="1" t="s">
        <v>1964</v>
      </c>
      <c r="B40" s="1">
        <v>0.01374044</v>
      </c>
      <c r="C40" s="56">
        <f t="shared" si="1"/>
        <v>0.05347720683</v>
      </c>
    </row>
    <row r="41" hidden="1">
      <c r="A41" s="1" t="s">
        <v>1965</v>
      </c>
      <c r="B41" s="1">
        <v>0.01383086</v>
      </c>
      <c r="C41" s="56">
        <f t="shared" si="1"/>
        <v>0.05081271473</v>
      </c>
    </row>
    <row r="42" hidden="1">
      <c r="A42" s="1" t="s">
        <v>1968</v>
      </c>
      <c r="B42" s="1">
        <v>0.013894</v>
      </c>
      <c r="C42" s="56">
        <f t="shared" si="1"/>
        <v>0.05216844085</v>
      </c>
    </row>
    <row r="43">
      <c r="A43" s="1" t="s">
        <v>1969</v>
      </c>
      <c r="B43" s="1">
        <v>0.01390405</v>
      </c>
      <c r="C43" s="56">
        <f t="shared" si="1"/>
        <v>0.051900321</v>
      </c>
    </row>
    <row r="44" hidden="1">
      <c r="A44" s="1" t="s">
        <v>1970</v>
      </c>
      <c r="B44" s="1">
        <v>0.01399446</v>
      </c>
      <c r="C44" s="56">
        <f t="shared" si="1"/>
        <v>0.05701851119</v>
      </c>
    </row>
    <row r="45" hidden="1">
      <c r="A45" s="1" t="s">
        <v>1971</v>
      </c>
      <c r="B45" s="1">
        <v>0.01404183</v>
      </c>
      <c r="C45" s="56">
        <f t="shared" si="1"/>
        <v>0.05556161113</v>
      </c>
    </row>
    <row r="46" hidden="1">
      <c r="A46" s="1" t="s">
        <v>1974</v>
      </c>
      <c r="B46" s="1">
        <v>0.01424562</v>
      </c>
      <c r="C46" s="56">
        <f t="shared" si="1"/>
        <v>0.06616522784</v>
      </c>
    </row>
    <row r="47" hidden="1">
      <c r="A47" s="1" t="s">
        <v>1975</v>
      </c>
      <c r="B47" s="1">
        <v>0.01436331</v>
      </c>
      <c r="C47" s="56">
        <f t="shared" si="1"/>
        <v>0.07163529225</v>
      </c>
    </row>
    <row r="48" hidden="1">
      <c r="A48" s="1" t="s">
        <v>1976</v>
      </c>
      <c r="B48" s="1">
        <v>0.0144896</v>
      </c>
      <c r="C48" s="56">
        <f t="shared" si="1"/>
        <v>0.07518567686</v>
      </c>
    </row>
    <row r="49" hidden="1">
      <c r="A49" s="1" t="s">
        <v>1977</v>
      </c>
      <c r="B49" s="1">
        <v>0.01471923</v>
      </c>
      <c r="C49" s="56">
        <f t="shared" si="1"/>
        <v>0.0854056916</v>
      </c>
    </row>
    <row r="50" hidden="1">
      <c r="A50" s="1" t="s">
        <v>1981</v>
      </c>
      <c r="B50" s="1">
        <v>0.01487567</v>
      </c>
      <c r="C50" s="56">
        <f t="shared" si="1"/>
        <v>0.09474025835</v>
      </c>
    </row>
    <row r="51" hidden="1">
      <c r="A51" s="1" t="s">
        <v>1982</v>
      </c>
      <c r="B51" s="1">
        <v>0.01499766</v>
      </c>
      <c r="C51" s="56">
        <f t="shared" si="1"/>
        <v>0.09561779473</v>
      </c>
    </row>
    <row r="52" hidden="1">
      <c r="A52" s="1" t="s">
        <v>1983</v>
      </c>
      <c r="B52" s="1">
        <v>0.01538229</v>
      </c>
      <c r="C52" s="56">
        <f t="shared" si="1"/>
        <v>0.1194903511</v>
      </c>
    </row>
    <row r="53" hidden="1">
      <c r="A53" s="1" t="s">
        <v>1985</v>
      </c>
      <c r="B53" s="1">
        <v>0.01562914</v>
      </c>
      <c r="C53" s="56">
        <f t="shared" si="1"/>
        <v>0.1300193914</v>
      </c>
    </row>
    <row r="54" hidden="1">
      <c r="A54" s="1" t="s">
        <v>1991</v>
      </c>
      <c r="B54" s="1">
        <v>0.01600085</v>
      </c>
      <c r="C54" s="56">
        <f t="shared" si="1"/>
        <v>0.1516373974</v>
      </c>
    </row>
    <row r="55">
      <c r="A55" s="1" t="s">
        <v>1993</v>
      </c>
      <c r="B55" s="1">
        <v>0.01620608</v>
      </c>
      <c r="C55" s="56">
        <f t="shared" si="1"/>
        <v>0.1655654288</v>
      </c>
    </row>
    <row r="56" hidden="1">
      <c r="A56" s="1" t="s">
        <v>1994</v>
      </c>
      <c r="B56" s="1">
        <v>0.01640557</v>
      </c>
      <c r="C56" s="56">
        <f t="shared" si="1"/>
        <v>0.1722903206</v>
      </c>
    </row>
    <row r="57" hidden="1">
      <c r="A57" s="1" t="s">
        <v>1995</v>
      </c>
      <c r="B57" s="1">
        <v>0.01704279</v>
      </c>
      <c r="C57" s="56">
        <f t="shared" si="1"/>
        <v>0.2137157336</v>
      </c>
    </row>
    <row r="58" hidden="1">
      <c r="A58" s="1" t="s">
        <v>1997</v>
      </c>
      <c r="B58" s="1">
        <v>0.01765274</v>
      </c>
      <c r="C58" s="56">
        <f t="shared" si="1"/>
        <v>0.2391696535</v>
      </c>
    </row>
    <row r="59" hidden="1">
      <c r="A59" s="1" t="s">
        <v>1999</v>
      </c>
      <c r="B59" s="1">
        <v>0.01805172</v>
      </c>
      <c r="C59" s="56">
        <f t="shared" si="1"/>
        <v>0.2567938727</v>
      </c>
    </row>
    <row r="60" hidden="1">
      <c r="A60" s="1" t="s">
        <v>2000</v>
      </c>
      <c r="B60" s="1">
        <v>0.01819094</v>
      </c>
      <c r="C60" s="56">
        <f t="shared" si="1"/>
        <v>0.2554480455</v>
      </c>
    </row>
    <row r="61" hidden="1">
      <c r="A61" s="1" t="s">
        <v>2001</v>
      </c>
      <c r="B61" s="1">
        <v>0.01843779</v>
      </c>
      <c r="C61" s="56">
        <f t="shared" si="1"/>
        <v>0.2526327804</v>
      </c>
    </row>
    <row r="62" hidden="1">
      <c r="A62" s="1" t="s">
        <v>2004</v>
      </c>
      <c r="B62" s="1">
        <v>0.01858275</v>
      </c>
      <c r="C62" s="56">
        <f t="shared" si="1"/>
        <v>0.2492042375</v>
      </c>
    </row>
    <row r="63" hidden="1">
      <c r="A63" s="1" t="s">
        <v>2005</v>
      </c>
      <c r="B63" s="1">
        <v>0.01876645</v>
      </c>
      <c r="C63" s="56">
        <f t="shared" si="1"/>
        <v>0.2512918682</v>
      </c>
    </row>
    <row r="64" hidden="1">
      <c r="A64" s="1" t="s">
        <v>2006</v>
      </c>
      <c r="B64" s="1">
        <v>0.0190377</v>
      </c>
      <c r="C64" s="56">
        <f t="shared" si="1"/>
        <v>0.2376375689</v>
      </c>
    </row>
    <row r="65" hidden="1">
      <c r="A65" s="1" t="s">
        <v>2007</v>
      </c>
      <c r="B65" s="1">
        <v>0.01923862</v>
      </c>
      <c r="C65" s="56">
        <f t="shared" si="1"/>
        <v>0.2309455287</v>
      </c>
    </row>
    <row r="66" hidden="1">
      <c r="A66" s="1" t="s">
        <v>2009</v>
      </c>
      <c r="B66" s="1">
        <v>0.01945677</v>
      </c>
      <c r="C66" s="56">
        <f t="shared" si="1"/>
        <v>0.2159835259</v>
      </c>
    </row>
    <row r="67">
      <c r="A67" s="1" t="s">
        <v>2011</v>
      </c>
      <c r="B67" s="1">
        <v>0.01984283</v>
      </c>
      <c r="C67" s="56">
        <f t="shared" si="1"/>
        <v>0.224406519</v>
      </c>
    </row>
    <row r="68" hidden="1">
      <c r="A68" s="1" t="s">
        <v>2012</v>
      </c>
      <c r="B68" s="1">
        <v>0.02039394</v>
      </c>
      <c r="C68" s="56">
        <f t="shared" si="1"/>
        <v>0.243110724</v>
      </c>
    </row>
    <row r="69" hidden="1">
      <c r="A69" s="1" t="s">
        <v>2015</v>
      </c>
      <c r="B69" s="1">
        <v>0.02055325</v>
      </c>
      <c r="C69" s="56">
        <f t="shared" si="1"/>
        <v>0.2059791853</v>
      </c>
    </row>
    <row r="70" hidden="1">
      <c r="A70" s="1" t="s">
        <v>2017</v>
      </c>
      <c r="B70" s="1">
        <v>0.02081589</v>
      </c>
      <c r="C70" s="56">
        <f t="shared" si="1"/>
        <v>0.1791874802</v>
      </c>
    </row>
    <row r="71" hidden="1">
      <c r="A71" s="1" t="s">
        <v>2018</v>
      </c>
      <c r="B71" s="1">
        <v>0.0209307</v>
      </c>
      <c r="C71" s="56">
        <f t="shared" si="1"/>
        <v>0.1594850795</v>
      </c>
    </row>
    <row r="72" hidden="1">
      <c r="A72" s="1" t="s">
        <v>2019</v>
      </c>
      <c r="B72" s="1">
        <v>0.02106274</v>
      </c>
      <c r="C72" s="56">
        <f t="shared" si="1"/>
        <v>0.1578697967</v>
      </c>
    </row>
    <row r="73" hidden="1">
      <c r="A73" s="1" t="s">
        <v>2021</v>
      </c>
      <c r="B73" s="1">
        <v>0.0212407</v>
      </c>
      <c r="C73" s="56">
        <f t="shared" si="1"/>
        <v>0.1520198462</v>
      </c>
    </row>
    <row r="74" hidden="1">
      <c r="A74" s="1" t="s">
        <v>2024</v>
      </c>
      <c r="B74" s="1">
        <v>0.02152487</v>
      </c>
      <c r="C74" s="56">
        <f t="shared" si="1"/>
        <v>0.1583253286</v>
      </c>
    </row>
    <row r="75" hidden="1">
      <c r="A75" s="1" t="s">
        <v>2025</v>
      </c>
      <c r="B75" s="1">
        <v>0.02189084</v>
      </c>
      <c r="C75" s="56">
        <f t="shared" si="1"/>
        <v>0.1664880678</v>
      </c>
    </row>
    <row r="76" hidden="1">
      <c r="A76" s="1" t="s">
        <v>2026</v>
      </c>
      <c r="B76" s="1">
        <v>0.02206593</v>
      </c>
      <c r="C76" s="56">
        <f t="shared" si="1"/>
        <v>0.1590649081</v>
      </c>
    </row>
    <row r="77" hidden="1">
      <c r="A77" s="1" t="s">
        <v>2027</v>
      </c>
      <c r="B77" s="1">
        <v>0.02225681</v>
      </c>
      <c r="C77" s="56">
        <f t="shared" si="1"/>
        <v>0.1568818346</v>
      </c>
    </row>
    <row r="78" hidden="1">
      <c r="A78" s="1" t="s">
        <v>2028</v>
      </c>
      <c r="B78" s="1">
        <v>0.02241898</v>
      </c>
      <c r="C78" s="56">
        <f t="shared" si="1"/>
        <v>0.1522457222</v>
      </c>
    </row>
    <row r="79">
      <c r="A79" s="1" t="s">
        <v>2029</v>
      </c>
      <c r="B79" s="1">
        <v>0.0225338</v>
      </c>
      <c r="C79" s="56">
        <f t="shared" si="1"/>
        <v>0.1356142244</v>
      </c>
    </row>
    <row r="80" hidden="1">
      <c r="A80" s="1" t="s">
        <v>2030</v>
      </c>
      <c r="B80" s="1">
        <v>0.02269167</v>
      </c>
      <c r="C80" s="56">
        <f t="shared" si="1"/>
        <v>0.1126672923</v>
      </c>
    </row>
    <row r="81" hidden="1">
      <c r="A81" s="1" t="s">
        <v>2032</v>
      </c>
      <c r="B81" s="1">
        <v>0.02287681</v>
      </c>
      <c r="C81" s="56">
        <f t="shared" si="1"/>
        <v>0.1130507341</v>
      </c>
    </row>
    <row r="82" hidden="1">
      <c r="A82" s="1" t="s">
        <v>2034</v>
      </c>
      <c r="B82" s="1">
        <v>0.02331885</v>
      </c>
      <c r="C82" s="56">
        <f t="shared" si="1"/>
        <v>0.1202427569</v>
      </c>
    </row>
    <row r="83" hidden="1">
      <c r="A83" s="1" t="s">
        <v>2035</v>
      </c>
      <c r="B83" s="1">
        <v>0.02375514</v>
      </c>
      <c r="C83" s="56">
        <f t="shared" si="1"/>
        <v>0.134942453</v>
      </c>
    </row>
    <row r="84" hidden="1">
      <c r="A84" s="1" t="s">
        <v>2036</v>
      </c>
      <c r="B84" s="1">
        <v>0.02398764</v>
      </c>
      <c r="C84" s="56">
        <f t="shared" si="1"/>
        <v>0.1388660735</v>
      </c>
    </row>
    <row r="85" hidden="1">
      <c r="A85" s="1" t="s">
        <v>2039</v>
      </c>
      <c r="B85" s="1">
        <v>0.02415556</v>
      </c>
      <c r="C85" s="56">
        <f t="shared" si="1"/>
        <v>0.1372299406</v>
      </c>
    </row>
    <row r="86" hidden="1">
      <c r="A86" s="1" t="s">
        <v>2041</v>
      </c>
      <c r="B86" s="1">
        <v>0.02432491</v>
      </c>
      <c r="C86" s="56">
        <f t="shared" si="1"/>
        <v>0.1300839448</v>
      </c>
    </row>
    <row r="87" hidden="1">
      <c r="A87" s="1" t="s">
        <v>2042</v>
      </c>
      <c r="B87" s="1">
        <v>0.0244225</v>
      </c>
      <c r="C87" s="56">
        <f t="shared" si="1"/>
        <v>0.1156492853</v>
      </c>
    </row>
    <row r="88" hidden="1">
      <c r="A88" s="1" t="s">
        <v>2044</v>
      </c>
      <c r="B88" s="1">
        <v>0.02462917</v>
      </c>
      <c r="C88" s="56">
        <f t="shared" si="1"/>
        <v>0.1161627903</v>
      </c>
    </row>
    <row r="89" hidden="1">
      <c r="A89" s="1" t="s">
        <v>2045</v>
      </c>
      <c r="B89" s="1">
        <v>0.02486454</v>
      </c>
      <c r="C89" s="56">
        <f t="shared" si="1"/>
        <v>0.1171654878</v>
      </c>
    </row>
    <row r="90" hidden="1">
      <c r="A90" s="1" t="s">
        <v>2046</v>
      </c>
      <c r="B90" s="1">
        <v>0.02571273</v>
      </c>
      <c r="C90" s="56">
        <f t="shared" si="1"/>
        <v>0.146917924</v>
      </c>
    </row>
    <row r="91">
      <c r="A91" s="1" t="s">
        <v>2047</v>
      </c>
      <c r="B91" s="1">
        <v>0.02716083</v>
      </c>
      <c r="C91" s="56">
        <f t="shared" si="1"/>
        <v>0.2053373155</v>
      </c>
    </row>
    <row r="92" hidden="1">
      <c r="A92" s="1" t="s">
        <v>2050</v>
      </c>
      <c r="B92" s="1">
        <v>0.02838791</v>
      </c>
      <c r="C92" s="56">
        <f t="shared" si="1"/>
        <v>0.2510278001</v>
      </c>
    </row>
    <row r="93" hidden="1">
      <c r="A93" s="1" t="s">
        <v>2052</v>
      </c>
      <c r="B93" s="1">
        <v>0.02909976</v>
      </c>
      <c r="C93" s="56">
        <f t="shared" si="1"/>
        <v>0.2720200063</v>
      </c>
    </row>
    <row r="94" hidden="1">
      <c r="A94" s="1" t="s">
        <v>2053</v>
      </c>
      <c r="B94" s="1">
        <v>0.03002689</v>
      </c>
      <c r="C94" s="56">
        <f t="shared" si="1"/>
        <v>0.287665987</v>
      </c>
    </row>
    <row r="95" hidden="1">
      <c r="A95" s="1" t="s">
        <v>2054</v>
      </c>
      <c r="B95" s="1">
        <v>0.03068994</v>
      </c>
      <c r="C95" s="56">
        <f t="shared" si="1"/>
        <v>0.2919283995</v>
      </c>
    </row>
    <row r="96" hidden="1">
      <c r="A96" s="1" t="s">
        <v>2055</v>
      </c>
      <c r="B96" s="1">
        <v>0.03122527</v>
      </c>
      <c r="C96" s="56">
        <f t="shared" si="1"/>
        <v>0.3017233042</v>
      </c>
    </row>
    <row r="97" hidden="1">
      <c r="A97" s="1" t="s">
        <v>2056</v>
      </c>
      <c r="B97" s="1">
        <v>0.03169744</v>
      </c>
      <c r="C97" s="56">
        <f t="shared" si="1"/>
        <v>0.3122212857</v>
      </c>
    </row>
    <row r="98" hidden="1">
      <c r="A98" s="1" t="s">
        <v>2057</v>
      </c>
      <c r="B98" s="1">
        <v>0.03197587</v>
      </c>
      <c r="C98" s="56">
        <f t="shared" si="1"/>
        <v>0.3145318934</v>
      </c>
    </row>
    <row r="99" hidden="1">
      <c r="A99" s="1" t="s">
        <v>2058</v>
      </c>
      <c r="B99" s="1">
        <v>0.03236767</v>
      </c>
      <c r="C99" s="56">
        <f t="shared" si="1"/>
        <v>0.325321732</v>
      </c>
    </row>
    <row r="100" hidden="1">
      <c r="A100" s="1" t="s">
        <v>2059</v>
      </c>
      <c r="B100" s="1">
        <v>0.03273365</v>
      </c>
      <c r="C100" s="56">
        <f t="shared" si="1"/>
        <v>0.329060216</v>
      </c>
    </row>
    <row r="101" hidden="1">
      <c r="A101" s="1" t="s">
        <v>2060</v>
      </c>
      <c r="B101" s="1">
        <v>0.03340531</v>
      </c>
      <c r="C101" s="56">
        <f t="shared" si="1"/>
        <v>0.3434919769</v>
      </c>
    </row>
    <row r="102" hidden="1">
      <c r="A102" s="1" t="s">
        <v>2064</v>
      </c>
      <c r="B102" s="1">
        <v>0.03399804</v>
      </c>
      <c r="C102" s="56">
        <f t="shared" si="1"/>
        <v>0.3222259947</v>
      </c>
    </row>
    <row r="103">
      <c r="A103" s="1" t="s">
        <v>2066</v>
      </c>
      <c r="B103" s="1">
        <v>0.03425781</v>
      </c>
      <c r="C103" s="56">
        <f t="shared" si="1"/>
        <v>0.2612946659</v>
      </c>
    </row>
    <row r="104" hidden="1">
      <c r="A104" s="1" t="s">
        <v>2069</v>
      </c>
      <c r="B104" s="1">
        <v>0.03463239</v>
      </c>
      <c r="C104" s="56">
        <f t="shared" si="1"/>
        <v>0.2199696984</v>
      </c>
    </row>
    <row r="105" hidden="1">
      <c r="A105" s="1" t="s">
        <v>2070</v>
      </c>
      <c r="B105" s="1">
        <v>0.03511174</v>
      </c>
      <c r="C105" s="56">
        <f t="shared" si="1"/>
        <v>0.2065989548</v>
      </c>
    </row>
    <row r="106" hidden="1">
      <c r="A106" s="1" t="s">
        <v>2071</v>
      </c>
      <c r="B106" s="1">
        <v>0.03589248</v>
      </c>
      <c r="C106" s="56">
        <f t="shared" si="1"/>
        <v>0.1953445728</v>
      </c>
    </row>
    <row r="107" hidden="1">
      <c r="A107" s="1" t="s">
        <v>2074</v>
      </c>
      <c r="B107" s="1">
        <v>0.03640771</v>
      </c>
      <c r="C107" s="56">
        <f t="shared" si="1"/>
        <v>0.1863076304</v>
      </c>
    </row>
    <row r="108" hidden="1">
      <c r="A108" s="1" t="s">
        <v>2076</v>
      </c>
      <c r="B108" s="1">
        <v>0.0367866</v>
      </c>
      <c r="C108" s="56">
        <f t="shared" si="1"/>
        <v>0.178103504</v>
      </c>
    </row>
    <row r="109" hidden="1">
      <c r="A109" s="1" t="s">
        <v>2077</v>
      </c>
      <c r="B109" s="1">
        <v>0.03719563</v>
      </c>
      <c r="C109" s="56">
        <f t="shared" si="1"/>
        <v>0.1734584875</v>
      </c>
    </row>
    <row r="110" hidden="1">
      <c r="A110" s="1" t="s">
        <v>2078</v>
      </c>
      <c r="B110" s="1">
        <v>0.03756016</v>
      </c>
      <c r="C110" s="56">
        <f t="shared" si="1"/>
        <v>0.1746407525</v>
      </c>
    </row>
    <row r="111" hidden="1">
      <c r="A111" s="1" t="s">
        <v>2079</v>
      </c>
      <c r="B111" s="1">
        <v>0.03807683</v>
      </c>
      <c r="C111" s="56">
        <f t="shared" si="1"/>
        <v>0.1763846455</v>
      </c>
    </row>
    <row r="112" hidden="1">
      <c r="A112" s="1" t="s">
        <v>2080</v>
      </c>
      <c r="B112" s="1">
        <v>0.03872266</v>
      </c>
      <c r="C112" s="56">
        <f t="shared" si="1"/>
        <v>0.1829618756</v>
      </c>
    </row>
    <row r="113" hidden="1">
      <c r="A113" s="1" t="s">
        <v>2081</v>
      </c>
      <c r="B113" s="1">
        <v>0.03910873</v>
      </c>
      <c r="C113" s="56">
        <f t="shared" si="1"/>
        <v>0.1707339342</v>
      </c>
    </row>
    <row r="114" hidden="1">
      <c r="A114" s="1" t="s">
        <v>2082</v>
      </c>
      <c r="B114" s="1">
        <v>0.03955507</v>
      </c>
      <c r="C114" s="56">
        <f t="shared" si="1"/>
        <v>0.1634514813</v>
      </c>
    </row>
    <row r="115">
      <c r="A115" s="1" t="s">
        <v>2083</v>
      </c>
      <c r="B115" s="1">
        <v>0.04003442</v>
      </c>
      <c r="C115" s="56">
        <f t="shared" si="1"/>
        <v>0.1686216953</v>
      </c>
    </row>
    <row r="116" hidden="1">
      <c r="A116" s="1" t="s">
        <v>2084</v>
      </c>
      <c r="B116" s="1">
        <v>0.04044631</v>
      </c>
      <c r="C116" s="56">
        <f t="shared" si="1"/>
        <v>0.1678752174</v>
      </c>
    </row>
    <row r="117" hidden="1">
      <c r="A117" s="1" t="s">
        <v>2085</v>
      </c>
      <c r="B117" s="1">
        <v>0.04078932</v>
      </c>
      <c r="C117" s="56">
        <f t="shared" si="1"/>
        <v>0.1617003316</v>
      </c>
    </row>
    <row r="118" hidden="1">
      <c r="A118" s="1" t="s">
        <v>2086</v>
      </c>
      <c r="B118" s="1">
        <v>0.04223742</v>
      </c>
      <c r="C118" s="56">
        <f t="shared" si="1"/>
        <v>0.1767763052</v>
      </c>
    </row>
    <row r="119" hidden="1">
      <c r="A119" s="1" t="s">
        <v>2087</v>
      </c>
      <c r="B119" s="1">
        <v>0.0428445</v>
      </c>
      <c r="C119" s="56">
        <f t="shared" si="1"/>
        <v>0.1767974421</v>
      </c>
    </row>
    <row r="120" hidden="1">
      <c r="A120" s="1" t="s">
        <v>2088</v>
      </c>
      <c r="B120" s="1">
        <v>0.04342575</v>
      </c>
      <c r="C120" s="56">
        <f t="shared" si="1"/>
        <v>0.1804774021</v>
      </c>
    </row>
    <row r="121" hidden="1">
      <c r="A121" s="1" t="s">
        <v>2089</v>
      </c>
      <c r="B121" s="1">
        <v>0.04381469</v>
      </c>
      <c r="C121" s="56">
        <f t="shared" si="1"/>
        <v>0.1779526251</v>
      </c>
    </row>
    <row r="122" hidden="1">
      <c r="A122" s="1" t="s">
        <v>2090</v>
      </c>
      <c r="B122" s="1">
        <v>0.04438876</v>
      </c>
      <c r="C122" s="56">
        <f t="shared" si="1"/>
        <v>0.1818043374</v>
      </c>
    </row>
    <row r="123" hidden="1">
      <c r="A123" s="1" t="s">
        <v>2091</v>
      </c>
      <c r="B123" s="1">
        <v>0.04488103</v>
      </c>
      <c r="C123" s="56">
        <f t="shared" si="1"/>
        <v>0.1786965984</v>
      </c>
    </row>
    <row r="124" hidden="1">
      <c r="A124" s="1" t="s">
        <v>2092</v>
      </c>
      <c r="B124" s="1">
        <v>0.04542496</v>
      </c>
      <c r="C124" s="56">
        <f t="shared" si="1"/>
        <v>0.1730847003</v>
      </c>
    </row>
    <row r="125" hidden="1">
      <c r="A125" s="1" t="s">
        <v>2093</v>
      </c>
      <c r="B125" s="1">
        <v>0.04611242</v>
      </c>
      <c r="C125" s="56">
        <f t="shared" si="1"/>
        <v>0.179082522</v>
      </c>
    </row>
    <row r="126" hidden="1">
      <c r="A126" s="1" t="s">
        <v>2094</v>
      </c>
      <c r="B126" s="1">
        <v>0.04667788</v>
      </c>
      <c r="C126" s="56">
        <f t="shared" si="1"/>
        <v>0.1800732498</v>
      </c>
    </row>
    <row r="127">
      <c r="A127" s="1" t="s">
        <v>2095</v>
      </c>
      <c r="B127" s="1">
        <v>0.04749306</v>
      </c>
      <c r="C127" s="56">
        <f t="shared" si="1"/>
        <v>0.186305684</v>
      </c>
    </row>
    <row r="128" hidden="1">
      <c r="A128" s="1" t="s">
        <v>2096</v>
      </c>
      <c r="B128" s="1">
        <v>0.04810445</v>
      </c>
      <c r="C128" s="56">
        <f t="shared" si="1"/>
        <v>0.1893408818</v>
      </c>
    </row>
    <row r="129" hidden="1">
      <c r="A129" s="1" t="s">
        <v>2097</v>
      </c>
      <c r="B129" s="1">
        <v>0.04895551</v>
      </c>
      <c r="C129" s="56">
        <f t="shared" si="1"/>
        <v>0.2002041221</v>
      </c>
    </row>
    <row r="130" hidden="1">
      <c r="A130" s="1" t="s">
        <v>2098</v>
      </c>
      <c r="B130" s="1">
        <v>0.05134222</v>
      </c>
      <c r="C130" s="56">
        <f t="shared" si="1"/>
        <v>0.2155624089</v>
      </c>
    </row>
    <row r="131" hidden="1">
      <c r="A131" s="1" t="s">
        <v>2099</v>
      </c>
      <c r="B131" s="1">
        <v>0.05252912</v>
      </c>
      <c r="C131" s="56">
        <f t="shared" si="1"/>
        <v>0.2260411488</v>
      </c>
    </row>
    <row r="132" hidden="1">
      <c r="A132" s="1" t="s">
        <v>2100</v>
      </c>
      <c r="B132" s="1">
        <v>0.05360981</v>
      </c>
      <c r="C132" s="56">
        <f t="shared" si="1"/>
        <v>0.2345166174</v>
      </c>
    </row>
    <row r="133" hidden="1">
      <c r="A133" s="1" t="s">
        <v>2101</v>
      </c>
      <c r="B133" s="1">
        <v>0.05454698</v>
      </c>
      <c r="C133" s="56">
        <f t="shared" si="1"/>
        <v>0.2449472996</v>
      </c>
    </row>
    <row r="134" hidden="1">
      <c r="A134" s="1" t="s">
        <v>2102</v>
      </c>
      <c r="B134" s="1">
        <v>0.0554368</v>
      </c>
      <c r="C134" s="56">
        <f t="shared" si="1"/>
        <v>0.2488927377</v>
      </c>
    </row>
    <row r="135" hidden="1">
      <c r="A135" s="1" t="s">
        <v>2103</v>
      </c>
      <c r="B135" s="1">
        <v>0.05653615</v>
      </c>
      <c r="C135" s="56">
        <f t="shared" si="1"/>
        <v>0.2596892273</v>
      </c>
    </row>
    <row r="136" hidden="1">
      <c r="A136" s="1" t="s">
        <v>2104</v>
      </c>
      <c r="B136" s="1">
        <v>0.05811485</v>
      </c>
      <c r="C136" s="56">
        <f t="shared" si="1"/>
        <v>0.2793594095</v>
      </c>
    </row>
    <row r="137" hidden="1">
      <c r="A137" s="1" t="s">
        <v>2105</v>
      </c>
      <c r="B137" s="1">
        <v>0.05931896</v>
      </c>
      <c r="C137" s="56">
        <f t="shared" si="1"/>
        <v>0.286398762</v>
      </c>
    </row>
    <row r="138" hidden="1">
      <c r="A138" s="1" t="s">
        <v>2106</v>
      </c>
      <c r="B138" s="1">
        <v>0.05997772</v>
      </c>
      <c r="C138" s="56">
        <f t="shared" si="1"/>
        <v>0.2849281073</v>
      </c>
    </row>
    <row r="139">
      <c r="A139" s="1" t="s">
        <v>2107</v>
      </c>
      <c r="B139" s="1">
        <v>0.06088618</v>
      </c>
      <c r="C139" s="56">
        <f t="shared" si="1"/>
        <v>0.282001623</v>
      </c>
    </row>
    <row r="140" hidden="1">
      <c r="A140" s="1" t="s">
        <v>2108</v>
      </c>
      <c r="B140" s="1">
        <v>0.06194248</v>
      </c>
      <c r="C140" s="56">
        <f t="shared" si="1"/>
        <v>0.2876663178</v>
      </c>
    </row>
    <row r="141" hidden="1">
      <c r="A141" s="1" t="s">
        <v>2109</v>
      </c>
      <c r="B141" s="1">
        <v>0.06356711</v>
      </c>
      <c r="C141" s="56">
        <f t="shared" si="1"/>
        <v>0.2984669141</v>
      </c>
    </row>
    <row r="142" hidden="1">
      <c r="A142" s="1" t="s">
        <v>2110</v>
      </c>
      <c r="B142" s="1">
        <v>0.06561511</v>
      </c>
      <c r="C142" s="56">
        <f t="shared" si="1"/>
        <v>0.277995186</v>
      </c>
    </row>
    <row r="143" hidden="1">
      <c r="A143" s="1" t="s">
        <v>2111</v>
      </c>
      <c r="B143" s="1">
        <v>0.06722682</v>
      </c>
      <c r="C143" s="56">
        <f t="shared" si="1"/>
        <v>0.2798009942</v>
      </c>
    </row>
    <row r="144" hidden="1">
      <c r="A144" s="1" t="s">
        <v>2114</v>
      </c>
      <c r="B144" s="1">
        <v>0.06866487</v>
      </c>
      <c r="C144" s="56">
        <f t="shared" si="1"/>
        <v>0.2808265875</v>
      </c>
    </row>
    <row r="145" hidden="1">
      <c r="A145" s="1" t="s">
        <v>2115</v>
      </c>
      <c r="B145" s="1">
        <v>0.07021344</v>
      </c>
      <c r="C145" s="56">
        <f t="shared" si="1"/>
        <v>0.287210401</v>
      </c>
    </row>
    <row r="146" hidden="1">
      <c r="A146" s="1" t="s">
        <v>2116</v>
      </c>
      <c r="B146" s="1">
        <v>0.07127547</v>
      </c>
      <c r="C146" s="56">
        <f t="shared" si="1"/>
        <v>0.2857067868</v>
      </c>
    </row>
    <row r="147" hidden="1">
      <c r="A147" s="1" t="s">
        <v>2117</v>
      </c>
      <c r="B147" s="1">
        <v>0.07227149</v>
      </c>
      <c r="C147" s="56">
        <f t="shared" si="1"/>
        <v>0.2783235151</v>
      </c>
    </row>
    <row r="148" hidden="1">
      <c r="A148" s="1" t="s">
        <v>2119</v>
      </c>
      <c r="B148" s="1">
        <v>0.07354449</v>
      </c>
      <c r="C148" s="56">
        <f t="shared" si="1"/>
        <v>0.2655025351</v>
      </c>
    </row>
    <row r="149" hidden="1">
      <c r="A149" s="1" t="s">
        <v>2120</v>
      </c>
      <c r="B149" s="1">
        <v>0.07506005</v>
      </c>
      <c r="C149" s="56">
        <f t="shared" si="1"/>
        <v>0.2653635532</v>
      </c>
    </row>
    <row r="150" hidden="1">
      <c r="A150" s="1" t="s">
        <v>2121</v>
      </c>
      <c r="B150" s="1">
        <v>0.07645648</v>
      </c>
      <c r="C150" s="56">
        <f t="shared" si="1"/>
        <v>0.2747480231</v>
      </c>
    </row>
    <row r="151">
      <c r="A151" s="1" t="s">
        <v>2122</v>
      </c>
      <c r="B151" s="1">
        <v>0.07815287</v>
      </c>
      <c r="C151" s="56">
        <f t="shared" si="1"/>
        <v>0.2835896422</v>
      </c>
    </row>
    <row r="152" hidden="1">
      <c r="A152" s="1" t="s">
        <v>2125</v>
      </c>
      <c r="B152" s="1">
        <v>0.07965694</v>
      </c>
      <c r="C152" s="56">
        <f t="shared" si="1"/>
        <v>0.2859824147</v>
      </c>
    </row>
    <row r="153" hidden="1">
      <c r="A153" s="1" t="s">
        <v>2126</v>
      </c>
      <c r="B153" s="1">
        <v>0.0818011</v>
      </c>
      <c r="C153" s="56">
        <f t="shared" si="1"/>
        <v>0.2868462952</v>
      </c>
    </row>
    <row r="154" hidden="1">
      <c r="A154" s="1" t="s">
        <v>2127</v>
      </c>
      <c r="B154" s="1">
        <v>0.08586554</v>
      </c>
      <c r="C154" s="56">
        <f t="shared" si="1"/>
        <v>0.3086244921</v>
      </c>
    </row>
    <row r="155" hidden="1">
      <c r="A155" s="1" t="s">
        <v>2128</v>
      </c>
      <c r="B155" s="1">
        <v>0.08923965</v>
      </c>
      <c r="C155" s="56">
        <f t="shared" si="1"/>
        <v>0.3274411909</v>
      </c>
    </row>
    <row r="156" hidden="1">
      <c r="A156" s="1" t="s">
        <v>2132</v>
      </c>
      <c r="B156" s="1">
        <v>0.09249895</v>
      </c>
      <c r="C156" s="56">
        <f t="shared" si="1"/>
        <v>0.3471073345</v>
      </c>
    </row>
    <row r="157" hidden="1">
      <c r="A157" s="1" t="s">
        <v>2133</v>
      </c>
      <c r="B157" s="1">
        <v>0.09751204</v>
      </c>
      <c r="C157" s="56">
        <f t="shared" si="1"/>
        <v>0.38879451</v>
      </c>
    </row>
    <row r="158" hidden="1">
      <c r="A158" s="1" t="s">
        <v>2134</v>
      </c>
      <c r="B158" s="1">
        <v>0.10299301</v>
      </c>
      <c r="C158" s="56">
        <f t="shared" si="1"/>
        <v>0.4449993806</v>
      </c>
    </row>
    <row r="159" hidden="1">
      <c r="A159" s="1" t="s">
        <v>2135</v>
      </c>
      <c r="B159" s="1">
        <v>0.10795443</v>
      </c>
      <c r="C159" s="56">
        <f t="shared" si="1"/>
        <v>0.4937346663</v>
      </c>
    </row>
    <row r="160" hidden="1">
      <c r="A160" s="1" t="s">
        <v>2137</v>
      </c>
      <c r="B160" s="1">
        <v>0.1135172</v>
      </c>
      <c r="C160" s="56">
        <f t="shared" si="1"/>
        <v>0.5435174001</v>
      </c>
    </row>
    <row r="161" hidden="1">
      <c r="A161" s="1" t="s">
        <v>2139</v>
      </c>
      <c r="B161" s="1">
        <v>0.12625588</v>
      </c>
      <c r="C161" s="56">
        <f t="shared" si="1"/>
        <v>0.68206496</v>
      </c>
    </row>
    <row r="162" hidden="1">
      <c r="A162" s="1" t="s">
        <v>2140</v>
      </c>
      <c r="B162" s="1">
        <v>0.1329955</v>
      </c>
      <c r="C162" s="56">
        <f t="shared" si="1"/>
        <v>0.7394928461</v>
      </c>
    </row>
    <row r="163">
      <c r="A163" s="1" t="s">
        <v>2141</v>
      </c>
      <c r="B163" s="1">
        <v>0.13989012</v>
      </c>
      <c r="C163" s="56">
        <f t="shared" si="1"/>
        <v>0.7899549946</v>
      </c>
    </row>
    <row r="164" hidden="1">
      <c r="A164" s="1" t="s">
        <v>2143</v>
      </c>
      <c r="B164" s="1">
        <v>0.1469627</v>
      </c>
      <c r="C164" s="56">
        <f t="shared" si="1"/>
        <v>0.8449453368</v>
      </c>
    </row>
    <row r="165" hidden="1">
      <c r="A165" s="1" t="s">
        <v>2145</v>
      </c>
      <c r="B165" s="1">
        <v>0.16265642</v>
      </c>
      <c r="C165" s="56">
        <f t="shared" si="1"/>
        <v>0.9884380528</v>
      </c>
    </row>
    <row r="166" hidden="1">
      <c r="A166" s="1" t="s">
        <v>2148</v>
      </c>
      <c r="B166" s="1">
        <v>0.18035509</v>
      </c>
      <c r="C166" s="56">
        <f t="shared" si="1"/>
        <v>1.100436217</v>
      </c>
    </row>
    <row r="167" hidden="1">
      <c r="A167" s="1" t="s">
        <v>2149</v>
      </c>
      <c r="B167" s="1">
        <v>0.19003396</v>
      </c>
      <c r="C167" s="56">
        <f t="shared" si="1"/>
        <v>1.129478993</v>
      </c>
    </row>
    <row r="168" hidden="1">
      <c r="A168" s="1" t="s">
        <v>2150</v>
      </c>
      <c r="B168" s="1">
        <v>0.19923205</v>
      </c>
      <c r="C168" s="56">
        <f t="shared" si="1"/>
        <v>1.153884449</v>
      </c>
    </row>
    <row r="169" hidden="1">
      <c r="A169" s="1" t="s">
        <v>2151</v>
      </c>
      <c r="B169" s="1">
        <v>0.21184586</v>
      </c>
      <c r="C169" s="56">
        <f t="shared" si="1"/>
        <v>1.172509774</v>
      </c>
    </row>
    <row r="170" hidden="1">
      <c r="A170" s="1" t="s">
        <v>2153</v>
      </c>
      <c r="B170" s="1">
        <v>0.2210339</v>
      </c>
      <c r="C170" s="56">
        <f t="shared" si="1"/>
        <v>1.146105838</v>
      </c>
    </row>
    <row r="171" hidden="1">
      <c r="A171" s="1" t="s">
        <v>2156</v>
      </c>
      <c r="B171" s="1">
        <v>0.22940389</v>
      </c>
      <c r="C171" s="56">
        <f t="shared" si="1"/>
        <v>1.125006727</v>
      </c>
    </row>
    <row r="172" hidden="1">
      <c r="A172" s="1" t="s">
        <v>2157</v>
      </c>
      <c r="B172" s="1">
        <v>0.24074613</v>
      </c>
      <c r="C172" s="56">
        <f t="shared" si="1"/>
        <v>1.120789889</v>
      </c>
    </row>
    <row r="173" hidden="1">
      <c r="A173" s="1" t="s">
        <v>2158</v>
      </c>
      <c r="B173" s="1">
        <v>0.25009061</v>
      </c>
      <c r="C173" s="56">
        <f t="shared" si="1"/>
        <v>0.9808234674</v>
      </c>
    </row>
    <row r="174" hidden="1">
      <c r="A174" s="1" t="s">
        <v>2159</v>
      </c>
      <c r="B174" s="1">
        <v>0.2577875</v>
      </c>
      <c r="C174" s="56">
        <f t="shared" si="1"/>
        <v>0.9383174619</v>
      </c>
    </row>
    <row r="175">
      <c r="A175" s="1" t="s">
        <v>2160</v>
      </c>
      <c r="B175" s="1">
        <v>0.26634118</v>
      </c>
      <c r="C175" s="56">
        <f t="shared" si="1"/>
        <v>0.9039313141</v>
      </c>
    </row>
    <row r="176" hidden="1">
      <c r="A176" s="1" t="s">
        <v>2161</v>
      </c>
      <c r="B176" s="1">
        <v>0.28198324</v>
      </c>
      <c r="C176" s="56">
        <f t="shared" si="1"/>
        <v>0.9187401973</v>
      </c>
    </row>
    <row r="177" hidden="1">
      <c r="A177" s="1" t="s">
        <v>2163</v>
      </c>
      <c r="B177" s="1">
        <v>0.29404738</v>
      </c>
      <c r="C177" s="56">
        <f t="shared" si="1"/>
        <v>0.8077821951</v>
      </c>
    </row>
    <row r="178" hidden="1">
      <c r="A178" s="1" t="s">
        <v>2164</v>
      </c>
      <c r="B178" s="1">
        <v>0.31272772</v>
      </c>
      <c r="C178" s="56">
        <f t="shared" si="1"/>
        <v>0.7339556095</v>
      </c>
    </row>
    <row r="179" hidden="1">
      <c r="A179" s="1" t="s">
        <v>2165</v>
      </c>
      <c r="B179" s="1">
        <v>0.32923232</v>
      </c>
      <c r="C179" s="56">
        <f t="shared" si="1"/>
        <v>0.7324920241</v>
      </c>
    </row>
    <row r="180" hidden="1">
      <c r="A180" s="1" t="s">
        <v>2167</v>
      </c>
      <c r="B180" s="1">
        <v>0.34330428</v>
      </c>
      <c r="C180" s="56">
        <f t="shared" si="1"/>
        <v>0.7231378184</v>
      </c>
    </row>
    <row r="181" hidden="1">
      <c r="A181" s="1" t="s">
        <v>2168</v>
      </c>
      <c r="B181" s="1">
        <v>0.35815555</v>
      </c>
      <c r="C181" s="56">
        <f t="shared" si="1"/>
        <v>0.6906421962</v>
      </c>
    </row>
    <row r="182" hidden="1">
      <c r="A182" s="1" t="s">
        <v>2169</v>
      </c>
      <c r="B182" s="1">
        <v>0.37003169</v>
      </c>
      <c r="C182" s="56">
        <f t="shared" si="1"/>
        <v>0.6740947429</v>
      </c>
    </row>
    <row r="183" hidden="1">
      <c r="A183" s="1" t="s">
        <v>2170</v>
      </c>
      <c r="B183" s="1">
        <v>0.38342338</v>
      </c>
      <c r="C183" s="56">
        <f t="shared" si="1"/>
        <v>0.6713900536</v>
      </c>
    </row>
    <row r="184" hidden="1">
      <c r="A184" s="1" t="s">
        <v>2172</v>
      </c>
      <c r="B184" s="1">
        <v>0.39599271</v>
      </c>
      <c r="C184" s="56">
        <f t="shared" si="1"/>
        <v>0.6448559734</v>
      </c>
    </row>
    <row r="185" hidden="1">
      <c r="A185" s="1" t="s">
        <v>2173</v>
      </c>
      <c r="B185" s="1">
        <v>0.40724884</v>
      </c>
      <c r="C185" s="56">
        <f t="shared" si="1"/>
        <v>0.6284051608</v>
      </c>
    </row>
    <row r="186" hidden="1">
      <c r="A186" s="1" t="s">
        <v>2174</v>
      </c>
      <c r="B186" s="1">
        <v>0.41938044</v>
      </c>
      <c r="C186" s="56">
        <f t="shared" si="1"/>
        <v>0.626845522</v>
      </c>
    </row>
    <row r="187">
      <c r="A187" s="1" t="s">
        <v>2175</v>
      </c>
      <c r="B187" s="1">
        <v>0.43403365</v>
      </c>
      <c r="C187" s="56">
        <f t="shared" si="1"/>
        <v>0.6296152551</v>
      </c>
    </row>
    <row r="188" hidden="1">
      <c r="A188" s="1" t="s">
        <v>2178</v>
      </c>
      <c r="B188" s="1">
        <v>0.44892941</v>
      </c>
      <c r="C188" s="56">
        <f t="shared" si="1"/>
        <v>0.5920428817</v>
      </c>
    </row>
    <row r="189" hidden="1">
      <c r="A189" s="1" t="s">
        <v>2179</v>
      </c>
      <c r="B189" s="1">
        <v>0.46799582</v>
      </c>
      <c r="C189" s="56">
        <f t="shared" si="1"/>
        <v>0.5915660259</v>
      </c>
    </row>
    <row r="190" hidden="1">
      <c r="A190" s="1" t="s">
        <v>2180</v>
      </c>
      <c r="B190" s="1">
        <v>0.50271145</v>
      </c>
      <c r="C190" s="56">
        <f t="shared" si="1"/>
        <v>0.6075052445</v>
      </c>
    </row>
    <row r="191" hidden="1">
      <c r="A191" s="1" t="s">
        <v>2181</v>
      </c>
      <c r="B191" s="1">
        <v>0.52359622</v>
      </c>
      <c r="C191" s="56">
        <f t="shared" si="1"/>
        <v>0.5903548595</v>
      </c>
    </row>
    <row r="192" hidden="1">
      <c r="A192" s="1" t="s">
        <v>2183</v>
      </c>
      <c r="B192" s="1">
        <v>0.5438854</v>
      </c>
      <c r="C192" s="56">
        <f t="shared" si="1"/>
        <v>0.5842662958</v>
      </c>
    </row>
    <row r="193" hidden="1">
      <c r="A193" s="1" t="s">
        <v>2184</v>
      </c>
      <c r="B193" s="1">
        <v>0.56062106</v>
      </c>
      <c r="C193" s="56">
        <f t="shared" si="1"/>
        <v>0.5653004958</v>
      </c>
    </row>
    <row r="194" hidden="1">
      <c r="A194" s="1" t="s">
        <v>2185</v>
      </c>
      <c r="B194" s="1">
        <v>0.57390224</v>
      </c>
      <c r="C194" s="56">
        <f t="shared" si="1"/>
        <v>0.550954298</v>
      </c>
    </row>
    <row r="195" hidden="1">
      <c r="A195" s="1" t="s">
        <v>2186</v>
      </c>
      <c r="B195" s="1">
        <v>0.58827559</v>
      </c>
      <c r="C195" s="56">
        <f t="shared" si="1"/>
        <v>0.5342715669</v>
      </c>
    </row>
    <row r="196" hidden="1">
      <c r="A196" s="1" t="s">
        <v>2187</v>
      </c>
      <c r="B196" s="1">
        <v>0.60876282</v>
      </c>
      <c r="C196" s="56">
        <f t="shared" si="1"/>
        <v>0.5373081489</v>
      </c>
    </row>
    <row r="197" hidden="1">
      <c r="A197" s="1" t="s">
        <v>2188</v>
      </c>
      <c r="B197" s="1">
        <v>0.63537685</v>
      </c>
      <c r="C197" s="56">
        <f t="shared" si="1"/>
        <v>0.5601685937</v>
      </c>
    </row>
    <row r="198" hidden="1">
      <c r="A198" s="1" t="s">
        <v>2189</v>
      </c>
      <c r="B198" s="1">
        <v>0.66075231</v>
      </c>
      <c r="C198" s="56">
        <f t="shared" si="1"/>
        <v>0.5755439381</v>
      </c>
    </row>
    <row r="199">
      <c r="A199" s="1" t="s">
        <v>2190</v>
      </c>
      <c r="B199" s="1">
        <v>0.68585222</v>
      </c>
      <c r="C199" s="56">
        <f t="shared" si="1"/>
        <v>0.5801821356</v>
      </c>
    </row>
    <row r="200" hidden="1">
      <c r="A200" s="1" t="s">
        <v>2192</v>
      </c>
      <c r="B200" s="1">
        <v>0.71749512</v>
      </c>
      <c r="C200" s="56">
        <f t="shared" si="1"/>
        <v>0.5982359454</v>
      </c>
    </row>
    <row r="201" hidden="1">
      <c r="A201" s="1" t="s">
        <v>2193</v>
      </c>
      <c r="B201" s="1">
        <v>0.76634013</v>
      </c>
      <c r="C201" s="56">
        <f t="shared" si="1"/>
        <v>0.6374935357</v>
      </c>
    </row>
    <row r="202" hidden="1">
      <c r="A202" s="1" t="s">
        <v>2194</v>
      </c>
      <c r="B202" s="1">
        <v>0.83409223</v>
      </c>
      <c r="C202" s="56">
        <f t="shared" si="1"/>
        <v>0.6591868556</v>
      </c>
    </row>
    <row r="203" hidden="1">
      <c r="A203" s="1" t="s">
        <v>2195</v>
      </c>
      <c r="B203" s="1">
        <v>0.87117448</v>
      </c>
      <c r="C203" s="56">
        <f t="shared" si="1"/>
        <v>0.6638288183</v>
      </c>
    </row>
    <row r="204" hidden="1">
      <c r="A204" s="1" t="s">
        <v>2196</v>
      </c>
      <c r="B204" s="1">
        <v>0.91166672</v>
      </c>
      <c r="C204" s="56">
        <f t="shared" si="1"/>
        <v>0.6762110548</v>
      </c>
    </row>
    <row r="205" hidden="1">
      <c r="A205" s="1" t="s">
        <v>2198</v>
      </c>
      <c r="B205" s="1">
        <v>0.95926311</v>
      </c>
      <c r="C205" s="56">
        <f t="shared" si="1"/>
        <v>0.7110721991</v>
      </c>
    </row>
    <row r="206" hidden="1">
      <c r="A206" s="1" t="s">
        <v>2199</v>
      </c>
      <c r="B206" s="1">
        <v>1.0125701</v>
      </c>
      <c r="C206" s="56">
        <f t="shared" si="1"/>
        <v>0.7643599021</v>
      </c>
    </row>
    <row r="207" hidden="1">
      <c r="A207" s="1" t="s">
        <v>2200</v>
      </c>
      <c r="B207" s="1">
        <v>1.07756664</v>
      </c>
      <c r="C207" s="56">
        <f t="shared" si="1"/>
        <v>0.8317378085</v>
      </c>
    </row>
    <row r="208" hidden="1">
      <c r="A208" s="1" t="s">
        <v>2201</v>
      </c>
      <c r="B208" s="1">
        <v>1.13133289</v>
      </c>
      <c r="C208" s="56">
        <f t="shared" si="1"/>
        <v>0.8584132487</v>
      </c>
    </row>
    <row r="209" hidden="1">
      <c r="A209" s="1" t="s">
        <v>2203</v>
      </c>
      <c r="B209" s="1">
        <v>1.22153124</v>
      </c>
      <c r="C209" s="56">
        <f t="shared" si="1"/>
        <v>0.9225302905</v>
      </c>
    </row>
    <row r="210" hidden="1">
      <c r="A210" s="1" t="s">
        <v>2204</v>
      </c>
      <c r="B210" s="1">
        <v>1.29481167</v>
      </c>
      <c r="C210" s="56">
        <f t="shared" si="1"/>
        <v>0.9596021844</v>
      </c>
    </row>
    <row r="211">
      <c r="A211" s="1" t="s">
        <v>2205</v>
      </c>
      <c r="B211" s="1">
        <v>1.36882403</v>
      </c>
      <c r="C211" s="56">
        <f t="shared" si="1"/>
        <v>0.9958002469</v>
      </c>
    </row>
    <row r="212" hidden="1">
      <c r="A212" s="1" t="s">
        <v>2207</v>
      </c>
      <c r="B212" s="1">
        <v>1.46130432</v>
      </c>
      <c r="C212" s="56">
        <f t="shared" si="1"/>
        <v>1.036674925</v>
      </c>
    </row>
    <row r="213" hidden="1">
      <c r="A213" s="1" t="s">
        <v>2208</v>
      </c>
      <c r="B213" s="1">
        <v>1.57673463</v>
      </c>
      <c r="C213" s="56">
        <f t="shared" si="1"/>
        <v>1.057486706</v>
      </c>
    </row>
    <row r="214" hidden="1">
      <c r="A214" s="1" t="s">
        <v>2209</v>
      </c>
      <c r="B214" s="1">
        <v>1.70440129</v>
      </c>
      <c r="C214" s="56">
        <f t="shared" si="1"/>
        <v>1.043420654</v>
      </c>
    </row>
    <row r="215" hidden="1">
      <c r="A215" s="1" t="s">
        <v>2212</v>
      </c>
      <c r="B215" s="1">
        <v>1.82738639</v>
      </c>
      <c r="C215" s="56">
        <f t="shared" si="1"/>
        <v>1.097612398</v>
      </c>
    </row>
    <row r="216" hidden="1">
      <c r="A216" s="1" t="s">
        <v>2213</v>
      </c>
      <c r="B216" s="1">
        <v>1.9481527</v>
      </c>
      <c r="C216" s="56">
        <f t="shared" si="1"/>
        <v>1.136913257</v>
      </c>
    </row>
    <row r="217" hidden="1">
      <c r="A217" s="1" t="s">
        <v>2214</v>
      </c>
      <c r="B217" s="1">
        <v>2.11860646</v>
      </c>
      <c r="C217" s="56">
        <f t="shared" si="1"/>
        <v>1.208577019</v>
      </c>
    </row>
    <row r="218" hidden="1">
      <c r="A218" s="1" t="s">
        <v>2215</v>
      </c>
      <c r="B218" s="1">
        <v>2.27832506</v>
      </c>
      <c r="C218" s="56">
        <f t="shared" si="1"/>
        <v>1.250041809</v>
      </c>
    </row>
    <row r="219" hidden="1">
      <c r="A219" s="1" t="s">
        <v>2216</v>
      </c>
      <c r="B219" s="1">
        <v>2.44314573</v>
      </c>
      <c r="C219" s="56">
        <f t="shared" si="1"/>
        <v>1.267280407</v>
      </c>
    </row>
    <row r="220" hidden="1">
      <c r="A220" s="1" t="s">
        <v>2218</v>
      </c>
      <c r="B220" s="1">
        <v>2.64102153</v>
      </c>
      <c r="C220" s="56">
        <f t="shared" si="1"/>
        <v>1.334433617</v>
      </c>
    </row>
    <row r="221" hidden="1">
      <c r="A221" s="1" t="s">
        <v>2219</v>
      </c>
      <c r="B221" s="1">
        <v>2.85687155</v>
      </c>
      <c r="C221" s="56">
        <f t="shared" si="1"/>
        <v>1.338762576</v>
      </c>
    </row>
    <row r="222" hidden="1">
      <c r="A222" s="1" t="s">
        <v>2220</v>
      </c>
      <c r="B222" s="1">
        <v>3.04508139</v>
      </c>
      <c r="C222" s="56">
        <f t="shared" si="1"/>
        <v>1.351756213</v>
      </c>
    </row>
    <row r="223">
      <c r="A223" s="1" t="s">
        <v>2221</v>
      </c>
      <c r="B223" s="1">
        <v>3.29884463</v>
      </c>
      <c r="C223" s="56">
        <f t="shared" si="1"/>
        <v>1.409984452</v>
      </c>
    </row>
    <row r="224" hidden="1">
      <c r="A224" s="1" t="s">
        <v>2223</v>
      </c>
      <c r="B224" s="1">
        <v>3.56051142</v>
      </c>
      <c r="C224" s="56">
        <f t="shared" si="1"/>
        <v>1.43652973</v>
      </c>
    </row>
    <row r="225" hidden="1">
      <c r="A225" s="1" t="s">
        <v>2225</v>
      </c>
      <c r="B225" s="1">
        <v>4.08639246</v>
      </c>
      <c r="C225" s="56">
        <f t="shared" si="1"/>
        <v>1.591680542</v>
      </c>
    </row>
    <row r="226" hidden="1">
      <c r="A226" s="1" t="s">
        <v>2226</v>
      </c>
      <c r="B226" s="1">
        <v>4.71824594</v>
      </c>
      <c r="C226" s="56">
        <f t="shared" si="1"/>
        <v>1.768271749</v>
      </c>
    </row>
    <row r="227" hidden="1">
      <c r="A227" s="1" t="s">
        <v>2227</v>
      </c>
      <c r="B227" s="1">
        <v>5.11178304</v>
      </c>
      <c r="C227" s="56">
        <f t="shared" si="1"/>
        <v>1.797319203</v>
      </c>
    </row>
    <row r="228" hidden="1">
      <c r="A228" s="1" t="s">
        <v>2229</v>
      </c>
      <c r="B228" s="1">
        <v>5.37354743</v>
      </c>
      <c r="C228" s="56">
        <f t="shared" si="1"/>
        <v>1.758278358</v>
      </c>
    </row>
    <row r="229" hidden="1">
      <c r="A229" s="1" t="s">
        <v>2231</v>
      </c>
      <c r="B229" s="1">
        <v>5.53894074</v>
      </c>
      <c r="C229" s="56">
        <f t="shared" si="1"/>
        <v>1.614426438</v>
      </c>
    </row>
    <row r="230" hidden="1">
      <c r="A230" s="1" t="s">
        <v>2232</v>
      </c>
      <c r="B230" s="1">
        <v>5.64610869</v>
      </c>
      <c r="C230" s="56">
        <f t="shared" si="1"/>
        <v>1.478183991</v>
      </c>
    </row>
    <row r="231" hidden="1">
      <c r="A231" s="1" t="s">
        <v>2233</v>
      </c>
      <c r="B231" s="1">
        <v>5.76129214</v>
      </c>
      <c r="C231" s="56">
        <f t="shared" si="1"/>
        <v>1.358145103</v>
      </c>
    </row>
    <row r="232" hidden="1">
      <c r="A232" s="1" t="s">
        <v>2235</v>
      </c>
      <c r="B232" s="1">
        <v>5.85745654</v>
      </c>
      <c r="C232" s="56">
        <f t="shared" si="1"/>
        <v>1.217875346</v>
      </c>
    </row>
    <row r="233" hidden="1">
      <c r="A233" s="1" t="s">
        <v>2236</v>
      </c>
      <c r="B233" s="1">
        <v>5.91134334</v>
      </c>
      <c r="C233" s="56">
        <f t="shared" si="1"/>
        <v>1.069166652</v>
      </c>
    </row>
    <row r="234" hidden="1">
      <c r="A234" s="1" t="s">
        <v>2237</v>
      </c>
      <c r="B234" s="1">
        <v>5.94513902</v>
      </c>
      <c r="C234" s="56">
        <f t="shared" si="1"/>
        <v>0.9523744224</v>
      </c>
    </row>
    <row r="235">
      <c r="A235" s="1" t="s">
        <v>2238</v>
      </c>
      <c r="B235" s="1">
        <v>5.99048648</v>
      </c>
      <c r="C235" s="56">
        <f t="shared" si="1"/>
        <v>0.8159347141</v>
      </c>
    </row>
    <row r="236" hidden="1">
      <c r="A236" s="1" t="s">
        <v>2239</v>
      </c>
      <c r="B236" s="1">
        <v>6.07065435</v>
      </c>
      <c r="C236" s="56">
        <f t="shared" si="1"/>
        <v>0.704995051</v>
      </c>
    </row>
    <row r="237" hidden="1">
      <c r="A237" s="1" t="s">
        <v>2240</v>
      </c>
      <c r="B237" s="1">
        <v>6.19731639</v>
      </c>
      <c r="C237" s="56">
        <f t="shared" si="1"/>
        <v>0.5165739587</v>
      </c>
    </row>
    <row r="238" hidden="1">
      <c r="A238" s="1" t="s">
        <v>2241</v>
      </c>
      <c r="B238" s="1">
        <v>6.34902379</v>
      </c>
      <c r="C238" s="56">
        <f t="shared" si="1"/>
        <v>0.3456322266</v>
      </c>
    </row>
    <row r="239" hidden="1">
      <c r="A239" s="1" t="s">
        <v>2243</v>
      </c>
      <c r="B239" s="1">
        <v>6.43518354</v>
      </c>
      <c r="C239" s="56">
        <f t="shared" si="1"/>
        <v>0.2588921497</v>
      </c>
    </row>
    <row r="240" hidden="1">
      <c r="A240" s="1" t="s">
        <v>2244</v>
      </c>
      <c r="B240" s="1">
        <v>6.5049449</v>
      </c>
      <c r="C240" s="56">
        <f t="shared" si="1"/>
        <v>0.2105494526</v>
      </c>
    </row>
    <row r="241" hidden="1">
      <c r="A241" s="1" t="s">
        <v>2245</v>
      </c>
      <c r="B241" s="1">
        <v>6.60222444</v>
      </c>
      <c r="C241" s="56">
        <f t="shared" si="1"/>
        <v>0.1919651699</v>
      </c>
    </row>
    <row r="242" hidden="1">
      <c r="A242" s="1" t="s">
        <v>2246</v>
      </c>
      <c r="B242" s="1">
        <v>6.69309877</v>
      </c>
      <c r="C242" s="56">
        <f t="shared" si="1"/>
        <v>0.1854356934</v>
      </c>
    </row>
    <row r="243" hidden="1">
      <c r="A243" s="1" t="s">
        <v>2247</v>
      </c>
      <c r="B243" s="1">
        <v>6.77438464</v>
      </c>
      <c r="C243" s="56">
        <f t="shared" si="1"/>
        <v>0.1758446674</v>
      </c>
    </row>
    <row r="244" hidden="1">
      <c r="A244" s="1" t="s">
        <v>2248</v>
      </c>
      <c r="B244" s="1">
        <v>6.84214822</v>
      </c>
      <c r="C244" s="56">
        <f t="shared" si="1"/>
        <v>0.1681090885</v>
      </c>
    </row>
    <row r="245" hidden="1">
      <c r="A245" s="1" t="s">
        <v>2249</v>
      </c>
      <c r="B245" s="1">
        <v>6.90733278</v>
      </c>
      <c r="C245" s="56">
        <f t="shared" si="1"/>
        <v>0.1684878348</v>
      </c>
    </row>
    <row r="246" hidden="1">
      <c r="A246" s="1" t="s">
        <v>2251</v>
      </c>
      <c r="B246" s="1">
        <v>6.9733928</v>
      </c>
      <c r="C246" s="56">
        <f t="shared" si="1"/>
        <v>0.1729570623</v>
      </c>
    </row>
    <row r="247">
      <c r="A247" s="1" t="s">
        <v>2252</v>
      </c>
      <c r="B247" s="1">
        <v>7.07652502</v>
      </c>
      <c r="C247" s="56">
        <f t="shared" si="1"/>
        <v>0.1812938805</v>
      </c>
    </row>
    <row r="248" hidden="1">
      <c r="A248" s="1" t="s">
        <v>2253</v>
      </c>
      <c r="B248" s="1">
        <v>7.17585544</v>
      </c>
      <c r="C248" s="56">
        <f t="shared" si="1"/>
        <v>0.1820563363</v>
      </c>
    </row>
    <row r="249" hidden="1">
      <c r="A249" s="1" t="s">
        <v>2255</v>
      </c>
      <c r="B249" s="1">
        <v>7.41802958</v>
      </c>
      <c r="C249" s="56">
        <f t="shared" si="1"/>
        <v>0.1969744827</v>
      </c>
    </row>
    <row r="250" hidden="1">
      <c r="A250" s="1" t="s">
        <v>2256</v>
      </c>
      <c r="B250" s="1">
        <v>7.7760373</v>
      </c>
      <c r="C250" s="56">
        <f t="shared" si="1"/>
        <v>0.2247610904</v>
      </c>
    </row>
    <row r="251" hidden="1">
      <c r="A251" s="1" t="s">
        <v>2257</v>
      </c>
      <c r="B251" s="1">
        <v>7.95211985</v>
      </c>
      <c r="C251" s="56">
        <f t="shared" si="1"/>
        <v>0.2357254149</v>
      </c>
    </row>
    <row r="252" hidden="1">
      <c r="A252" s="1" t="s">
        <v>2258</v>
      </c>
      <c r="B252" s="1">
        <v>8.09230992</v>
      </c>
      <c r="C252" s="56">
        <f t="shared" si="1"/>
        <v>0.2440243606</v>
      </c>
    </row>
    <row r="253" hidden="1">
      <c r="A253" s="1" t="s">
        <v>2259</v>
      </c>
      <c r="B253" s="1">
        <v>8.21547155</v>
      </c>
      <c r="C253" s="56">
        <f t="shared" si="1"/>
        <v>0.2443490258</v>
      </c>
    </row>
    <row r="254" hidden="1">
      <c r="A254" s="1" t="s">
        <v>2261</v>
      </c>
      <c r="B254" s="1">
        <v>8.35883768</v>
      </c>
      <c r="C254" s="56">
        <f t="shared" si="1"/>
        <v>0.2488740966</v>
      </c>
    </row>
    <row r="255" hidden="1">
      <c r="A255" s="1" t="s">
        <v>2262</v>
      </c>
      <c r="B255" s="1">
        <v>8.54293859</v>
      </c>
      <c r="C255" s="56">
        <f t="shared" si="1"/>
        <v>0.2610648854</v>
      </c>
    </row>
    <row r="256" hidden="1">
      <c r="A256" s="1" t="s">
        <v>2263</v>
      </c>
      <c r="B256" s="1">
        <v>8.69873483</v>
      </c>
      <c r="C256" s="56">
        <f t="shared" si="1"/>
        <v>0.2713455702</v>
      </c>
    </row>
    <row r="257" hidden="1">
      <c r="A257" s="1" t="s">
        <v>2264</v>
      </c>
      <c r="B257" s="1">
        <v>8.84695044</v>
      </c>
      <c r="C257" s="56">
        <f t="shared" si="1"/>
        <v>0.2808055905</v>
      </c>
    </row>
    <row r="258" hidden="1">
      <c r="A258" s="1" t="s">
        <v>2267</v>
      </c>
      <c r="B258" s="1">
        <v>8.97306137</v>
      </c>
      <c r="C258" s="56">
        <f t="shared" si="1"/>
        <v>0.2867569098</v>
      </c>
    </row>
    <row r="259">
      <c r="A259" s="1" t="s">
        <v>2268</v>
      </c>
      <c r="B259" s="1">
        <v>9.10205989</v>
      </c>
      <c r="C259" s="56">
        <f t="shared" si="1"/>
        <v>0.2862329836</v>
      </c>
    </row>
    <row r="260" hidden="1">
      <c r="A260" s="1" t="s">
        <v>2269</v>
      </c>
      <c r="B260" s="1">
        <v>9.3437231</v>
      </c>
      <c r="C260" s="56">
        <f t="shared" si="1"/>
        <v>0.3021058156</v>
      </c>
    </row>
    <row r="261" hidden="1">
      <c r="A261" s="1" t="s">
        <v>2270</v>
      </c>
      <c r="B261" s="1">
        <v>9.63821395</v>
      </c>
      <c r="C261" s="56">
        <f t="shared" si="1"/>
        <v>0.2992957019</v>
      </c>
    </row>
    <row r="262" hidden="1">
      <c r="A262" s="1" t="s">
        <v>2271</v>
      </c>
      <c r="B262" s="1">
        <v>9.88387989</v>
      </c>
      <c r="C262" s="56">
        <f t="shared" si="1"/>
        <v>0.2710689917</v>
      </c>
    </row>
    <row r="263" hidden="1">
      <c r="A263" s="1" t="s">
        <v>2273</v>
      </c>
      <c r="B263" s="1">
        <v>10.0564247</v>
      </c>
      <c r="C263" s="56">
        <f t="shared" si="1"/>
        <v>0.2646218731</v>
      </c>
    </row>
    <row r="264" hidden="1">
      <c r="A264" s="1" t="s">
        <v>2274</v>
      </c>
      <c r="B264" s="1">
        <v>10.1998396</v>
      </c>
      <c r="C264" s="56">
        <f t="shared" si="1"/>
        <v>0.2604361055</v>
      </c>
    </row>
    <row r="265" hidden="1">
      <c r="A265" s="1" t="s">
        <v>2275</v>
      </c>
      <c r="B265" s="1">
        <v>10.3066876</v>
      </c>
      <c r="C265" s="56">
        <f t="shared" si="1"/>
        <v>0.2545460765</v>
      </c>
    </row>
    <row r="266" hidden="1">
      <c r="A266" s="1" t="s">
        <v>2276</v>
      </c>
      <c r="B266" s="1">
        <v>10.4074417</v>
      </c>
      <c r="C266" s="56">
        <f t="shared" si="1"/>
        <v>0.2450824024</v>
      </c>
    </row>
    <row r="267" hidden="1">
      <c r="A267" s="1" t="s">
        <v>2278</v>
      </c>
      <c r="B267" s="1">
        <v>10.5166476</v>
      </c>
      <c r="C267" s="56">
        <f t="shared" si="1"/>
        <v>0.2310339691</v>
      </c>
    </row>
    <row r="268" hidden="1">
      <c r="A268" s="1" t="s">
        <v>2279</v>
      </c>
      <c r="B268" s="1">
        <v>10.6095843</v>
      </c>
      <c r="C268" s="56">
        <f t="shared" si="1"/>
        <v>0.2196698149</v>
      </c>
    </row>
    <row r="269" hidden="1">
      <c r="A269" s="1" t="s">
        <v>2280</v>
      </c>
      <c r="B269" s="1">
        <v>10.683423</v>
      </c>
      <c r="C269" s="56">
        <f t="shared" si="1"/>
        <v>0.2075825532</v>
      </c>
    </row>
    <row r="270" hidden="1">
      <c r="A270" s="1" t="s">
        <v>2281</v>
      </c>
      <c r="B270" s="1">
        <v>10.7898504</v>
      </c>
      <c r="C270" s="56">
        <f t="shared" si="1"/>
        <v>0.2024714816</v>
      </c>
    </row>
    <row r="271">
      <c r="A271" s="1" t="s">
        <v>2284</v>
      </c>
      <c r="B271" s="1">
        <v>10.9153427</v>
      </c>
      <c r="C271" s="56">
        <f t="shared" si="1"/>
        <v>0.1992167522</v>
      </c>
    </row>
    <row r="272" hidden="1">
      <c r="A272" s="1" t="s">
        <v>2285</v>
      </c>
      <c r="B272" s="1">
        <v>11.1863741</v>
      </c>
      <c r="C272" s="56">
        <f t="shared" si="1"/>
        <v>0.1972073637</v>
      </c>
    </row>
    <row r="273" hidden="1">
      <c r="A273" s="1" t="s">
        <v>2286</v>
      </c>
      <c r="B273" s="1">
        <v>11.4496799</v>
      </c>
      <c r="C273" s="56">
        <f t="shared" si="1"/>
        <v>0.1879462273</v>
      </c>
    </row>
    <row r="274" hidden="1">
      <c r="A274" s="1" t="s">
        <v>2287</v>
      </c>
      <c r="B274" s="1">
        <v>11.6577785</v>
      </c>
      <c r="C274" s="56">
        <f t="shared" si="1"/>
        <v>0.1794739141</v>
      </c>
    </row>
    <row r="275" hidden="1">
      <c r="A275" s="1" t="s">
        <v>2289</v>
      </c>
      <c r="B275" s="1">
        <v>11.7959004</v>
      </c>
      <c r="C275" s="56">
        <f t="shared" si="1"/>
        <v>0.172971583</v>
      </c>
    </row>
    <row r="276" hidden="1">
      <c r="A276" s="1" t="s">
        <v>2291</v>
      </c>
      <c r="B276" s="1">
        <v>11.9159477</v>
      </c>
      <c r="C276" s="56">
        <f t="shared" si="1"/>
        <v>0.1682485379</v>
      </c>
    </row>
    <row r="277" hidden="1">
      <c r="A277" s="1" t="s">
        <v>2292</v>
      </c>
      <c r="B277" s="1">
        <v>12.0221713</v>
      </c>
      <c r="C277" s="56">
        <f t="shared" si="1"/>
        <v>0.1664437467</v>
      </c>
    </row>
    <row r="278" hidden="1">
      <c r="A278" s="1" t="s">
        <v>2293</v>
      </c>
      <c r="B278" s="1">
        <v>12.1014379</v>
      </c>
      <c r="C278" s="56">
        <f t="shared" si="1"/>
        <v>0.1627677818</v>
      </c>
    </row>
    <row r="279" hidden="1">
      <c r="A279" s="1" t="s">
        <v>2296</v>
      </c>
      <c r="B279" s="1">
        <v>12.1833452</v>
      </c>
      <c r="C279" s="56">
        <f t="shared" si="1"/>
        <v>0.1584818341</v>
      </c>
    </row>
    <row r="280" hidden="1">
      <c r="A280" s="1" t="s">
        <v>2297</v>
      </c>
      <c r="B280" s="1">
        <v>12.2602724</v>
      </c>
      <c r="C280" s="56">
        <f t="shared" si="1"/>
        <v>0.1555846161</v>
      </c>
    </row>
    <row r="281" hidden="1">
      <c r="A281" s="1" t="s">
        <v>2298</v>
      </c>
      <c r="B281" s="1">
        <v>12.3355922</v>
      </c>
      <c r="C281" s="56">
        <f t="shared" si="1"/>
        <v>0.1546479251</v>
      </c>
    </row>
    <row r="282" hidden="1">
      <c r="A282" s="1" t="s">
        <v>2299</v>
      </c>
      <c r="B282" s="1">
        <v>12.4428965</v>
      </c>
      <c r="C282" s="56">
        <f t="shared" si="1"/>
        <v>0.1532038016</v>
      </c>
    </row>
    <row r="283">
      <c r="A283" s="1" t="s">
        <v>2301</v>
      </c>
      <c r="B283" s="1">
        <v>12.5324935</v>
      </c>
      <c r="C283" s="56">
        <f t="shared" si="1"/>
        <v>0.1481539192</v>
      </c>
    </row>
    <row r="284" hidden="1">
      <c r="A284" s="1" t="s">
        <v>2303</v>
      </c>
      <c r="B284" s="1">
        <v>12.6366203</v>
      </c>
      <c r="C284" s="56">
        <f t="shared" si="1"/>
        <v>0.1296439925</v>
      </c>
    </row>
    <row r="285" hidden="1">
      <c r="A285" s="1" t="s">
        <v>2304</v>
      </c>
      <c r="B285" s="1">
        <v>12.8165535</v>
      </c>
      <c r="C285" s="56">
        <f t="shared" si="1"/>
        <v>0.1193809444</v>
      </c>
    </row>
    <row r="286" hidden="1">
      <c r="A286" s="1" t="s">
        <v>2305</v>
      </c>
      <c r="B286" s="1">
        <v>12.9773198</v>
      </c>
      <c r="C286" s="56">
        <f t="shared" si="1"/>
        <v>0.1131897728</v>
      </c>
    </row>
    <row r="287" hidden="1">
      <c r="A287" s="1" t="s">
        <v>2306</v>
      </c>
      <c r="B287" s="1">
        <v>13.0833453</v>
      </c>
      <c r="C287" s="56">
        <f t="shared" si="1"/>
        <v>0.109143419</v>
      </c>
    </row>
    <row r="288" hidden="1">
      <c r="A288" s="1" t="s">
        <v>2308</v>
      </c>
      <c r="B288" s="1">
        <v>13.1595937</v>
      </c>
      <c r="C288" s="56">
        <f t="shared" si="1"/>
        <v>0.1043681989</v>
      </c>
    </row>
    <row r="289" hidden="1">
      <c r="A289" s="1" t="s">
        <v>2309</v>
      </c>
      <c r="B289" s="1">
        <v>13.2354804</v>
      </c>
      <c r="C289" s="56">
        <f t="shared" si="1"/>
        <v>0.1009226262</v>
      </c>
    </row>
    <row r="290" hidden="1">
      <c r="A290" s="1" t="s">
        <v>2310</v>
      </c>
      <c r="B290" s="1">
        <v>13.3111375</v>
      </c>
      <c r="C290" s="56">
        <f t="shared" si="1"/>
        <v>0.09996329444</v>
      </c>
    </row>
    <row r="291" hidden="1">
      <c r="A291" s="1" t="s">
        <v>2311</v>
      </c>
      <c r="B291" s="1">
        <v>13.3857971</v>
      </c>
      <c r="C291" s="56">
        <f t="shared" si="1"/>
        <v>0.09869636625</v>
      </c>
    </row>
    <row r="292" hidden="1">
      <c r="A292" s="1" t="s">
        <v>2313</v>
      </c>
      <c r="B292" s="1">
        <v>13.4501234</v>
      </c>
      <c r="C292" s="56">
        <f t="shared" si="1"/>
        <v>0.09704931189</v>
      </c>
    </row>
    <row r="293" hidden="1">
      <c r="A293" s="1" t="s">
        <v>2315</v>
      </c>
      <c r="B293" s="1">
        <v>13.5221122</v>
      </c>
      <c r="C293" s="56">
        <f t="shared" si="1"/>
        <v>0.0961867076</v>
      </c>
    </row>
    <row r="294" hidden="1">
      <c r="A294" s="1" t="s">
        <v>2316</v>
      </c>
      <c r="B294" s="1">
        <v>13.6222607</v>
      </c>
      <c r="C294" s="56">
        <f t="shared" si="1"/>
        <v>0.0947821273</v>
      </c>
    </row>
    <row r="295">
      <c r="A295" s="1" t="s">
        <v>2317</v>
      </c>
      <c r="B295" s="1">
        <v>13.677973</v>
      </c>
      <c r="C295" s="56">
        <f t="shared" si="1"/>
        <v>0.09140076554</v>
      </c>
    </row>
    <row r="296" hidden="1">
      <c r="A296" s="1" t="s">
        <v>2318</v>
      </c>
      <c r="B296" s="1">
        <v>13.7383024</v>
      </c>
      <c r="C296" s="56">
        <f t="shared" si="1"/>
        <v>0.08718170475</v>
      </c>
    </row>
    <row r="297" hidden="1">
      <c r="A297" s="1" t="s">
        <v>2321</v>
      </c>
      <c r="B297" s="1">
        <v>13.8430549</v>
      </c>
      <c r="C297" s="56">
        <f t="shared" si="1"/>
        <v>0.08009184372</v>
      </c>
    </row>
    <row r="298" hidden="1">
      <c r="A298" s="1" t="s">
        <v>2322</v>
      </c>
      <c r="B298" s="1">
        <v>13.950375</v>
      </c>
      <c r="C298" s="56">
        <f t="shared" si="1"/>
        <v>0.07498121453</v>
      </c>
    </row>
    <row r="299" hidden="1">
      <c r="A299" s="1" t="s">
        <v>2323</v>
      </c>
      <c r="B299" s="1">
        <v>14.0221241</v>
      </c>
      <c r="C299" s="56">
        <f t="shared" si="1"/>
        <v>0.071753728</v>
      </c>
    </row>
    <row r="300" hidden="1">
      <c r="A300" s="1" t="s">
        <v>2325</v>
      </c>
      <c r="B300" s="1">
        <v>14.0942248</v>
      </c>
      <c r="C300" s="56">
        <f t="shared" si="1"/>
        <v>0.07102279305</v>
      </c>
    </row>
    <row r="301" hidden="1">
      <c r="A301" s="1" t="s">
        <v>2326</v>
      </c>
      <c r="B301" s="1">
        <v>14.1632513</v>
      </c>
      <c r="C301" s="56">
        <f t="shared" si="1"/>
        <v>0.07009725918</v>
      </c>
    </row>
    <row r="302" hidden="1">
      <c r="A302" s="1" t="s">
        <v>2327</v>
      </c>
      <c r="B302" s="1">
        <v>14.2316822</v>
      </c>
      <c r="C302" s="56">
        <f t="shared" si="1"/>
        <v>0.06915597559</v>
      </c>
    </row>
    <row r="303" hidden="1">
      <c r="A303" s="1" t="s">
        <v>2328</v>
      </c>
      <c r="B303" s="1">
        <v>14.3028946</v>
      </c>
      <c r="C303" s="56">
        <f t="shared" si="1"/>
        <v>0.06851272981</v>
      </c>
    </row>
    <row r="304" hidden="1">
      <c r="A304" s="1" t="s">
        <v>2330</v>
      </c>
      <c r="B304" s="1">
        <v>14.3663268</v>
      </c>
      <c r="C304" s="56">
        <f t="shared" si="1"/>
        <v>0.06811858693</v>
      </c>
    </row>
    <row r="305" hidden="1">
      <c r="A305" s="1" t="s">
        <v>2331</v>
      </c>
      <c r="B305" s="1">
        <v>14.4332866</v>
      </c>
      <c r="C305" s="56">
        <f t="shared" si="1"/>
        <v>0.06738402895</v>
      </c>
    </row>
    <row r="306" hidden="1">
      <c r="A306" s="1" t="s">
        <v>2332</v>
      </c>
      <c r="B306" s="1">
        <v>14.5359366</v>
      </c>
      <c r="C306" s="56">
        <f t="shared" si="1"/>
        <v>0.0670722665</v>
      </c>
    </row>
    <row r="307">
      <c r="A307" s="1" t="s">
        <v>2334</v>
      </c>
      <c r="B307" s="1">
        <v>14.6122453</v>
      </c>
      <c r="C307" s="56">
        <f t="shared" si="1"/>
        <v>0.06830487968</v>
      </c>
    </row>
    <row r="308" hidden="1">
      <c r="A308" s="1" t="s">
        <v>2336</v>
      </c>
      <c r="B308" s="1">
        <v>14.6903609</v>
      </c>
      <c r="C308" s="56">
        <f t="shared" si="1"/>
        <v>0.06929957372</v>
      </c>
    </row>
    <row r="309" hidden="1">
      <c r="A309" s="1" t="s">
        <v>2337</v>
      </c>
      <c r="B309" s="1">
        <v>14.8192044</v>
      </c>
      <c r="C309" s="56">
        <f t="shared" si="1"/>
        <v>0.07051546837</v>
      </c>
    </row>
    <row r="310" hidden="1">
      <c r="A310" s="1" t="s">
        <v>2338</v>
      </c>
      <c r="B310" s="1">
        <v>15.3769909</v>
      </c>
      <c r="C310" s="56">
        <f t="shared" si="1"/>
        <v>0.1022636237</v>
      </c>
    </row>
    <row r="311" hidden="1">
      <c r="A311" s="1" t="s">
        <v>2340</v>
      </c>
      <c r="B311" s="1">
        <v>16.0287073</v>
      </c>
      <c r="C311" s="56">
        <f t="shared" si="1"/>
        <v>0.1431012296</v>
      </c>
    </row>
    <row r="312" hidden="1">
      <c r="A312" s="1" t="s">
        <v>2342</v>
      </c>
      <c r="B312" s="1">
        <v>16.9736172</v>
      </c>
      <c r="C312" s="56">
        <f t="shared" si="1"/>
        <v>0.2042959042</v>
      </c>
    </row>
    <row r="313" hidden="1">
      <c r="A313" s="1" t="s">
        <v>2343</v>
      </c>
      <c r="B313" s="1">
        <v>18.3261333</v>
      </c>
      <c r="C313" s="56">
        <f t="shared" si="1"/>
        <v>0.2939213541</v>
      </c>
    </row>
    <row r="314" hidden="1">
      <c r="A314" s="1" t="s">
        <v>2344</v>
      </c>
      <c r="B314" s="1">
        <v>19.0920902</v>
      </c>
      <c r="C314" s="56">
        <f t="shared" si="1"/>
        <v>0.3415202737</v>
      </c>
    </row>
    <row r="315" hidden="1">
      <c r="A315" s="1" t="s">
        <v>2345</v>
      </c>
      <c r="B315" s="1">
        <v>19.6980243</v>
      </c>
      <c r="C315" s="56">
        <f t="shared" si="1"/>
        <v>0.3772054434</v>
      </c>
    </row>
    <row r="316" hidden="1">
      <c r="A316" s="1" t="s">
        <v>2349</v>
      </c>
      <c r="B316" s="1">
        <v>20.0995884</v>
      </c>
      <c r="C316" s="56">
        <f t="shared" si="1"/>
        <v>0.3990763735</v>
      </c>
    </row>
    <row r="317" hidden="1">
      <c r="A317" s="1" t="s">
        <v>2350</v>
      </c>
      <c r="B317" s="1">
        <v>20.4329813</v>
      </c>
      <c r="C317" s="56">
        <f t="shared" si="1"/>
        <v>0.4156845815</v>
      </c>
    </row>
    <row r="318" hidden="1">
      <c r="A318" s="1" t="s">
        <v>2351</v>
      </c>
      <c r="B318" s="1">
        <v>20.8556425</v>
      </c>
      <c r="C318" s="56">
        <f t="shared" si="1"/>
        <v>0.4347642724</v>
      </c>
    </row>
    <row r="319">
      <c r="A319" s="1" t="s">
        <v>2352</v>
      </c>
      <c r="B319" s="1">
        <v>21.2847621</v>
      </c>
      <c r="C319" s="56">
        <f t="shared" si="1"/>
        <v>0.456638707</v>
      </c>
    </row>
    <row r="320" hidden="1">
      <c r="A320" s="1" t="s">
        <v>2356</v>
      </c>
      <c r="B320" s="1">
        <v>21.8096084</v>
      </c>
      <c r="C320" s="56">
        <f t="shared" si="1"/>
        <v>0.4846203268</v>
      </c>
    </row>
    <row r="321" hidden="1">
      <c r="A321" s="1" t="s">
        <v>2357</v>
      </c>
      <c r="B321" s="1">
        <v>22.5201673</v>
      </c>
      <c r="C321" s="56">
        <f t="shared" si="1"/>
        <v>0.5196610217</v>
      </c>
    </row>
    <row r="322" hidden="1">
      <c r="A322" s="1" t="s">
        <v>2358</v>
      </c>
      <c r="B322" s="1">
        <v>23.3297538</v>
      </c>
      <c r="C322" s="56">
        <f t="shared" si="1"/>
        <v>0.5171859014</v>
      </c>
    </row>
    <row r="323" hidden="1">
      <c r="A323" s="1" t="s">
        <v>2362</v>
      </c>
      <c r="B323" s="1">
        <v>23.874262</v>
      </c>
      <c r="C323" s="56">
        <f t="shared" si="1"/>
        <v>0.4894689605</v>
      </c>
    </row>
    <row r="324" hidden="1">
      <c r="A324" s="1" t="s">
        <v>2363</v>
      </c>
      <c r="B324" s="1">
        <v>24.3998259</v>
      </c>
      <c r="C324" s="56">
        <f t="shared" si="1"/>
        <v>0.437514798</v>
      </c>
    </row>
    <row r="325" hidden="1">
      <c r="A325" s="1" t="s">
        <v>2364</v>
      </c>
      <c r="B325" s="1">
        <v>25.0934496</v>
      </c>
      <c r="C325" s="56">
        <f t="shared" si="1"/>
        <v>0.3692713672</v>
      </c>
    </row>
    <row r="326" hidden="1">
      <c r="A326" s="1" t="s">
        <v>2366</v>
      </c>
      <c r="B326" s="1">
        <v>25.5508423</v>
      </c>
      <c r="C326" s="56">
        <f t="shared" si="1"/>
        <v>0.3382946567</v>
      </c>
    </row>
    <row r="327" hidden="1">
      <c r="A327" s="1" t="s">
        <v>2368</v>
      </c>
      <c r="B327" s="1">
        <v>25.9669017</v>
      </c>
      <c r="C327" s="56">
        <f t="shared" si="1"/>
        <v>0.3182490439</v>
      </c>
    </row>
    <row r="328" hidden="1">
      <c r="A328" s="1" t="s">
        <v>2369</v>
      </c>
      <c r="B328" s="1">
        <v>26.3360307</v>
      </c>
      <c r="C328" s="56">
        <f t="shared" si="1"/>
        <v>0.3102771149</v>
      </c>
    </row>
    <row r="329" hidden="1">
      <c r="A329" s="1" t="s">
        <v>2370</v>
      </c>
      <c r="B329" s="1">
        <v>26.6860717</v>
      </c>
      <c r="C329" s="56">
        <f t="shared" si="1"/>
        <v>0.3060292724</v>
      </c>
    </row>
    <row r="330" hidden="1">
      <c r="A330" s="1" t="s">
        <v>2372</v>
      </c>
      <c r="B330" s="1">
        <v>27.1127515</v>
      </c>
      <c r="C330" s="56">
        <f t="shared" si="1"/>
        <v>0.3000199586</v>
      </c>
    </row>
    <row r="331">
      <c r="A331" s="1" t="s">
        <v>2374</v>
      </c>
      <c r="B331" s="1">
        <v>27.4511675</v>
      </c>
      <c r="C331" s="56">
        <f t="shared" si="1"/>
        <v>0.2897098577</v>
      </c>
    </row>
    <row r="332" hidden="1">
      <c r="A332" s="1" t="s">
        <v>2375</v>
      </c>
      <c r="B332" s="1">
        <v>27.8670834</v>
      </c>
      <c r="C332" s="56">
        <f t="shared" si="1"/>
        <v>0.2777434096</v>
      </c>
    </row>
    <row r="333" hidden="1">
      <c r="A333" s="1" t="s">
        <v>2376</v>
      </c>
      <c r="B333" s="1">
        <v>28.7593365</v>
      </c>
      <c r="C333" s="56">
        <f t="shared" si="1"/>
        <v>0.2770480839</v>
      </c>
    </row>
    <row r="334" hidden="1">
      <c r="A334" s="1" t="s">
        <v>2379</v>
      </c>
      <c r="B334" s="1">
        <v>29.498886</v>
      </c>
      <c r="C334" s="56">
        <f t="shared" si="1"/>
        <v>0.2644319461</v>
      </c>
    </row>
    <row r="335" hidden="1">
      <c r="A335" s="1" t="s">
        <v>2381</v>
      </c>
      <c r="B335" s="1">
        <v>29.9945981</v>
      </c>
      <c r="C335" s="56">
        <f t="shared" si="1"/>
        <v>0.2563570803</v>
      </c>
    </row>
    <row r="336" hidden="1">
      <c r="A336" s="1" t="s">
        <v>2384</v>
      </c>
      <c r="B336" s="1">
        <v>30.3678891</v>
      </c>
      <c r="C336" s="56">
        <f t="shared" si="1"/>
        <v>0.2445944993</v>
      </c>
    </row>
    <row r="337" hidden="1">
      <c r="A337" s="1" t="s">
        <v>2385</v>
      </c>
      <c r="B337" s="1">
        <v>30.6959718</v>
      </c>
      <c r="C337" s="56">
        <f t="shared" si="1"/>
        <v>0.2232663221</v>
      </c>
    </row>
    <row r="338" hidden="1">
      <c r="A338" s="1" t="s">
        <v>2386</v>
      </c>
      <c r="B338" s="1">
        <v>30.9761194</v>
      </c>
      <c r="C338" s="56">
        <f t="shared" si="1"/>
        <v>0.2123326126</v>
      </c>
    </row>
    <row r="339" hidden="1">
      <c r="A339" s="1" t="s">
        <v>2387</v>
      </c>
      <c r="B339" s="1">
        <v>31.2509569</v>
      </c>
      <c r="C339" s="56">
        <f t="shared" si="1"/>
        <v>0.2034919399</v>
      </c>
    </row>
    <row r="340" hidden="1">
      <c r="A340" s="1" t="s">
        <v>2389</v>
      </c>
      <c r="B340" s="1">
        <v>31.523211</v>
      </c>
      <c r="C340" s="56">
        <f t="shared" si="1"/>
        <v>0.1969613553</v>
      </c>
    </row>
    <row r="341" hidden="1">
      <c r="A341" s="1" t="s">
        <v>2390</v>
      </c>
      <c r="B341" s="1">
        <v>31.8035022</v>
      </c>
      <c r="C341" s="56">
        <f t="shared" si="1"/>
        <v>0.1917640992</v>
      </c>
    </row>
    <row r="342" hidden="1">
      <c r="A342" s="1" t="s">
        <v>2391</v>
      </c>
      <c r="B342" s="1">
        <v>32.1996126</v>
      </c>
      <c r="C342" s="56">
        <f t="shared" si="1"/>
        <v>0.1876187705</v>
      </c>
    </row>
    <row r="343">
      <c r="A343" s="1" t="s">
        <v>2392</v>
      </c>
      <c r="B343" s="1">
        <v>32.4569408</v>
      </c>
      <c r="C343" s="56">
        <f t="shared" si="1"/>
        <v>0.1823519273</v>
      </c>
    </row>
    <row r="344" hidden="1">
      <c r="A344" s="1" t="s">
        <v>2395</v>
      </c>
      <c r="B344" s="1">
        <v>32.820042</v>
      </c>
      <c r="C344" s="56">
        <f t="shared" si="1"/>
        <v>0.1777350909</v>
      </c>
    </row>
    <row r="345" hidden="1">
      <c r="A345" s="1" t="s">
        <v>2396</v>
      </c>
      <c r="B345" s="1">
        <v>33.2798745</v>
      </c>
      <c r="C345" s="56">
        <f t="shared" si="1"/>
        <v>0.1571850588</v>
      </c>
    </row>
    <row r="346" hidden="1">
      <c r="A346" s="1" t="s">
        <v>2397</v>
      </c>
      <c r="B346" s="1">
        <v>34.0039241</v>
      </c>
      <c r="C346" s="56">
        <f t="shared" si="1"/>
        <v>0.152718923</v>
      </c>
    </row>
    <row r="347" hidden="1">
      <c r="A347" s="1" t="s">
        <v>2398</v>
      </c>
      <c r="B347" s="1">
        <v>34.5992378</v>
      </c>
      <c r="C347" s="56">
        <f t="shared" si="1"/>
        <v>0.1535156325</v>
      </c>
    </row>
    <row r="348" hidden="1">
      <c r="A348" s="1" t="s">
        <v>2399</v>
      </c>
      <c r="B348" s="1">
        <v>35.0045334</v>
      </c>
      <c r="C348" s="56">
        <f t="shared" si="1"/>
        <v>0.1526824695</v>
      </c>
    </row>
    <row r="349" hidden="1">
      <c r="A349" s="1" t="s">
        <v>2402</v>
      </c>
      <c r="B349" s="1">
        <v>35.3320421</v>
      </c>
      <c r="C349" s="56">
        <f t="shared" si="1"/>
        <v>0.151031879</v>
      </c>
    </row>
    <row r="350" hidden="1">
      <c r="A350" s="1" t="s">
        <v>2403</v>
      </c>
      <c r="B350" s="1">
        <v>35.6134814</v>
      </c>
      <c r="C350" s="56">
        <f t="shared" si="1"/>
        <v>0.1497076487</v>
      </c>
    </row>
    <row r="351" hidden="1">
      <c r="A351" s="1" t="s">
        <v>2404</v>
      </c>
      <c r="B351" s="1">
        <v>36.0344204</v>
      </c>
      <c r="C351" s="56">
        <f t="shared" si="1"/>
        <v>0.153066145</v>
      </c>
    </row>
    <row r="352" hidden="1">
      <c r="A352" s="1" t="s">
        <v>2407</v>
      </c>
      <c r="B352" s="1">
        <v>36.3818781</v>
      </c>
      <c r="C352" s="56">
        <f t="shared" si="1"/>
        <v>0.1541298283</v>
      </c>
    </row>
    <row r="353" hidden="1">
      <c r="A353" s="1" t="s">
        <v>2408</v>
      </c>
      <c r="B353" s="1">
        <v>36.7316321</v>
      </c>
      <c r="C353" s="56">
        <f t="shared" si="1"/>
        <v>0.1549555728</v>
      </c>
    </row>
    <row r="354" hidden="1">
      <c r="A354" s="1" t="s">
        <v>2409</v>
      </c>
      <c r="B354" s="1">
        <v>37.3273764</v>
      </c>
      <c r="C354" s="56">
        <f t="shared" si="1"/>
        <v>0.1592492389</v>
      </c>
    </row>
    <row r="355">
      <c r="A355" s="1" t="s">
        <v>2410</v>
      </c>
      <c r="B355" s="1">
        <v>37.8622689</v>
      </c>
      <c r="C355" s="56">
        <f t="shared" si="1"/>
        <v>0.1665384342</v>
      </c>
    </row>
    <row r="356" hidden="1">
      <c r="A356" s="1" t="s">
        <v>2413</v>
      </c>
      <c r="B356" s="1">
        <v>38.5327862</v>
      </c>
      <c r="C356" s="56">
        <f t="shared" si="1"/>
        <v>0.1740626718</v>
      </c>
    </row>
    <row r="357" hidden="1">
      <c r="A357" s="1" t="s">
        <v>2414</v>
      </c>
      <c r="B357" s="1">
        <v>39.4729743</v>
      </c>
      <c r="C357" s="56">
        <f t="shared" si="1"/>
        <v>0.1860914409</v>
      </c>
    </row>
    <row r="358" hidden="1">
      <c r="A358" s="1" t="s">
        <v>2415</v>
      </c>
      <c r="B358" s="1">
        <v>40.4697703</v>
      </c>
      <c r="C358" s="56">
        <f t="shared" si="1"/>
        <v>0.190150001</v>
      </c>
    </row>
    <row r="359" hidden="1">
      <c r="A359" s="1" t="s">
        <v>2416</v>
      </c>
      <c r="B359" s="1">
        <v>41.0136428</v>
      </c>
      <c r="C359" s="56">
        <f t="shared" si="1"/>
        <v>0.1853915117</v>
      </c>
    </row>
    <row r="360" hidden="1">
      <c r="A360" s="1" t="s">
        <v>2417</v>
      </c>
      <c r="B360" s="1">
        <v>41.3946838</v>
      </c>
      <c r="C360" s="56">
        <f t="shared" si="1"/>
        <v>0.1825520805</v>
      </c>
    </row>
    <row r="361" hidden="1">
      <c r="A361" s="1" t="s">
        <v>2418</v>
      </c>
      <c r="B361" s="1">
        <v>41.7745766</v>
      </c>
      <c r="C361" s="56">
        <f t="shared" si="1"/>
        <v>0.1823425457</v>
      </c>
    </row>
    <row r="362" hidden="1">
      <c r="A362" s="1" t="s">
        <v>2419</v>
      </c>
      <c r="B362" s="1">
        <v>42.0258771</v>
      </c>
      <c r="C362" s="56">
        <f t="shared" si="1"/>
        <v>0.1800552894</v>
      </c>
    </row>
    <row r="363" hidden="1">
      <c r="A363" s="1" t="s">
        <v>2420</v>
      </c>
      <c r="B363" s="1">
        <v>42.3020062</v>
      </c>
      <c r="C363" s="56">
        <f t="shared" si="1"/>
        <v>0.1739333041</v>
      </c>
    </row>
    <row r="364" hidden="1">
      <c r="A364" s="1" t="s">
        <v>2421</v>
      </c>
      <c r="B364" s="1">
        <v>42.5815798</v>
      </c>
      <c r="C364" s="56">
        <f t="shared" si="1"/>
        <v>0.1704063128</v>
      </c>
    </row>
    <row r="365" hidden="1">
      <c r="A365" s="1" t="s">
        <v>2422</v>
      </c>
      <c r="B365" s="1">
        <v>42.8212553</v>
      </c>
      <c r="C365" s="56">
        <f t="shared" si="1"/>
        <v>0.1657868941</v>
      </c>
    </row>
    <row r="366" hidden="1">
      <c r="A366" s="1" t="s">
        <v>2423</v>
      </c>
      <c r="B366" s="1">
        <v>43.2350184</v>
      </c>
      <c r="C366" s="56">
        <f t="shared" si="1"/>
        <v>0.1582656637</v>
      </c>
    </row>
    <row r="367">
      <c r="A367" s="1" t="s">
        <v>2424</v>
      </c>
      <c r="B367" s="1">
        <v>43.5088512</v>
      </c>
      <c r="C367" s="56">
        <f t="shared" si="1"/>
        <v>0.1491348106</v>
      </c>
    </row>
    <row r="368" hidden="1">
      <c r="A368" s="1" t="s">
        <v>2425</v>
      </c>
      <c r="B368" s="1">
        <v>43.8957764</v>
      </c>
      <c r="C368" s="56">
        <f t="shared" si="1"/>
        <v>0.1391799226</v>
      </c>
    </row>
    <row r="369" hidden="1">
      <c r="A369" s="1" t="s">
        <v>2426</v>
      </c>
      <c r="B369" s="1">
        <v>44.3355164</v>
      </c>
      <c r="C369" s="56">
        <f t="shared" si="1"/>
        <v>0.1231866153</v>
      </c>
    </row>
    <row r="370" hidden="1">
      <c r="A370" s="1" t="s">
        <v>2427</v>
      </c>
      <c r="B370" s="1">
        <v>44.9308301</v>
      </c>
      <c r="C370" s="56">
        <f t="shared" si="1"/>
        <v>0.1102319031</v>
      </c>
    </row>
    <row r="371" hidden="1">
      <c r="A371" s="1" t="s">
        <v>2428</v>
      </c>
      <c r="B371" s="1">
        <v>45.3293803</v>
      </c>
      <c r="C371" s="56">
        <f t="shared" si="1"/>
        <v>0.1052268759</v>
      </c>
    </row>
    <row r="372" hidden="1">
      <c r="A372" s="1" t="s">
        <v>2429</v>
      </c>
      <c r="B372" s="1">
        <v>45.5806808</v>
      </c>
      <c r="C372" s="56">
        <f t="shared" si="1"/>
        <v>0.101124024</v>
      </c>
    </row>
    <row r="373" hidden="1">
      <c r="A373" s="1" t="s">
        <v>2430</v>
      </c>
      <c r="B373" s="1">
        <v>45.8400183</v>
      </c>
      <c r="C373" s="56">
        <f t="shared" si="1"/>
        <v>0.09731856145</v>
      </c>
    </row>
    <row r="374" hidden="1">
      <c r="A374" s="1" t="s">
        <v>2431</v>
      </c>
      <c r="B374" s="1">
        <v>46.0113791</v>
      </c>
      <c r="C374" s="56">
        <f t="shared" si="1"/>
        <v>0.09483447521</v>
      </c>
    </row>
    <row r="375" hidden="1">
      <c r="A375" s="1" t="s">
        <v>2432</v>
      </c>
      <c r="B375" s="1">
        <v>46.2839202</v>
      </c>
      <c r="C375" s="56">
        <f t="shared" si="1"/>
        <v>0.09413061833</v>
      </c>
    </row>
    <row r="376" hidden="1">
      <c r="A376" s="1" t="s">
        <v>2433</v>
      </c>
      <c r="B376" s="1">
        <v>46.4644662</v>
      </c>
      <c r="C376" s="56">
        <f t="shared" si="1"/>
        <v>0.09118699725</v>
      </c>
    </row>
    <row r="377" hidden="1">
      <c r="A377" s="1" t="s">
        <v>2434</v>
      </c>
      <c r="B377" s="1">
        <v>46.7197852</v>
      </c>
      <c r="C377" s="56">
        <f t="shared" si="1"/>
        <v>0.09104193403</v>
      </c>
    </row>
    <row r="378" hidden="1">
      <c r="A378" s="1" t="s">
        <v>2435</v>
      </c>
      <c r="B378" s="1">
        <v>47.0610716</v>
      </c>
      <c r="C378" s="56">
        <f t="shared" si="1"/>
        <v>0.08849431182</v>
      </c>
    </row>
    <row r="379">
      <c r="A379" s="1" t="s">
        <v>2436</v>
      </c>
      <c r="B379" s="1">
        <v>47.3851358</v>
      </c>
      <c r="C379" s="56">
        <f t="shared" si="1"/>
        <v>0.08909186276</v>
      </c>
    </row>
    <row r="380" hidden="1">
      <c r="A380" s="1" t="s">
        <v>2437</v>
      </c>
      <c r="B380" s="1">
        <v>47.7902879</v>
      </c>
      <c r="C380" s="56">
        <f t="shared" si="1"/>
        <v>0.0887217819</v>
      </c>
    </row>
    <row r="381" hidden="1">
      <c r="A381" s="1" t="s">
        <v>2438</v>
      </c>
      <c r="B381" s="1">
        <v>48.3076712</v>
      </c>
      <c r="C381" s="56">
        <f t="shared" si="1"/>
        <v>0.08959306494</v>
      </c>
    </row>
    <row r="382" hidden="1">
      <c r="A382" s="65">
        <v>46023.0</v>
      </c>
      <c r="B382" s="1">
        <v>48.5754762</v>
      </c>
      <c r="C382" s="56">
        <f t="shared" si="1"/>
        <v>0.08111682094</v>
      </c>
    </row>
    <row r="383" hidden="1">
      <c r="A383" s="65">
        <v>46054.0</v>
      </c>
      <c r="B383" s="1">
        <v>48.5433282</v>
      </c>
      <c r="C383" s="56">
        <f t="shared" si="1"/>
        <v>0.07090209217</v>
      </c>
    </row>
    <row r="384" hidden="1">
      <c r="A384" s="65">
        <v>46082.0</v>
      </c>
      <c r="B384" s="1">
        <v>48.8508878</v>
      </c>
      <c r="C384" s="56">
        <f t="shared" si="1"/>
        <v>0.07174546195</v>
      </c>
    </row>
    <row r="385" hidden="1">
      <c r="A385" s="65">
        <v>46113.0</v>
      </c>
      <c r="B385" s="1">
        <v>49.0973086</v>
      </c>
      <c r="C385" s="56">
        <f t="shared" si="1"/>
        <v>0.07105778795</v>
      </c>
    </row>
    <row r="386" hidden="1">
      <c r="A386" s="65">
        <v>46143.0</v>
      </c>
      <c r="B386" s="1">
        <v>49.2099705</v>
      </c>
      <c r="C386" s="56">
        <f t="shared" si="1"/>
        <v>0.06951739901</v>
      </c>
    </row>
    <row r="387" hidden="1">
      <c r="A387" s="65">
        <v>46174.0</v>
      </c>
      <c r="B387" s="1">
        <v>49.3263638</v>
      </c>
      <c r="C387" s="56">
        <f t="shared" si="1"/>
        <v>0.06573435411</v>
      </c>
    </row>
    <row r="388" hidden="1">
      <c r="A388" s="65">
        <v>46204.0</v>
      </c>
      <c r="B388" s="1">
        <v>49.198202</v>
      </c>
      <c r="C388" s="56">
        <f t="shared" si="1"/>
        <v>0.058834977</v>
      </c>
    </row>
    <row r="389" hidden="1">
      <c r="A389" s="65">
        <v>46235.0</v>
      </c>
      <c r="B389" s="1">
        <v>49.4896875</v>
      </c>
      <c r="C389" s="56">
        <f t="shared" si="1"/>
        <v>0.05928756496</v>
      </c>
    </row>
    <row r="390" hidden="1">
      <c r="A390" s="65">
        <v>46266.0</v>
      </c>
      <c r="B390" s="1">
        <v>49.9503811</v>
      </c>
      <c r="C390" s="56">
        <f t="shared" si="1"/>
        <v>0.06139489395</v>
      </c>
    </row>
    <row r="391">
      <c r="A391" s="65">
        <v>46296.0</v>
      </c>
      <c r="B391" s="1">
        <v>50.1761354</v>
      </c>
      <c r="C391" s="56">
        <f t="shared" si="1"/>
        <v>0.05890031869</v>
      </c>
    </row>
    <row r="392" hidden="1">
      <c r="A392" s="65">
        <v>46327.0</v>
      </c>
      <c r="B392" s="1">
        <v>50.3651489</v>
      </c>
      <c r="C392" s="56">
        <f t="shared" si="1"/>
        <v>0.05387833204</v>
      </c>
    </row>
    <row r="393" hidden="1">
      <c r="A393" s="65">
        <v>46357.0</v>
      </c>
      <c r="B393" s="1">
        <v>50.4348988</v>
      </c>
      <c r="C393" s="56">
        <f t="shared" si="1"/>
        <v>0.04403498548</v>
      </c>
    </row>
    <row r="394" hidden="1">
      <c r="A394" s="65">
        <v>46024.0</v>
      </c>
      <c r="B394" s="1">
        <v>50.900472</v>
      </c>
      <c r="C394" s="56">
        <f t="shared" si="1"/>
        <v>0.04786357195</v>
      </c>
    </row>
    <row r="395" hidden="1">
      <c r="A395" s="65">
        <v>46055.0</v>
      </c>
      <c r="B395" s="1">
        <v>50.8677498</v>
      </c>
      <c r="C395" s="56">
        <f t="shared" si="1"/>
        <v>0.04788344117</v>
      </c>
    </row>
    <row r="396" hidden="1">
      <c r="A396" s="65">
        <v>46083.0</v>
      </c>
      <c r="B396" s="1">
        <v>51.1279484</v>
      </c>
      <c r="C396" s="56">
        <f t="shared" si="1"/>
        <v>0.04661247119</v>
      </c>
    </row>
    <row r="397" hidden="1">
      <c r="A397" s="65">
        <v>46114.0</v>
      </c>
      <c r="B397" s="1">
        <v>51.407235</v>
      </c>
      <c r="C397" s="56">
        <f t="shared" si="1"/>
        <v>0.04704792311</v>
      </c>
    </row>
    <row r="398" hidden="1">
      <c r="A398" s="65">
        <v>46144.0</v>
      </c>
      <c r="B398" s="1">
        <v>51.5114292</v>
      </c>
      <c r="C398" s="56">
        <f t="shared" si="1"/>
        <v>0.04676813818</v>
      </c>
    </row>
    <row r="399" hidden="1">
      <c r="A399" s="65">
        <v>46175.0</v>
      </c>
      <c r="B399" s="1">
        <v>51.7625862</v>
      </c>
      <c r="C399" s="56">
        <f t="shared" si="1"/>
        <v>0.04938986401</v>
      </c>
    </row>
    <row r="400" hidden="1">
      <c r="A400" s="65">
        <v>46205.0</v>
      </c>
      <c r="B400" s="1">
        <v>51.9111814</v>
      </c>
      <c r="C400" s="56">
        <f t="shared" si="1"/>
        <v>0.05514387294</v>
      </c>
    </row>
    <row r="401" hidden="1">
      <c r="A401" s="65">
        <v>46236.0</v>
      </c>
      <c r="B401" s="1">
        <v>52.1085603</v>
      </c>
      <c r="C401" s="56">
        <f t="shared" si="1"/>
        <v>0.0529175457</v>
      </c>
    </row>
    <row r="402" hidden="1">
      <c r="A402" s="65">
        <v>46267.0</v>
      </c>
      <c r="B402" s="1">
        <v>52.4219836</v>
      </c>
      <c r="C402" s="56">
        <f t="shared" si="1"/>
        <v>0.04948115401</v>
      </c>
    </row>
    <row r="403">
      <c r="A403" s="65">
        <v>46297.0</v>
      </c>
      <c r="B403" s="1">
        <v>52.6530361</v>
      </c>
      <c r="C403" s="56">
        <f t="shared" si="1"/>
        <v>0.04936411862</v>
      </c>
    </row>
    <row r="404" hidden="1">
      <c r="A404" s="65">
        <v>46328.0</v>
      </c>
      <c r="B404" s="1">
        <v>53.0788773</v>
      </c>
      <c r="C404" s="56">
        <f t="shared" si="1"/>
        <v>0.05388107569</v>
      </c>
    </row>
    <row r="405" hidden="1">
      <c r="A405" s="65">
        <v>46358.0</v>
      </c>
      <c r="B405" s="1">
        <v>53.3099298</v>
      </c>
      <c r="C405" s="56">
        <f t="shared" si="1"/>
        <v>0.05700479367</v>
      </c>
    </row>
    <row r="406" hidden="1">
      <c r="A406" s="65">
        <v>46025.0</v>
      </c>
      <c r="B406" s="1">
        <v>53.5254407</v>
      </c>
      <c r="C406" s="56">
        <f t="shared" si="1"/>
        <v>0.05157061608</v>
      </c>
    </row>
    <row r="407" hidden="1">
      <c r="A407" s="65">
        <v>46056.0</v>
      </c>
      <c r="B407" s="1">
        <v>53.6741225</v>
      </c>
      <c r="C407" s="56">
        <f t="shared" si="1"/>
        <v>0.05516997923</v>
      </c>
    </row>
    <row r="408" hidden="1">
      <c r="A408" s="65">
        <v>46084.0</v>
      </c>
      <c r="B408" s="1">
        <v>54.0129304</v>
      </c>
      <c r="C408" s="56">
        <f t="shared" si="1"/>
        <v>0.05642671162</v>
      </c>
    </row>
    <row r="409" hidden="1">
      <c r="A409" s="65">
        <v>46115.0</v>
      </c>
      <c r="B409" s="1">
        <v>54.1051442</v>
      </c>
      <c r="C409" s="56">
        <f t="shared" si="1"/>
        <v>0.05248111866</v>
      </c>
    </row>
    <row r="410" hidden="1">
      <c r="A410" s="65">
        <v>46145.0</v>
      </c>
      <c r="B410" s="1">
        <v>53.9305597</v>
      </c>
      <c r="C410" s="56">
        <f t="shared" si="1"/>
        <v>0.04696298545</v>
      </c>
    </row>
    <row r="411" hidden="1">
      <c r="A411" s="65">
        <v>46176.0</v>
      </c>
      <c r="B411" s="1">
        <v>53.9751124</v>
      </c>
      <c r="C411" s="56">
        <f t="shared" si="1"/>
        <v>0.0427437337</v>
      </c>
    </row>
    <row r="412" hidden="1">
      <c r="A412" s="65">
        <v>46206.0</v>
      </c>
      <c r="B412" s="1">
        <v>54.0533387</v>
      </c>
      <c r="C412" s="56">
        <f t="shared" si="1"/>
        <v>0.04126581677</v>
      </c>
    </row>
    <row r="413" hidden="1">
      <c r="A413" s="65">
        <v>46237.0</v>
      </c>
      <c r="B413" s="1">
        <v>54.2154899</v>
      </c>
      <c r="C413" s="56">
        <f t="shared" si="1"/>
        <v>0.04043346406</v>
      </c>
    </row>
    <row r="414" hidden="1">
      <c r="A414" s="65">
        <v>46268.0</v>
      </c>
      <c r="B414" s="1">
        <v>54.5382382</v>
      </c>
      <c r="C414" s="56">
        <f t="shared" si="1"/>
        <v>0.04036960173</v>
      </c>
    </row>
    <row r="415">
      <c r="A415" s="65">
        <v>46298.0</v>
      </c>
      <c r="B415" s="1">
        <v>54.7382074</v>
      </c>
      <c r="C415" s="56">
        <f t="shared" si="1"/>
        <v>0.03960210948</v>
      </c>
    </row>
    <row r="416" hidden="1">
      <c r="A416" s="65">
        <v>46329.0</v>
      </c>
      <c r="B416" s="1">
        <v>55.1925416</v>
      </c>
      <c r="C416" s="56">
        <f t="shared" si="1"/>
        <v>0.03982119456</v>
      </c>
    </row>
    <row r="417" hidden="1">
      <c r="A417" s="65">
        <v>46359.0</v>
      </c>
      <c r="B417" s="1">
        <v>55.4298108</v>
      </c>
      <c r="C417" s="56">
        <f t="shared" si="1"/>
        <v>0.03976521837</v>
      </c>
    </row>
    <row r="418" hidden="1">
      <c r="A418" s="65">
        <v>46026.0</v>
      </c>
      <c r="B418" s="1">
        <v>55.7743173</v>
      </c>
      <c r="C418" s="56">
        <f t="shared" si="1"/>
        <v>0.04201509732</v>
      </c>
    </row>
    <row r="419" hidden="1">
      <c r="A419" s="65">
        <v>46057.0</v>
      </c>
      <c r="B419" s="1">
        <v>56.1079448</v>
      </c>
      <c r="C419" s="56">
        <f t="shared" si="1"/>
        <v>0.04534442645</v>
      </c>
    </row>
    <row r="420" hidden="1">
      <c r="A420" s="65">
        <v>46085.0</v>
      </c>
      <c r="B420" s="1">
        <v>56.2980709</v>
      </c>
      <c r="C420" s="56">
        <f t="shared" si="1"/>
        <v>0.04230728611</v>
      </c>
    </row>
    <row r="421" hidden="1">
      <c r="A421" s="65">
        <v>46116.0</v>
      </c>
      <c r="B421" s="1">
        <v>56.383032</v>
      </c>
      <c r="C421" s="56">
        <f t="shared" si="1"/>
        <v>0.04210113167</v>
      </c>
    </row>
    <row r="422" hidden="1">
      <c r="A422" s="65">
        <v>46146.0</v>
      </c>
      <c r="B422" s="1">
        <v>56.2416029</v>
      </c>
      <c r="C422" s="56">
        <f t="shared" si="1"/>
        <v>0.04285220129</v>
      </c>
    </row>
    <row r="423" hidden="1">
      <c r="A423" s="65">
        <v>46177.0</v>
      </c>
      <c r="B423" s="1">
        <v>56.3317445</v>
      </c>
      <c r="C423" s="56">
        <f t="shared" si="1"/>
        <v>0.04366145794</v>
      </c>
    </row>
    <row r="424" hidden="1">
      <c r="A424" s="65">
        <v>46207.0</v>
      </c>
      <c r="B424" s="1">
        <v>56.4793902</v>
      </c>
      <c r="C424" s="56">
        <f t="shared" si="1"/>
        <v>0.04488254673</v>
      </c>
    </row>
    <row r="425" hidden="1">
      <c r="A425" s="65">
        <v>46238.0</v>
      </c>
      <c r="B425" s="1">
        <v>56.8280412</v>
      </c>
      <c r="C425" s="56">
        <f t="shared" si="1"/>
        <v>0.0481882817</v>
      </c>
    </row>
    <row r="426" hidden="1">
      <c r="A426" s="65">
        <v>46269.0</v>
      </c>
      <c r="B426" s="1">
        <v>57.297917</v>
      </c>
      <c r="C426" s="56">
        <f t="shared" si="1"/>
        <v>0.0506008058</v>
      </c>
    </row>
    <row r="427">
      <c r="A427" s="65">
        <v>46299.0</v>
      </c>
      <c r="B427" s="1">
        <v>57.6947472</v>
      </c>
      <c r="C427" s="56">
        <f t="shared" si="1"/>
        <v>0.05401236066</v>
      </c>
    </row>
    <row r="428" hidden="1">
      <c r="A428" s="65">
        <v>46330.0</v>
      </c>
      <c r="B428" s="1">
        <v>58.1868994</v>
      </c>
      <c r="C428" s="56">
        <f t="shared" si="1"/>
        <v>0.05425294276</v>
      </c>
    </row>
    <row r="429" hidden="1">
      <c r="A429" s="65">
        <v>46360.0</v>
      </c>
      <c r="B429" s="1">
        <v>58.3070882</v>
      </c>
      <c r="C429" s="56">
        <f t="shared" si="1"/>
        <v>0.05190848315</v>
      </c>
    </row>
    <row r="430" hidden="1">
      <c r="A430" s="65">
        <v>46027.0</v>
      </c>
      <c r="B430" s="1">
        <v>58.3091604</v>
      </c>
      <c r="C430" s="56">
        <f t="shared" si="1"/>
        <v>0.04544821385</v>
      </c>
    </row>
    <row r="431" hidden="1">
      <c r="A431" s="65">
        <v>46058.0</v>
      </c>
      <c r="B431" s="1">
        <v>58.503431</v>
      </c>
      <c r="C431" s="56">
        <f t="shared" si="1"/>
        <v>0.04269424247</v>
      </c>
    </row>
    <row r="432" hidden="1">
      <c r="A432" s="65">
        <v>46086.0</v>
      </c>
      <c r="B432" s="1">
        <v>58.767121</v>
      </c>
      <c r="C432" s="56">
        <f t="shared" si="1"/>
        <v>0.0438567443</v>
      </c>
    </row>
    <row r="433" hidden="1">
      <c r="A433" s="65">
        <v>46117.0</v>
      </c>
      <c r="B433" s="1">
        <v>58.9764152</v>
      </c>
      <c r="C433" s="56">
        <f t="shared" si="1"/>
        <v>0.04599580952</v>
      </c>
    </row>
    <row r="434" hidden="1">
      <c r="A434" s="65">
        <v>46147.0</v>
      </c>
      <c r="B434" s="1">
        <v>58.8282515</v>
      </c>
      <c r="C434" s="56">
        <f t="shared" si="1"/>
        <v>0.04599172973</v>
      </c>
    </row>
    <row r="435" hidden="1">
      <c r="A435" s="65">
        <v>46178.0</v>
      </c>
      <c r="B435" s="1">
        <v>58.7717835</v>
      </c>
      <c r="C435" s="56">
        <f t="shared" si="1"/>
        <v>0.04331552345</v>
      </c>
    </row>
    <row r="436" hidden="1">
      <c r="A436" s="65">
        <v>46208.0</v>
      </c>
      <c r="B436" s="1">
        <v>59.0017999</v>
      </c>
      <c r="C436" s="56">
        <f t="shared" si="1"/>
        <v>0.04466071059</v>
      </c>
    </row>
    <row r="437" hidden="1">
      <c r="A437" s="65">
        <v>46239.0</v>
      </c>
      <c r="B437" s="1">
        <v>59.0722554</v>
      </c>
      <c r="C437" s="56">
        <f t="shared" si="1"/>
        <v>0.03949131718</v>
      </c>
    </row>
    <row r="438" hidden="1">
      <c r="A438" s="65">
        <v>46270.0</v>
      </c>
      <c r="B438" s="1">
        <v>59.3090065</v>
      </c>
      <c r="C438" s="56">
        <f t="shared" si="1"/>
        <v>0.03509882392</v>
      </c>
    </row>
    <row r="439">
      <c r="A439" s="65">
        <v>46300.0</v>
      </c>
      <c r="B439" s="1">
        <v>59.4545799</v>
      </c>
      <c r="C439" s="56">
        <f t="shared" si="1"/>
        <v>0.03050247701</v>
      </c>
    </row>
    <row r="440" hidden="1">
      <c r="A440" s="65">
        <v>46331.0</v>
      </c>
      <c r="B440" s="1">
        <v>59.8824934</v>
      </c>
      <c r="C440" s="56">
        <f t="shared" si="1"/>
        <v>0.02914047694</v>
      </c>
    </row>
    <row r="441" hidden="1">
      <c r="A441" s="65">
        <v>46361.0</v>
      </c>
      <c r="B441" s="1">
        <v>60.2503124</v>
      </c>
      <c r="C441" s="56">
        <f t="shared" si="1"/>
        <v>0.03332740941</v>
      </c>
    </row>
    <row r="442" hidden="1">
      <c r="A442" s="65">
        <v>46028.0</v>
      </c>
      <c r="B442" s="1">
        <v>60.6036259</v>
      </c>
      <c r="C442" s="56">
        <f t="shared" si="1"/>
        <v>0.03935000066</v>
      </c>
    </row>
    <row r="443" hidden="1">
      <c r="A443" s="65">
        <v>46059.0</v>
      </c>
      <c r="B443" s="1">
        <v>60.6963577</v>
      </c>
      <c r="C443" s="56">
        <f t="shared" si="1"/>
        <v>0.03748372809</v>
      </c>
    </row>
    <row r="444" hidden="1">
      <c r="A444" s="65">
        <v>46087.0</v>
      </c>
      <c r="B444" s="1">
        <v>60.7725118</v>
      </c>
      <c r="C444" s="56">
        <f t="shared" si="1"/>
        <v>0.03412436692</v>
      </c>
    </row>
    <row r="445" hidden="1">
      <c r="A445" s="65">
        <v>46118.0</v>
      </c>
      <c r="B445" s="1">
        <v>60.8616173</v>
      </c>
      <c r="C445" s="56">
        <f t="shared" si="1"/>
        <v>0.03196535587</v>
      </c>
    </row>
    <row r="446" hidden="1">
      <c r="A446" s="65">
        <v>46148.0</v>
      </c>
      <c r="B446" s="1">
        <v>60.5906745</v>
      </c>
      <c r="C446" s="56">
        <f t="shared" si="1"/>
        <v>0.02995878604</v>
      </c>
    </row>
    <row r="447" hidden="1">
      <c r="A447" s="65">
        <v>46179.0</v>
      </c>
      <c r="B447" s="1">
        <v>60.6429981</v>
      </c>
      <c r="C447" s="56">
        <f t="shared" si="1"/>
        <v>0.03183865604</v>
      </c>
    </row>
    <row r="448" hidden="1">
      <c r="A448" s="65">
        <v>46209.0</v>
      </c>
      <c r="B448" s="1">
        <v>60.8092937</v>
      </c>
      <c r="C448" s="56">
        <f t="shared" si="1"/>
        <v>0.03063455357</v>
      </c>
    </row>
    <row r="449" hidden="1">
      <c r="A449" s="65">
        <v>46240.0</v>
      </c>
      <c r="B449" s="1">
        <v>61.1196086</v>
      </c>
      <c r="C449" s="56">
        <f t="shared" si="1"/>
        <v>0.0346584566</v>
      </c>
    </row>
    <row r="450" hidden="1">
      <c r="A450" s="65">
        <v>46271.0</v>
      </c>
      <c r="B450" s="1">
        <v>61.7366121</v>
      </c>
      <c r="C450" s="56">
        <f t="shared" si="1"/>
        <v>0.04093148315</v>
      </c>
    </row>
    <row r="451">
      <c r="A451" s="65">
        <v>46301.0</v>
      </c>
      <c r="B451" s="1">
        <v>62.0065188</v>
      </c>
      <c r="C451" s="56">
        <f t="shared" si="1"/>
        <v>0.04292249486</v>
      </c>
    </row>
    <row r="452" hidden="1">
      <c r="A452" s="65">
        <v>46332.0</v>
      </c>
      <c r="B452" s="1">
        <v>62.3318573</v>
      </c>
      <c r="C452" s="56">
        <f t="shared" si="1"/>
        <v>0.04090283756</v>
      </c>
    </row>
    <row r="453" hidden="1">
      <c r="A453" s="65">
        <v>46362.0</v>
      </c>
      <c r="B453" s="1">
        <v>62.6924236</v>
      </c>
      <c r="C453" s="56">
        <f t="shared" si="1"/>
        <v>0.04053275581</v>
      </c>
    </row>
    <row r="454" hidden="1">
      <c r="A454" s="65">
        <v>46029.0</v>
      </c>
      <c r="B454" s="1">
        <v>63.0162079</v>
      </c>
      <c r="C454" s="56">
        <f t="shared" si="1"/>
        <v>0.03980920224</v>
      </c>
    </row>
    <row r="455" hidden="1">
      <c r="A455" s="65">
        <v>46060.0</v>
      </c>
      <c r="B455" s="1">
        <v>63.1923466</v>
      </c>
      <c r="C455" s="56">
        <f t="shared" si="1"/>
        <v>0.04112254828</v>
      </c>
    </row>
    <row r="456" hidden="1">
      <c r="A456" s="65">
        <v>46088.0</v>
      </c>
      <c r="B456" s="1">
        <v>63.3291131</v>
      </c>
      <c r="C456" s="56">
        <f t="shared" si="1"/>
        <v>0.04206838296</v>
      </c>
    </row>
    <row r="457" hidden="1">
      <c r="A457" s="65">
        <v>46119.0</v>
      </c>
      <c r="B457" s="1">
        <v>63.2912951</v>
      </c>
      <c r="C457" s="56">
        <f t="shared" si="1"/>
        <v>0.03992134793</v>
      </c>
    </row>
    <row r="458" hidden="1">
      <c r="A458" s="65">
        <v>46149.0</v>
      </c>
      <c r="B458" s="1">
        <v>62.9825344</v>
      </c>
      <c r="C458" s="56">
        <f t="shared" si="1"/>
        <v>0.03947571008</v>
      </c>
    </row>
    <row r="459" hidden="1">
      <c r="A459" s="65">
        <v>46180.0</v>
      </c>
      <c r="B459" s="1">
        <v>63.0581704</v>
      </c>
      <c r="C459" s="56">
        <f t="shared" si="1"/>
        <v>0.03982607021</v>
      </c>
    </row>
    <row r="460" hidden="1">
      <c r="A460" s="65">
        <v>46210.0</v>
      </c>
      <c r="B460" s="1">
        <v>63.3260048</v>
      </c>
      <c r="C460" s="56">
        <f t="shared" si="1"/>
        <v>0.04138694839</v>
      </c>
    </row>
    <row r="461" hidden="1">
      <c r="A461" s="65">
        <v>46241.0</v>
      </c>
      <c r="B461" s="1">
        <v>63.5839962</v>
      </c>
      <c r="C461" s="56">
        <f t="shared" si="1"/>
        <v>0.04032073595</v>
      </c>
    </row>
    <row r="462" hidden="1">
      <c r="A462" s="65">
        <v>46272.0</v>
      </c>
      <c r="B462" s="1">
        <v>64.0777026</v>
      </c>
      <c r="C462" s="56">
        <f t="shared" si="1"/>
        <v>0.03792061826</v>
      </c>
    </row>
    <row r="463">
      <c r="A463" s="65">
        <v>46302.0</v>
      </c>
      <c r="B463" s="1">
        <v>64.3274051</v>
      </c>
      <c r="C463" s="56">
        <f t="shared" si="1"/>
        <v>0.03742971457</v>
      </c>
    </row>
    <row r="464" hidden="1">
      <c r="A464" s="65">
        <v>46333.0</v>
      </c>
      <c r="B464" s="1">
        <v>64.7812213</v>
      </c>
      <c r="C464" s="56">
        <f t="shared" si="1"/>
        <v>0.03929554013</v>
      </c>
    </row>
    <row r="465" hidden="1">
      <c r="A465" s="65">
        <v>46363.0</v>
      </c>
      <c r="B465" s="1">
        <v>65.0490557</v>
      </c>
      <c r="C465" s="56">
        <f t="shared" si="1"/>
        <v>0.03759038118</v>
      </c>
    </row>
    <row r="466" hidden="1">
      <c r="A466" s="65">
        <v>46030.0</v>
      </c>
      <c r="B466" s="1">
        <v>65.3505637</v>
      </c>
      <c r="C466" s="56">
        <f t="shared" si="1"/>
        <v>0.03704373649</v>
      </c>
    </row>
    <row r="467" hidden="1">
      <c r="A467" s="65">
        <v>46061.0</v>
      </c>
      <c r="B467" s="1">
        <v>65.5448343</v>
      </c>
      <c r="C467" s="56">
        <f t="shared" si="1"/>
        <v>0.03722741481</v>
      </c>
    </row>
    <row r="468" hidden="1">
      <c r="A468" s="65">
        <v>46089.0</v>
      </c>
      <c r="B468" s="1">
        <v>66.0198907</v>
      </c>
      <c r="C468" s="56">
        <f t="shared" si="1"/>
        <v>0.04248879336</v>
      </c>
    </row>
    <row r="469" hidden="1">
      <c r="A469" s="65">
        <v>46120.0</v>
      </c>
      <c r="B469" s="1">
        <v>66.1701267</v>
      </c>
      <c r="C469" s="56">
        <f t="shared" si="1"/>
        <v>0.04548542727</v>
      </c>
    </row>
    <row r="470" hidden="1">
      <c r="A470" s="65">
        <v>46150.0</v>
      </c>
      <c r="B470" s="1">
        <v>66.0986351</v>
      </c>
      <c r="C470" s="56">
        <f t="shared" si="1"/>
        <v>0.04947563209</v>
      </c>
    </row>
    <row r="471" hidden="1">
      <c r="A471" s="65">
        <v>46181.0</v>
      </c>
      <c r="B471" s="1">
        <v>66.3721681</v>
      </c>
      <c r="C471" s="56">
        <f t="shared" si="1"/>
        <v>0.05255461234</v>
      </c>
    </row>
    <row r="472" hidden="1">
      <c r="A472" s="65">
        <v>46211.0</v>
      </c>
      <c r="B472" s="1">
        <v>66.7420594</v>
      </c>
      <c r="C472" s="56">
        <f t="shared" si="1"/>
        <v>0.05394394626</v>
      </c>
    </row>
    <row r="473" hidden="1">
      <c r="A473" s="65">
        <v>46242.0</v>
      </c>
      <c r="B473" s="1">
        <v>67.1274923</v>
      </c>
      <c r="C473" s="56">
        <f t="shared" si="1"/>
        <v>0.05572937078</v>
      </c>
    </row>
    <row r="474" hidden="1">
      <c r="A474" s="65">
        <v>46273.0</v>
      </c>
      <c r="B474" s="1">
        <v>67.5849348</v>
      </c>
      <c r="C474" s="56">
        <f t="shared" si="1"/>
        <v>0.05473405034</v>
      </c>
    </row>
    <row r="475">
      <c r="A475" s="65">
        <v>46303.0</v>
      </c>
      <c r="B475" s="1">
        <v>68.0454857</v>
      </c>
      <c r="C475" s="56">
        <f t="shared" si="1"/>
        <v>0.0577993251</v>
      </c>
    </row>
    <row r="476" hidden="1">
      <c r="A476" s="65">
        <v>46334.0</v>
      </c>
      <c r="B476" s="1">
        <v>68.8189418</v>
      </c>
      <c r="C476" s="56">
        <f t="shared" si="1"/>
        <v>0.06232856403</v>
      </c>
    </row>
    <row r="477" hidden="1">
      <c r="A477" s="65">
        <v>46364.0</v>
      </c>
      <c r="B477" s="1">
        <v>69.2955524</v>
      </c>
      <c r="C477" s="56">
        <f t="shared" si="1"/>
        <v>0.06528145035</v>
      </c>
    </row>
    <row r="478" hidden="1">
      <c r="A478" s="65">
        <v>46031.0</v>
      </c>
      <c r="B478" s="1">
        <v>69.4561494</v>
      </c>
      <c r="C478" s="56">
        <f t="shared" si="1"/>
        <v>0.06282402886</v>
      </c>
    </row>
    <row r="479" hidden="1">
      <c r="A479" s="65">
        <v>46062.0</v>
      </c>
      <c r="B479" s="1">
        <v>69.6094937</v>
      </c>
      <c r="C479" s="56">
        <f t="shared" si="1"/>
        <v>0.06201342094</v>
      </c>
    </row>
    <row r="480" hidden="1">
      <c r="A480" s="65">
        <v>46090.0</v>
      </c>
      <c r="B480" s="1">
        <v>70.0099502</v>
      </c>
      <c r="C480" s="56">
        <f t="shared" si="1"/>
        <v>0.06043723274</v>
      </c>
    </row>
    <row r="481" hidden="1">
      <c r="A481" s="65">
        <v>46121.0</v>
      </c>
      <c r="B481" s="1">
        <v>70.2549902</v>
      </c>
      <c r="C481" s="56">
        <f t="shared" si="1"/>
        <v>0.06173274412</v>
      </c>
    </row>
    <row r="482" hidden="1">
      <c r="A482" s="65">
        <v>46151.0</v>
      </c>
      <c r="B482" s="1">
        <v>70.0503585</v>
      </c>
      <c r="C482" s="56">
        <f t="shared" si="1"/>
        <v>0.05978524964</v>
      </c>
    </row>
    <row r="483" hidden="1">
      <c r="A483" s="65">
        <v>46182.0</v>
      </c>
      <c r="B483" s="1">
        <v>70.1793542</v>
      </c>
      <c r="C483" s="56">
        <f t="shared" si="1"/>
        <v>0.05736118329</v>
      </c>
    </row>
    <row r="484" hidden="1">
      <c r="A484" s="65">
        <v>46212.0</v>
      </c>
      <c r="B484" s="1">
        <v>70.3705164</v>
      </c>
      <c r="C484" s="56">
        <f t="shared" si="1"/>
        <v>0.05436537369</v>
      </c>
    </row>
    <row r="485" hidden="1">
      <c r="A485" s="65">
        <v>46243.0</v>
      </c>
      <c r="B485" s="1">
        <v>70.5388843</v>
      </c>
      <c r="C485" s="56">
        <f t="shared" si="1"/>
        <v>0.05081959542</v>
      </c>
    </row>
    <row r="486" hidden="1">
      <c r="A486" s="65">
        <v>46274.0</v>
      </c>
      <c r="B486" s="1">
        <v>70.8927159</v>
      </c>
      <c r="C486" s="56">
        <f t="shared" si="1"/>
        <v>0.04894258032</v>
      </c>
    </row>
    <row r="487">
      <c r="A487" s="65">
        <v>46304.0</v>
      </c>
      <c r="B487" s="1">
        <v>71.1071906</v>
      </c>
      <c r="C487" s="56">
        <f t="shared" si="1"/>
        <v>0.04499497459</v>
      </c>
    </row>
    <row r="488" hidden="1">
      <c r="A488" s="65">
        <v>46335.0</v>
      </c>
      <c r="B488" s="1">
        <v>71.4760458</v>
      </c>
      <c r="C488" s="56">
        <f t="shared" si="1"/>
        <v>0.03861006767</v>
      </c>
    </row>
    <row r="489" hidden="1">
      <c r="A489" s="65">
        <v>46365.0</v>
      </c>
      <c r="B489" s="1">
        <v>71.7718552</v>
      </c>
      <c r="C489" s="56">
        <f t="shared" si="1"/>
        <v>0.0357353786</v>
      </c>
    </row>
    <row r="490" hidden="1">
      <c r="A490" s="66">
        <v>46032.0</v>
      </c>
      <c r="B490" s="1">
        <v>72.552046</v>
      </c>
      <c r="C490" s="56">
        <f t="shared" si="1"/>
        <v>0.04457339813</v>
      </c>
    </row>
    <row r="491" hidden="1">
      <c r="A491" s="66">
        <v>46063.0</v>
      </c>
      <c r="B491" s="1">
        <v>72.9716705</v>
      </c>
      <c r="C491" s="56">
        <f t="shared" si="1"/>
        <v>0.04830054956</v>
      </c>
    </row>
    <row r="492" hidden="1">
      <c r="A492" s="66">
        <v>46091.0</v>
      </c>
      <c r="B492" s="1">
        <v>73.4897255</v>
      </c>
      <c r="C492" s="56">
        <f t="shared" si="1"/>
        <v>0.0497040105</v>
      </c>
    </row>
    <row r="493" hidden="1">
      <c r="A493" s="66">
        <v>46122.0</v>
      </c>
      <c r="B493" s="1">
        <v>73.2555646</v>
      </c>
      <c r="C493" s="56">
        <f t="shared" si="1"/>
        <v>0.04270976896</v>
      </c>
    </row>
    <row r="494" hidden="1">
      <c r="A494" s="66">
        <v>46152.0</v>
      </c>
      <c r="B494" s="1">
        <v>72.7939777</v>
      </c>
      <c r="C494" s="56">
        <f t="shared" si="1"/>
        <v>0.03916638342</v>
      </c>
    </row>
    <row r="495" hidden="1">
      <c r="A495" s="66">
        <v>46183.0</v>
      </c>
      <c r="B495" s="1">
        <v>72.7711832</v>
      </c>
      <c r="C495" s="56">
        <f t="shared" si="1"/>
        <v>0.03693150257</v>
      </c>
    </row>
    <row r="496" hidden="1">
      <c r="A496" s="66">
        <v>46213.0</v>
      </c>
      <c r="B496" s="1">
        <v>72.92919</v>
      </c>
      <c r="C496" s="56">
        <f t="shared" si="1"/>
        <v>0.03636002307</v>
      </c>
    </row>
    <row r="497" hidden="1">
      <c r="A497" s="66">
        <v>46244.0</v>
      </c>
      <c r="B497" s="1">
        <v>73.1317495</v>
      </c>
      <c r="C497" s="56">
        <f t="shared" si="1"/>
        <v>0.03675795592</v>
      </c>
    </row>
    <row r="498" hidden="1">
      <c r="A498" s="66">
        <v>46275.0</v>
      </c>
      <c r="B498" s="1">
        <v>73.5151102</v>
      </c>
      <c r="C498" s="56">
        <f t="shared" si="1"/>
        <v>0.03699102604</v>
      </c>
    </row>
    <row r="499">
      <c r="A499" s="66">
        <v>46305.0</v>
      </c>
      <c r="B499" s="1">
        <v>73.9689264</v>
      </c>
      <c r="C499" s="56">
        <f t="shared" si="1"/>
        <v>0.0402453785</v>
      </c>
    </row>
    <row r="500" hidden="1">
      <c r="A500" s="66">
        <v>46336.0</v>
      </c>
      <c r="B500" s="1">
        <v>74.5615812</v>
      </c>
      <c r="C500" s="56">
        <f t="shared" si="1"/>
        <v>0.04316880383</v>
      </c>
    </row>
    <row r="501" hidden="1">
      <c r="A501" s="66">
        <v>46366.0</v>
      </c>
      <c r="B501" s="1">
        <v>74.9309545</v>
      </c>
      <c r="C501" s="56">
        <f t="shared" si="1"/>
        <v>0.04401585122</v>
      </c>
    </row>
    <row r="502" hidden="1">
      <c r="A502" s="66">
        <v>46033.0</v>
      </c>
      <c r="B502" s="1">
        <v>75.2959913</v>
      </c>
      <c r="C502" s="56">
        <f t="shared" si="1"/>
        <v>0.03782037105</v>
      </c>
    </row>
    <row r="503" hidden="1">
      <c r="A503" s="66">
        <v>46064.0</v>
      </c>
      <c r="B503" s="1">
        <v>75.5784602</v>
      </c>
      <c r="C503" s="56">
        <f t="shared" si="1"/>
        <v>0.03572331128</v>
      </c>
    </row>
    <row r="504" hidden="1">
      <c r="A504" s="66">
        <v>46092.0</v>
      </c>
      <c r="B504" s="1">
        <v>75.7234509</v>
      </c>
      <c r="C504" s="56">
        <f t="shared" si="1"/>
        <v>0.03039507067</v>
      </c>
    </row>
    <row r="505" hidden="1">
      <c r="A505" s="66">
        <v>46123.0</v>
      </c>
      <c r="B505" s="1">
        <v>75.717441</v>
      </c>
      <c r="C505" s="56">
        <f t="shared" si="1"/>
        <v>0.03360668112</v>
      </c>
    </row>
    <row r="506" hidden="1">
      <c r="A506" s="66">
        <v>46153.0</v>
      </c>
      <c r="B506" s="1">
        <v>75.1592644</v>
      </c>
      <c r="C506" s="56">
        <f t="shared" si="1"/>
        <v>0.03249288986</v>
      </c>
    </row>
    <row r="507" hidden="1">
      <c r="A507" s="66">
        <v>46184.0</v>
      </c>
      <c r="B507" s="1">
        <v>75.1555081</v>
      </c>
      <c r="C507" s="56">
        <f t="shared" si="1"/>
        <v>0.03276468507</v>
      </c>
    </row>
    <row r="508" hidden="1">
      <c r="A508" s="66">
        <v>46214.0</v>
      </c>
      <c r="B508" s="1">
        <v>75.5161067</v>
      </c>
      <c r="C508" s="56">
        <f t="shared" si="1"/>
        <v>0.03547162254</v>
      </c>
    </row>
    <row r="509" hidden="1">
      <c r="A509" s="66">
        <v>46245.0</v>
      </c>
      <c r="B509" s="1">
        <v>75.635555</v>
      </c>
      <c r="C509" s="56">
        <f t="shared" si="1"/>
        <v>0.03423691512</v>
      </c>
    </row>
    <row r="510" hidden="1">
      <c r="A510" s="66">
        <v>46276.0</v>
      </c>
      <c r="B510" s="1">
        <v>75.821113</v>
      </c>
      <c r="C510" s="56">
        <f t="shared" si="1"/>
        <v>0.03136773915</v>
      </c>
    </row>
    <row r="511">
      <c r="A511" s="66">
        <v>46306.0</v>
      </c>
      <c r="B511" s="1">
        <v>76.3327123</v>
      </c>
      <c r="C511" s="56">
        <f t="shared" si="1"/>
        <v>0.03195647166</v>
      </c>
    </row>
    <row r="512" hidden="1">
      <c r="A512" s="66">
        <v>46337.0</v>
      </c>
      <c r="B512" s="1">
        <v>77.1583328</v>
      </c>
      <c r="C512" s="56">
        <f t="shared" si="1"/>
        <v>0.03482693846</v>
      </c>
    </row>
    <row r="513" hidden="1">
      <c r="A513" s="66">
        <v>46367.0</v>
      </c>
      <c r="B513" s="1">
        <v>77.7923854</v>
      </c>
      <c r="C513" s="56">
        <f t="shared" si="1"/>
        <v>0.03818756773</v>
      </c>
    </row>
    <row r="514" hidden="1">
      <c r="A514" s="66">
        <v>46034.0</v>
      </c>
      <c r="B514" s="1">
        <v>78.3430495</v>
      </c>
      <c r="C514" s="56">
        <f t="shared" si="1"/>
        <v>0.0404677347</v>
      </c>
    </row>
    <row r="515" hidden="1">
      <c r="A515" s="66">
        <v>46065.0</v>
      </c>
      <c r="B515" s="1">
        <v>78.5023138</v>
      </c>
      <c r="C515" s="56">
        <f t="shared" si="1"/>
        <v>0.0386863346</v>
      </c>
    </row>
    <row r="516" hidden="1">
      <c r="A516" s="66">
        <v>46093.0</v>
      </c>
      <c r="B516" s="1">
        <v>78.5473887</v>
      </c>
      <c r="C516" s="56">
        <f t="shared" si="1"/>
        <v>0.03729277742</v>
      </c>
    </row>
    <row r="517" hidden="1">
      <c r="A517" s="66">
        <v>46124.0</v>
      </c>
      <c r="B517" s="1">
        <v>78.3009796</v>
      </c>
      <c r="C517" s="56">
        <f t="shared" si="1"/>
        <v>0.03412078599</v>
      </c>
    </row>
    <row r="518" hidden="1">
      <c r="A518" s="66">
        <v>46154.0</v>
      </c>
      <c r="B518" s="1">
        <v>78.0538193</v>
      </c>
      <c r="C518" s="56">
        <f t="shared" si="1"/>
        <v>0.03851228352</v>
      </c>
    </row>
    <row r="519" hidden="1">
      <c r="A519" s="66">
        <v>46185.0</v>
      </c>
      <c r="B519" s="1">
        <v>78.4136667</v>
      </c>
      <c r="C519" s="56">
        <f t="shared" si="1"/>
        <v>0.04335222637</v>
      </c>
    </row>
    <row r="520" hidden="1">
      <c r="A520" s="66">
        <v>46215.0</v>
      </c>
      <c r="B520" s="1">
        <v>78.8538975</v>
      </c>
      <c r="C520" s="56">
        <f t="shared" si="1"/>
        <v>0.04419972038</v>
      </c>
    </row>
    <row r="521" hidden="1">
      <c r="A521" s="66">
        <v>46246.0</v>
      </c>
      <c r="B521" s="1">
        <v>79.0905403</v>
      </c>
      <c r="C521" s="56">
        <f t="shared" si="1"/>
        <v>0.04567938055</v>
      </c>
    </row>
    <row r="522" hidden="1">
      <c r="A522" s="66">
        <v>46277.0</v>
      </c>
      <c r="B522" s="1">
        <v>79.4391189</v>
      </c>
      <c r="C522" s="56">
        <f t="shared" si="1"/>
        <v>0.04771765748</v>
      </c>
    </row>
    <row r="523">
      <c r="A523" s="66">
        <v>46307.0</v>
      </c>
      <c r="B523" s="1">
        <v>79.8410361</v>
      </c>
      <c r="C523" s="56">
        <f t="shared" si="1"/>
        <v>0.04596094773</v>
      </c>
    </row>
    <row r="524" hidden="1">
      <c r="A524" s="66">
        <v>46338.0</v>
      </c>
      <c r="B524" s="1">
        <v>80.3834365</v>
      </c>
      <c r="C524" s="56">
        <f t="shared" si="1"/>
        <v>0.0417985146</v>
      </c>
    </row>
    <row r="525" hidden="1">
      <c r="A525" s="66">
        <v>46368.0</v>
      </c>
      <c r="B525" s="1">
        <v>80.5682433</v>
      </c>
      <c r="C525" s="56">
        <f t="shared" si="1"/>
        <v>0.03568289988</v>
      </c>
    </row>
    <row r="526" hidden="1">
      <c r="A526" s="66">
        <v>46035.0</v>
      </c>
      <c r="B526" s="1">
        <v>80.892782</v>
      </c>
      <c r="C526" s="56">
        <f t="shared" si="1"/>
        <v>0.03254573975</v>
      </c>
    </row>
    <row r="527" hidden="1">
      <c r="A527" s="66">
        <v>46066.0</v>
      </c>
      <c r="B527" s="1">
        <v>81.290943</v>
      </c>
      <c r="C527" s="56">
        <f t="shared" si="1"/>
        <v>0.03552289181</v>
      </c>
    </row>
    <row r="528" hidden="1">
      <c r="A528" s="66">
        <v>46094.0</v>
      </c>
      <c r="B528" s="1">
        <v>81.8874331</v>
      </c>
      <c r="C528" s="56">
        <f t="shared" si="1"/>
        <v>0.04252266632</v>
      </c>
    </row>
    <row r="529" hidden="1">
      <c r="A529" s="66">
        <v>46125.0</v>
      </c>
      <c r="B529" s="1">
        <v>81.9415229</v>
      </c>
      <c r="C529" s="56">
        <f t="shared" si="1"/>
        <v>0.04649422419</v>
      </c>
    </row>
    <row r="530" hidden="1">
      <c r="A530" s="66">
        <v>46155.0</v>
      </c>
      <c r="B530" s="1">
        <v>81.6688202</v>
      </c>
      <c r="C530" s="56">
        <f t="shared" si="1"/>
        <v>0.046314209</v>
      </c>
    </row>
    <row r="531" hidden="1">
      <c r="A531" s="66">
        <v>46186.0</v>
      </c>
      <c r="B531" s="1">
        <v>81.6192379</v>
      </c>
      <c r="C531" s="56">
        <f t="shared" si="1"/>
        <v>0.0408802615</v>
      </c>
    </row>
    <row r="532" hidden="1">
      <c r="A532" s="66">
        <v>46216.0</v>
      </c>
      <c r="B532" s="1">
        <v>81.592193</v>
      </c>
      <c r="C532" s="56">
        <f t="shared" si="1"/>
        <v>0.03472619093</v>
      </c>
    </row>
    <row r="533" hidden="1">
      <c r="A533" s="66">
        <v>46247.0</v>
      </c>
      <c r="B533" s="1">
        <v>81.8243284</v>
      </c>
      <c r="C533" s="56">
        <f t="shared" si="1"/>
        <v>0.03456529807</v>
      </c>
    </row>
    <row r="534" hidden="1">
      <c r="A534" s="66">
        <v>46278.0</v>
      </c>
      <c r="B534" s="1">
        <v>82.1323397</v>
      </c>
      <c r="C534" s="56">
        <f t="shared" si="1"/>
        <v>0.03390295408</v>
      </c>
    </row>
    <row r="535">
      <c r="A535" s="66">
        <v>46308.0</v>
      </c>
      <c r="B535" s="1">
        <v>82.5229882</v>
      </c>
      <c r="C535" s="56">
        <f t="shared" si="1"/>
        <v>0.0335911485</v>
      </c>
    </row>
    <row r="536" hidden="1">
      <c r="A536" s="66">
        <v>46339.0</v>
      </c>
      <c r="B536" s="1">
        <v>83.2922652</v>
      </c>
      <c r="C536" s="56">
        <f t="shared" si="1"/>
        <v>0.03618691644</v>
      </c>
    </row>
    <row r="537" hidden="1">
      <c r="A537" s="66">
        <v>46369.0</v>
      </c>
      <c r="B537" s="1">
        <v>83.7700583</v>
      </c>
      <c r="C537" s="56">
        <f t="shared" si="1"/>
        <v>0.03974040973</v>
      </c>
    </row>
    <row r="538" hidden="1">
      <c r="A538" s="66">
        <v>46036.0</v>
      </c>
      <c r="B538" s="1">
        <v>84.5190516</v>
      </c>
      <c r="C538" s="56">
        <f t="shared" si="1"/>
        <v>0.04482809851</v>
      </c>
    </row>
    <row r="539" hidden="1">
      <c r="A539" s="66">
        <v>46067.0</v>
      </c>
      <c r="B539" s="1">
        <v>84.733157</v>
      </c>
      <c r="C539" s="56">
        <f t="shared" si="1"/>
        <v>0.04234437285</v>
      </c>
    </row>
    <row r="540" hidden="1">
      <c r="A540" s="66">
        <v>46095.0</v>
      </c>
      <c r="B540" s="1">
        <v>84.9652924</v>
      </c>
      <c r="C540" s="56">
        <f t="shared" si="1"/>
        <v>0.03758646698</v>
      </c>
    </row>
    <row r="541" hidden="1">
      <c r="A541" s="66">
        <v>46126.0</v>
      </c>
      <c r="B541" s="1">
        <v>84.8067793</v>
      </c>
      <c r="C541" s="56">
        <f t="shared" si="1"/>
        <v>0.03496708749</v>
      </c>
    </row>
    <row r="542" hidden="1">
      <c r="A542" s="66">
        <v>46156.0</v>
      </c>
      <c r="B542" s="1">
        <v>84.5355791</v>
      </c>
      <c r="C542" s="56">
        <f t="shared" si="1"/>
        <v>0.03510224457</v>
      </c>
    </row>
    <row r="543" hidden="1">
      <c r="A543" s="66">
        <v>46187.0</v>
      </c>
      <c r="B543" s="1">
        <v>84.6820722</v>
      </c>
      <c r="C543" s="56">
        <f t="shared" si="1"/>
        <v>0.03752588702</v>
      </c>
    </row>
    <row r="544" hidden="1">
      <c r="A544" s="66">
        <v>46217.0</v>
      </c>
      <c r="B544" s="1">
        <v>84.9149588</v>
      </c>
      <c r="C544" s="56">
        <f t="shared" si="1"/>
        <v>0.04072406535</v>
      </c>
    </row>
    <row r="545" hidden="1">
      <c r="A545" s="66">
        <v>46248.0</v>
      </c>
      <c r="B545" s="1">
        <v>85.2199651</v>
      </c>
      <c r="C545" s="56">
        <f t="shared" si="1"/>
        <v>0.04149910872</v>
      </c>
    </row>
    <row r="546" hidden="1">
      <c r="A546" s="66">
        <v>46279.0</v>
      </c>
      <c r="B546" s="1">
        <v>85.5963399</v>
      </c>
      <c r="C546" s="56">
        <f t="shared" si="1"/>
        <v>0.04217583735</v>
      </c>
    </row>
    <row r="547">
      <c r="A547" s="66">
        <v>46309.0</v>
      </c>
      <c r="B547" s="1">
        <v>86.0696256</v>
      </c>
      <c r="C547" s="56">
        <f t="shared" si="1"/>
        <v>0.04297756876</v>
      </c>
    </row>
    <row r="548" hidden="1">
      <c r="A548" s="66">
        <v>46340.0</v>
      </c>
      <c r="B548" s="1">
        <v>86.7637779</v>
      </c>
      <c r="C548" s="56">
        <f t="shared" si="1"/>
        <v>0.04167869239</v>
      </c>
    </row>
    <row r="549" hidden="1">
      <c r="A549" s="66">
        <v>46370.0</v>
      </c>
      <c r="B549" s="1">
        <v>87.1889837</v>
      </c>
      <c r="C549" s="56">
        <f t="shared" si="1"/>
        <v>0.040813215</v>
      </c>
    </row>
    <row r="550" hidden="1">
      <c r="A550" s="66">
        <v>46037.0</v>
      </c>
      <c r="B550" s="1">
        <v>87.1101028</v>
      </c>
      <c r="C550" s="56">
        <f t="shared" si="1"/>
        <v>0.03065641593</v>
      </c>
    </row>
    <row r="551" hidden="1">
      <c r="A551" s="66">
        <v>46068.0</v>
      </c>
      <c r="B551" s="1">
        <v>87.2753771</v>
      </c>
      <c r="C551" s="56">
        <f t="shared" si="1"/>
        <v>0.03000266</v>
      </c>
    </row>
    <row r="552" hidden="1">
      <c r="A552" s="66">
        <v>46096.0</v>
      </c>
      <c r="B552" s="1">
        <v>87.630717</v>
      </c>
      <c r="C552" s="56">
        <f t="shared" si="1"/>
        <v>0.03137074592</v>
      </c>
    </row>
    <row r="553" hidden="1">
      <c r="A553" s="66">
        <v>46127.0</v>
      </c>
      <c r="B553" s="1">
        <v>87.4038404</v>
      </c>
      <c r="C553" s="56">
        <f t="shared" si="1"/>
        <v>0.03062327235</v>
      </c>
    </row>
    <row r="554" hidden="1">
      <c r="A554" s="66">
        <v>46157.0</v>
      </c>
      <c r="B554" s="1">
        <v>86.9673658</v>
      </c>
      <c r="C554" s="56">
        <f t="shared" si="1"/>
        <v>0.0287664286</v>
      </c>
    </row>
    <row r="555" hidden="1">
      <c r="A555" s="66">
        <v>46188.0</v>
      </c>
      <c r="B555" s="1">
        <v>87.1131078</v>
      </c>
      <c r="C555" s="56">
        <f t="shared" si="1"/>
        <v>0.02870779537</v>
      </c>
    </row>
    <row r="556" hidden="1">
      <c r="A556" s="66">
        <v>46218.0</v>
      </c>
      <c r="B556" s="1">
        <v>87.2408198</v>
      </c>
      <c r="C556" s="56">
        <f t="shared" si="1"/>
        <v>0.02739047434</v>
      </c>
    </row>
    <row r="557" hidden="1">
      <c r="A557" s="66">
        <v>46249.0</v>
      </c>
      <c r="B557" s="1">
        <v>87.4248753</v>
      </c>
      <c r="C557" s="56">
        <f t="shared" si="1"/>
        <v>0.02587316478</v>
      </c>
    </row>
    <row r="558" hidden="1">
      <c r="A558" s="66">
        <v>46280.0</v>
      </c>
      <c r="B558" s="1">
        <v>87.752419</v>
      </c>
      <c r="C558" s="56">
        <f t="shared" si="1"/>
        <v>0.02518891699</v>
      </c>
    </row>
    <row r="559">
      <c r="A559" s="66">
        <v>46310.0</v>
      </c>
      <c r="B559" s="1">
        <v>88.2039185</v>
      </c>
      <c r="C559" s="56">
        <f t="shared" si="1"/>
        <v>0.02479728342</v>
      </c>
    </row>
    <row r="560" hidden="1">
      <c r="A560" s="66">
        <v>46341.0</v>
      </c>
      <c r="B560" s="1">
        <v>88.6854679</v>
      </c>
      <c r="C560" s="56">
        <f t="shared" si="1"/>
        <v>0.02214852841</v>
      </c>
    </row>
    <row r="561" hidden="1">
      <c r="A561" s="66">
        <v>46371.0</v>
      </c>
      <c r="B561" s="1">
        <v>89.0468177</v>
      </c>
      <c r="C561" s="56">
        <f t="shared" si="1"/>
        <v>0.02130812771</v>
      </c>
    </row>
    <row r="562" hidden="1">
      <c r="A562" s="66">
        <v>46038.0</v>
      </c>
      <c r="B562" s="1">
        <v>89.3863814</v>
      </c>
      <c r="C562" s="56">
        <f t="shared" si="1"/>
        <v>0.0261310517</v>
      </c>
    </row>
    <row r="563" hidden="1">
      <c r="A563" s="66">
        <v>46069.0</v>
      </c>
      <c r="B563" s="1">
        <v>89.7777811</v>
      </c>
      <c r="C563" s="56">
        <f t="shared" si="1"/>
        <v>0.02867250859</v>
      </c>
    </row>
    <row r="564" hidden="1">
      <c r="A564" s="66">
        <v>46097.0</v>
      </c>
      <c r="B564" s="1">
        <v>89.9100006</v>
      </c>
      <c r="C564" s="56">
        <f t="shared" si="1"/>
        <v>0.02601009872</v>
      </c>
    </row>
    <row r="565" hidden="1">
      <c r="A565" s="66">
        <v>46128.0</v>
      </c>
      <c r="B565" s="1">
        <v>89.625278</v>
      </c>
      <c r="C565" s="56">
        <f t="shared" si="1"/>
        <v>0.0254157894</v>
      </c>
    </row>
    <row r="566" hidden="1">
      <c r="A566" s="66">
        <v>46158.0</v>
      </c>
      <c r="B566" s="1">
        <v>89.2256145</v>
      </c>
      <c r="C566" s="56">
        <f t="shared" si="1"/>
        <v>0.02596662184</v>
      </c>
    </row>
    <row r="567" hidden="1">
      <c r="A567" s="66">
        <v>46189.0</v>
      </c>
      <c r="B567" s="1">
        <v>89.3240279</v>
      </c>
      <c r="C567" s="56">
        <f t="shared" si="1"/>
        <v>0.0253798786</v>
      </c>
    </row>
    <row r="568" hidden="1">
      <c r="A568" s="66">
        <v>46219.0</v>
      </c>
      <c r="B568" s="1">
        <v>89.5569145</v>
      </c>
      <c r="C568" s="56">
        <f t="shared" si="1"/>
        <v>0.02654829133</v>
      </c>
    </row>
    <row r="569" hidden="1">
      <c r="A569" s="66">
        <v>46250.0</v>
      </c>
      <c r="B569" s="1">
        <v>89.8093335</v>
      </c>
      <c r="C569" s="56">
        <f t="shared" si="1"/>
        <v>0.02727436776</v>
      </c>
    </row>
    <row r="570" hidden="1">
      <c r="A570" s="66">
        <v>46281.0</v>
      </c>
      <c r="B570" s="1">
        <v>90.3577439</v>
      </c>
      <c r="C570" s="56">
        <f t="shared" si="1"/>
        <v>0.0296894938</v>
      </c>
    </row>
    <row r="571">
      <c r="A571" s="66">
        <v>46311.0</v>
      </c>
      <c r="B571" s="1">
        <v>90.9061542</v>
      </c>
      <c r="C571" s="56">
        <f t="shared" si="1"/>
        <v>0.03063623188</v>
      </c>
    </row>
    <row r="572" hidden="1">
      <c r="A572" s="66">
        <v>46342.0</v>
      </c>
      <c r="B572" s="1">
        <v>91.6168339</v>
      </c>
      <c r="C572" s="56">
        <f t="shared" si="1"/>
        <v>0.03305351</v>
      </c>
    </row>
    <row r="573" hidden="1">
      <c r="A573" s="66">
        <v>46372.0</v>
      </c>
      <c r="B573" s="1">
        <v>92.0390348</v>
      </c>
      <c r="C573" s="56">
        <f t="shared" si="1"/>
        <v>0.03360274042</v>
      </c>
    </row>
    <row r="574" hidden="1">
      <c r="A574" s="66">
        <v>46039.0</v>
      </c>
      <c r="B574" s="1">
        <v>93.6038824</v>
      </c>
      <c r="C574" s="56">
        <f t="shared" si="1"/>
        <v>0.04718281391</v>
      </c>
    </row>
    <row r="575" hidden="1">
      <c r="A575" s="66">
        <v>46070.0</v>
      </c>
      <c r="B575" s="1">
        <v>94.1447803</v>
      </c>
      <c r="C575" s="56">
        <f t="shared" si="1"/>
        <v>0.04864231602</v>
      </c>
    </row>
    <row r="576" hidden="1">
      <c r="A576" s="66">
        <v>46098.0</v>
      </c>
      <c r="B576" s="1">
        <v>94.7224893</v>
      </c>
      <c r="C576" s="56">
        <f t="shared" si="1"/>
        <v>0.05352562193</v>
      </c>
    </row>
    <row r="577" hidden="1">
      <c r="A577" s="66">
        <v>46129.0</v>
      </c>
      <c r="B577" s="1">
        <v>94.8389326</v>
      </c>
      <c r="C577" s="56">
        <f t="shared" si="1"/>
        <v>0.05817169794</v>
      </c>
    </row>
    <row r="578" hidden="1">
      <c r="A578" s="66">
        <v>46159.0</v>
      </c>
      <c r="B578" s="1">
        <v>94.7254943</v>
      </c>
      <c r="C578" s="56">
        <f t="shared" si="1"/>
        <v>0.06164014483</v>
      </c>
    </row>
    <row r="579" hidden="1">
      <c r="A579" s="66">
        <v>46190.0</v>
      </c>
      <c r="B579" s="1">
        <v>94.9636396</v>
      </c>
      <c r="C579" s="56">
        <f t="shared" si="1"/>
        <v>0.06313655835</v>
      </c>
    </row>
    <row r="580" hidden="1">
      <c r="A580" s="66">
        <v>46220.0</v>
      </c>
      <c r="B580" s="1">
        <v>95.3227357</v>
      </c>
      <c r="C580" s="56">
        <f t="shared" si="1"/>
        <v>0.06438164191</v>
      </c>
    </row>
    <row r="581" hidden="1">
      <c r="A581" s="66">
        <v>46251.0</v>
      </c>
      <c r="B581" s="1">
        <v>95.7937677</v>
      </c>
      <c r="C581" s="56">
        <f t="shared" si="1"/>
        <v>0.06663488044</v>
      </c>
    </row>
    <row r="582" hidden="1">
      <c r="A582" s="66">
        <v>46282.0</v>
      </c>
      <c r="B582" s="1">
        <v>96.0935152</v>
      </c>
      <c r="C582" s="56">
        <f t="shared" si="1"/>
        <v>0.06347846961</v>
      </c>
    </row>
    <row r="583">
      <c r="A583" s="66">
        <v>46312.0</v>
      </c>
      <c r="B583" s="1">
        <v>96.6982691</v>
      </c>
      <c r="C583" s="56">
        <f t="shared" si="1"/>
        <v>0.06371532215</v>
      </c>
    </row>
    <row r="584" hidden="1">
      <c r="A584" s="66">
        <v>46343.0</v>
      </c>
      <c r="B584" s="1">
        <v>97.695174</v>
      </c>
      <c r="C584" s="56">
        <f t="shared" si="1"/>
        <v>0.066345232</v>
      </c>
    </row>
    <row r="585" hidden="1">
      <c r="A585" s="66">
        <v>46373.0</v>
      </c>
      <c r="B585" s="1">
        <v>98.272883</v>
      </c>
      <c r="C585" s="56">
        <f t="shared" si="1"/>
        <v>0.06773048211</v>
      </c>
    </row>
    <row r="586" hidden="1">
      <c r="A586" s="66">
        <v>46040.0</v>
      </c>
      <c r="B586" s="1">
        <v>98.7949997</v>
      </c>
      <c r="C586" s="56">
        <f t="shared" si="1"/>
        <v>0.05545835458</v>
      </c>
    </row>
    <row r="587" hidden="1">
      <c r="A587" s="66">
        <v>46071.0</v>
      </c>
      <c r="B587" s="1">
        <v>99.1713745</v>
      </c>
      <c r="C587" s="56">
        <f t="shared" si="1"/>
        <v>0.05339217091</v>
      </c>
    </row>
    <row r="588" hidden="1">
      <c r="A588" s="66">
        <v>46099.0</v>
      </c>
      <c r="B588" s="1">
        <v>99.492157</v>
      </c>
      <c r="C588" s="56">
        <f t="shared" si="1"/>
        <v>0.05035412113</v>
      </c>
    </row>
    <row r="589" hidden="1">
      <c r="A589" s="66">
        <v>46130.0</v>
      </c>
      <c r="B589" s="1">
        <v>99.154847</v>
      </c>
      <c r="C589" s="56">
        <f t="shared" si="1"/>
        <v>0.04550783398</v>
      </c>
    </row>
    <row r="590" hidden="1">
      <c r="A590" s="66">
        <v>46160.0</v>
      </c>
      <c r="B590" s="1">
        <v>98.9940802</v>
      </c>
      <c r="C590" s="56">
        <f t="shared" si="1"/>
        <v>0.04506269333</v>
      </c>
    </row>
    <row r="591" hidden="1">
      <c r="A591" s="66">
        <v>46191.0</v>
      </c>
      <c r="B591" s="1">
        <v>99.3764649</v>
      </c>
      <c r="C591" s="56">
        <f t="shared" si="1"/>
        <v>0.04646857806</v>
      </c>
    </row>
    <row r="592" hidden="1">
      <c r="A592" s="66">
        <v>46221.0</v>
      </c>
      <c r="B592" s="1">
        <v>99.9090991</v>
      </c>
      <c r="C592" s="56">
        <f t="shared" si="1"/>
        <v>0.04811405554</v>
      </c>
    </row>
    <row r="593" hidden="1">
      <c r="A593" s="66">
        <v>46252.0</v>
      </c>
      <c r="B593" s="1">
        <v>100.492</v>
      </c>
      <c r="C593" s="56">
        <f t="shared" si="1"/>
        <v>0.04904528147</v>
      </c>
    </row>
    <row r="594" hidden="1">
      <c r="A594" s="66">
        <v>46283.0</v>
      </c>
      <c r="B594" s="1">
        <v>100.917</v>
      </c>
      <c r="C594" s="56">
        <f t="shared" si="1"/>
        <v>0.05019573683</v>
      </c>
    </row>
    <row r="595">
      <c r="A595" s="66">
        <v>46313.0</v>
      </c>
      <c r="B595" s="1">
        <v>101.44</v>
      </c>
      <c r="C595" s="56">
        <f t="shared" si="1"/>
        <v>0.04903635757</v>
      </c>
    </row>
    <row r="596" hidden="1">
      <c r="A596" s="66">
        <v>46344.0</v>
      </c>
      <c r="B596" s="1">
        <v>102.303</v>
      </c>
      <c r="C596" s="56">
        <f t="shared" si="1"/>
        <v>0.047165339</v>
      </c>
    </row>
    <row r="597" hidden="1">
      <c r="A597" s="66">
        <v>46374.0</v>
      </c>
      <c r="B597" s="1">
        <v>103.02</v>
      </c>
      <c r="C597" s="56">
        <f t="shared" si="1"/>
        <v>0.04830546184</v>
      </c>
    </row>
    <row r="598" hidden="1">
      <c r="A598" s="66">
        <v>46041.0</v>
      </c>
      <c r="B598" s="1">
        <v>103.108</v>
      </c>
      <c r="C598" s="56">
        <f t="shared" si="1"/>
        <v>0.04365605864</v>
      </c>
    </row>
    <row r="599" hidden="1">
      <c r="A599" s="66">
        <v>46072.0</v>
      </c>
      <c r="B599" s="1">
        <v>103.079</v>
      </c>
      <c r="C599" s="56">
        <f t="shared" si="1"/>
        <v>0.03940275629</v>
      </c>
    </row>
    <row r="600" hidden="1">
      <c r="A600" s="66">
        <v>46100.0</v>
      </c>
      <c r="B600" s="1">
        <v>103.476</v>
      </c>
      <c r="C600" s="56">
        <f t="shared" si="1"/>
        <v>0.04004177937</v>
      </c>
    </row>
    <row r="601" hidden="1">
      <c r="A601" s="66">
        <v>46131.0</v>
      </c>
      <c r="B601" s="1">
        <v>103.531</v>
      </c>
      <c r="C601" s="56">
        <f t="shared" si="1"/>
        <v>0.04413453434</v>
      </c>
    </row>
    <row r="602" hidden="1">
      <c r="A602" s="66">
        <v>46161.0</v>
      </c>
      <c r="B602" s="1">
        <v>103.233</v>
      </c>
      <c r="C602" s="56">
        <f t="shared" si="1"/>
        <v>0.04281993218</v>
      </c>
    </row>
    <row r="603" hidden="1">
      <c r="A603" s="66">
        <v>46192.0</v>
      </c>
      <c r="B603" s="1">
        <v>103.299</v>
      </c>
      <c r="C603" s="56">
        <f t="shared" si="1"/>
        <v>0.03947146947</v>
      </c>
    </row>
    <row r="604" hidden="1">
      <c r="A604" s="66">
        <v>46222.0</v>
      </c>
      <c r="B604" s="1">
        <v>103.687</v>
      </c>
      <c r="C604" s="56">
        <f t="shared" si="1"/>
        <v>0.0378133817</v>
      </c>
    </row>
    <row r="605" hidden="1">
      <c r="A605" s="66">
        <v>46253.0</v>
      </c>
      <c r="B605" s="1">
        <v>103.67</v>
      </c>
      <c r="C605" s="56">
        <f t="shared" si="1"/>
        <v>0.03162440791</v>
      </c>
    </row>
    <row r="606" hidden="1">
      <c r="A606" s="66">
        <v>46284.0</v>
      </c>
      <c r="B606" s="1">
        <v>103.942</v>
      </c>
      <c r="C606" s="56">
        <f t="shared" si="1"/>
        <v>0.02997512808</v>
      </c>
    </row>
    <row r="607">
      <c r="A607" s="66">
        <v>46314.0</v>
      </c>
      <c r="B607" s="1">
        <v>104.503</v>
      </c>
      <c r="C607" s="56">
        <f t="shared" si="1"/>
        <v>0.03019518927</v>
      </c>
    </row>
    <row r="608" hidden="1">
      <c r="A608" s="66">
        <v>46345.0</v>
      </c>
      <c r="B608" s="1">
        <v>105.346</v>
      </c>
      <c r="C608" s="56">
        <f t="shared" si="1"/>
        <v>0.02974497327</v>
      </c>
    </row>
    <row r="609" hidden="1">
      <c r="A609" s="66">
        <v>46375.0</v>
      </c>
      <c r="B609" s="1">
        <v>105.934</v>
      </c>
      <c r="C609" s="56">
        <f t="shared" si="1"/>
        <v>0.02828576975</v>
      </c>
    </row>
    <row r="610" hidden="1">
      <c r="A610" s="66">
        <v>46042.0</v>
      </c>
      <c r="B610" s="1">
        <v>106.447</v>
      </c>
      <c r="C610" s="56">
        <f t="shared" si="1"/>
        <v>0.03238352019</v>
      </c>
    </row>
    <row r="611" hidden="1">
      <c r="A611" s="66">
        <v>46073.0</v>
      </c>
      <c r="B611" s="1">
        <v>106.889</v>
      </c>
      <c r="C611" s="56">
        <f t="shared" si="1"/>
        <v>0.03696194181</v>
      </c>
    </row>
    <row r="612" hidden="1">
      <c r="A612" s="66">
        <v>46101.0</v>
      </c>
      <c r="B612" s="1">
        <v>106.838</v>
      </c>
      <c r="C612" s="56">
        <f t="shared" si="1"/>
        <v>0.03249062585</v>
      </c>
    </row>
    <row r="613" hidden="1">
      <c r="A613" s="66">
        <v>46132.0</v>
      </c>
      <c r="B613" s="1">
        <v>105.755</v>
      </c>
      <c r="C613" s="56">
        <f t="shared" si="1"/>
        <v>0.02148148864</v>
      </c>
    </row>
    <row r="614" hidden="1">
      <c r="A614" s="66">
        <v>46162.0</v>
      </c>
      <c r="B614" s="1">
        <v>106.162</v>
      </c>
      <c r="C614" s="56">
        <f t="shared" si="1"/>
        <v>0.02837271028</v>
      </c>
    </row>
    <row r="615" hidden="1">
      <c r="A615" s="66">
        <v>46193.0</v>
      </c>
      <c r="B615" s="1">
        <v>106.743</v>
      </c>
      <c r="C615" s="56">
        <f t="shared" si="1"/>
        <v>0.03334010978</v>
      </c>
    </row>
    <row r="616" hidden="1">
      <c r="A616" s="66">
        <v>46223.0</v>
      </c>
      <c r="B616" s="1">
        <v>107.444</v>
      </c>
      <c r="C616" s="56">
        <f t="shared" si="1"/>
        <v>0.03623405056</v>
      </c>
    </row>
    <row r="617" hidden="1">
      <c r="A617" s="66">
        <v>46254.0</v>
      </c>
      <c r="B617" s="1">
        <v>107.867</v>
      </c>
      <c r="C617" s="56">
        <f t="shared" si="1"/>
        <v>0.0404842288</v>
      </c>
    </row>
    <row r="618" hidden="1">
      <c r="A618" s="66">
        <v>46285.0</v>
      </c>
      <c r="B618" s="1">
        <v>108.114</v>
      </c>
      <c r="C618" s="56">
        <f t="shared" si="1"/>
        <v>0.04013776914</v>
      </c>
    </row>
    <row r="619">
      <c r="A619" s="66">
        <v>46315.0</v>
      </c>
      <c r="B619" s="1">
        <v>108.774</v>
      </c>
      <c r="C619" s="56">
        <f t="shared" si="1"/>
        <v>0.04086964011</v>
      </c>
    </row>
    <row r="620" hidden="1">
      <c r="A620" s="66">
        <v>46346.0</v>
      </c>
      <c r="B620" s="1">
        <v>108.856</v>
      </c>
      <c r="C620" s="56">
        <f t="shared" si="1"/>
        <v>0.03331877812</v>
      </c>
    </row>
    <row r="621" hidden="1">
      <c r="A621" s="66">
        <v>46376.0</v>
      </c>
      <c r="B621" s="1">
        <v>109.271</v>
      </c>
      <c r="C621" s="56">
        <f t="shared" si="1"/>
        <v>0.03150074575</v>
      </c>
    </row>
    <row r="622" hidden="1">
      <c r="A622" s="66">
        <v>46043.0</v>
      </c>
      <c r="B622" s="1">
        <v>110.21</v>
      </c>
      <c r="C622" s="56">
        <f t="shared" si="1"/>
        <v>0.03535092581</v>
      </c>
    </row>
    <row r="623" hidden="1">
      <c r="A623" s="66">
        <v>46074.0</v>
      </c>
      <c r="B623" s="1">
        <v>110.907</v>
      </c>
      <c r="C623" s="56">
        <f t="shared" si="1"/>
        <v>0.03759039752</v>
      </c>
    </row>
    <row r="624" hidden="1">
      <c r="A624" s="66">
        <v>46102.0</v>
      </c>
      <c r="B624" s="1">
        <v>111.824</v>
      </c>
      <c r="C624" s="56">
        <f t="shared" si="1"/>
        <v>0.04666878826</v>
      </c>
    </row>
    <row r="625" hidden="1">
      <c r="A625" s="66">
        <v>46133.0</v>
      </c>
      <c r="B625" s="1">
        <v>112.19</v>
      </c>
      <c r="C625" s="56">
        <f t="shared" si="1"/>
        <v>0.06084818685</v>
      </c>
    </row>
    <row r="626" hidden="1">
      <c r="A626" s="66">
        <v>46163.0</v>
      </c>
      <c r="B626" s="1">
        <v>112.419</v>
      </c>
      <c r="C626" s="56">
        <f t="shared" si="1"/>
        <v>0.05893822648</v>
      </c>
    </row>
    <row r="627" hidden="1">
      <c r="A627" s="66">
        <v>46194.0</v>
      </c>
      <c r="B627" s="1">
        <v>113.018</v>
      </c>
      <c r="C627" s="56">
        <f t="shared" si="1"/>
        <v>0.05878605623</v>
      </c>
    </row>
    <row r="628" hidden="1">
      <c r="A628" s="66">
        <v>46224.0</v>
      </c>
      <c r="B628" s="1">
        <v>113.682</v>
      </c>
      <c r="C628" s="56">
        <f t="shared" si="1"/>
        <v>0.05805815122</v>
      </c>
    </row>
    <row r="629" hidden="1">
      <c r="A629" s="66">
        <v>46255.0</v>
      </c>
      <c r="B629" s="1">
        <v>113.899</v>
      </c>
      <c r="C629" s="56">
        <f t="shared" si="1"/>
        <v>0.05592071718</v>
      </c>
    </row>
    <row r="630" hidden="1">
      <c r="A630" s="66">
        <v>46286.0</v>
      </c>
      <c r="B630" s="1">
        <v>114.601</v>
      </c>
      <c r="C630" s="56">
        <f t="shared" si="1"/>
        <v>0.06000147992</v>
      </c>
    </row>
    <row r="631">
      <c r="A631" s="66">
        <v>46316.0</v>
      </c>
      <c r="B631" s="1">
        <v>115.561</v>
      </c>
      <c r="C631" s="56">
        <f t="shared" si="1"/>
        <v>0.06239542538</v>
      </c>
    </row>
    <row r="632" hidden="1">
      <c r="A632" s="66">
        <v>46347.0</v>
      </c>
      <c r="B632" s="1">
        <v>116.884</v>
      </c>
      <c r="C632" s="56">
        <f t="shared" si="1"/>
        <v>0.07374880576</v>
      </c>
    </row>
    <row r="633" hidden="1">
      <c r="A633" s="66">
        <v>46377.0</v>
      </c>
      <c r="B633" s="1">
        <v>117.308</v>
      </c>
      <c r="C633" s="56">
        <f t="shared" si="1"/>
        <v>0.07355107943</v>
      </c>
    </row>
    <row r="634" hidden="1">
      <c r="A634" s="66">
        <v>46044.0</v>
      </c>
      <c r="B634" s="1">
        <v>118.002</v>
      </c>
      <c r="C634" s="56">
        <f t="shared" si="1"/>
        <v>0.07070138826</v>
      </c>
    </row>
    <row r="635" hidden="1">
      <c r="A635" s="66">
        <v>46075.0</v>
      </c>
      <c r="B635" s="1">
        <v>118.981</v>
      </c>
      <c r="C635" s="56">
        <f t="shared" si="1"/>
        <v>0.07279973311</v>
      </c>
    </row>
    <row r="636" hidden="1">
      <c r="A636" s="66">
        <v>46103.0</v>
      </c>
      <c r="B636" s="1">
        <v>120.159</v>
      </c>
      <c r="C636" s="56">
        <f t="shared" si="1"/>
        <v>0.07453677207</v>
      </c>
    </row>
    <row r="637" hidden="1">
      <c r="A637" s="66">
        <v>46134.0</v>
      </c>
      <c r="B637" s="1">
        <v>120.809</v>
      </c>
      <c r="C637" s="56">
        <f t="shared" si="1"/>
        <v>0.07682502897</v>
      </c>
    </row>
    <row r="638" hidden="1">
      <c r="A638" s="66">
        <v>46164.0</v>
      </c>
      <c r="B638" s="1">
        <v>121.022</v>
      </c>
      <c r="C638" s="56">
        <f t="shared" si="1"/>
        <v>0.07652620998</v>
      </c>
    </row>
    <row r="639" hidden="1">
      <c r="A639" s="66">
        <v>46195.0</v>
      </c>
      <c r="B639" s="1">
        <v>122.044</v>
      </c>
      <c r="C639" s="56">
        <f t="shared" si="1"/>
        <v>0.07986338459</v>
      </c>
    </row>
    <row r="640" hidden="1">
      <c r="A640" s="66">
        <v>46225.0</v>
      </c>
      <c r="B640" s="1">
        <v>122.948</v>
      </c>
      <c r="C640" s="56">
        <f t="shared" si="1"/>
        <v>0.08150806636</v>
      </c>
    </row>
    <row r="641" hidden="1">
      <c r="A641" s="66">
        <v>46256.0</v>
      </c>
      <c r="B641" s="1">
        <v>123.803</v>
      </c>
      <c r="C641" s="56">
        <f t="shared" si="1"/>
        <v>0.08695423138</v>
      </c>
    </row>
    <row r="642" hidden="1">
      <c r="A642" s="66">
        <v>46287.0</v>
      </c>
      <c r="B642" s="1">
        <v>124.571</v>
      </c>
      <c r="C642" s="56">
        <f t="shared" si="1"/>
        <v>0.08699749566</v>
      </c>
    </row>
    <row r="643">
      <c r="A643" s="66">
        <v>46317.0</v>
      </c>
      <c r="B643" s="1">
        <v>125.276</v>
      </c>
      <c r="C643" s="56">
        <f t="shared" si="1"/>
        <v>0.08406815448</v>
      </c>
    </row>
    <row r="644" hidden="1">
      <c r="A644" s="66">
        <v>46348.0</v>
      </c>
      <c r="B644" s="1">
        <v>125.997</v>
      </c>
      <c r="C644" s="56">
        <f t="shared" si="1"/>
        <v>0.0779661887</v>
      </c>
    </row>
    <row r="645" hidden="1">
      <c r="A645" s="66">
        <v>46378.0</v>
      </c>
      <c r="B645" s="1">
        <v>126.478</v>
      </c>
      <c r="C645" s="56">
        <f t="shared" si="1"/>
        <v>0.07817028677</v>
      </c>
    </row>
    <row r="646" hidden="1">
      <c r="A646" s="66">
        <v>46045.0</v>
      </c>
      <c r="B646" s="1">
        <v>127.336</v>
      </c>
      <c r="C646" s="56">
        <f t="shared" si="1"/>
        <v>0.07910035423</v>
      </c>
    </row>
    <row r="647" hidden="1">
      <c r="A647" s="66">
        <v>46076.0</v>
      </c>
      <c r="B647" s="1">
        <v>128.046</v>
      </c>
      <c r="C647" s="56">
        <f t="shared" si="1"/>
        <v>0.07618863516</v>
      </c>
    </row>
    <row r="648" hidden="1">
      <c r="A648" s="66">
        <v>46104.0</v>
      </c>
      <c r="B648" s="1">
        <v>128.389</v>
      </c>
      <c r="C648" s="56">
        <f t="shared" si="1"/>
        <v>0.06849258066</v>
      </c>
    </row>
    <row r="649" hidden="1">
      <c r="A649" s="66">
        <v>46135.0</v>
      </c>
      <c r="B649" s="1">
        <v>128.363</v>
      </c>
      <c r="C649" s="56">
        <f t="shared" si="1"/>
        <v>0.06252845401</v>
      </c>
    </row>
    <row r="650" hidden="1">
      <c r="A650" s="66">
        <v>46165.0</v>
      </c>
      <c r="B650" s="1">
        <v>128.084</v>
      </c>
      <c r="C650" s="56">
        <f t="shared" si="1"/>
        <v>0.05835302672</v>
      </c>
    </row>
    <row r="651" hidden="1">
      <c r="A651" s="66">
        <v>46196.0</v>
      </c>
      <c r="B651" s="1">
        <v>128.214</v>
      </c>
      <c r="C651" s="56">
        <f t="shared" si="1"/>
        <v>0.05055553735</v>
      </c>
    </row>
    <row r="652" hidden="1">
      <c r="A652" s="66">
        <v>46226.0</v>
      </c>
      <c r="B652" s="1">
        <v>128.832</v>
      </c>
      <c r="C652" s="56">
        <f t="shared" si="1"/>
        <v>0.04785763087</v>
      </c>
    </row>
    <row r="653" hidden="1">
      <c r="A653" s="66">
        <v>46257.0</v>
      </c>
      <c r="B653" s="1">
        <v>129.545</v>
      </c>
      <c r="C653" s="56">
        <f t="shared" si="1"/>
        <v>0.04638013618</v>
      </c>
    </row>
    <row r="654" hidden="1">
      <c r="A654" s="66">
        <v>46288.0</v>
      </c>
      <c r="B654" s="1">
        <v>130.12</v>
      </c>
      <c r="C654" s="56">
        <f t="shared" si="1"/>
        <v>0.04454487802</v>
      </c>
    </row>
    <row r="655">
      <c r="A655" s="66">
        <v>46318.0</v>
      </c>
      <c r="B655" s="1">
        <v>130.609</v>
      </c>
      <c r="C655" s="56">
        <f t="shared" si="1"/>
        <v>0.04257000543</v>
      </c>
    </row>
    <row r="656" hidden="1">
      <c r="A656" s="66">
        <v>46349.0</v>
      </c>
      <c r="B656" s="1">
        <v>131.445</v>
      </c>
      <c r="C656" s="56">
        <f t="shared" si="1"/>
        <v>0.04323912474</v>
      </c>
    </row>
    <row r="657" hidden="1">
      <c r="A657" s="66">
        <v>46379.0</v>
      </c>
      <c r="B657" s="1">
        <v>132.373</v>
      </c>
      <c r="C657" s="56">
        <f t="shared" si="1"/>
        <v>0.04660889641</v>
      </c>
    </row>
    <row r="658" hidden="1">
      <c r="A658" s="66">
        <v>46046.0</v>
      </c>
      <c r="B658" s="1">
        <v>133.555</v>
      </c>
      <c r="C658" s="56">
        <f t="shared" si="1"/>
        <v>0.04883929132</v>
      </c>
    </row>
    <row r="659" hidden="1">
      <c r="A659" s="66">
        <v>46077.0</v>
      </c>
      <c r="B659" s="1">
        <v>133.681</v>
      </c>
      <c r="C659" s="56">
        <f t="shared" si="1"/>
        <v>0.04400762226</v>
      </c>
    </row>
    <row r="660" hidden="1">
      <c r="A660" s="66">
        <v>46105.0</v>
      </c>
      <c r="B660" s="1">
        <v>134.065</v>
      </c>
      <c r="C660" s="56">
        <f t="shared" si="1"/>
        <v>0.04420939489</v>
      </c>
    </row>
    <row r="661" hidden="1">
      <c r="A661" s="66">
        <v>46136.0</v>
      </c>
      <c r="B661" s="1">
        <v>134.336</v>
      </c>
      <c r="C661" s="56">
        <f t="shared" si="1"/>
        <v>0.04653210037</v>
      </c>
    </row>
    <row r="662" hidden="1">
      <c r="A662" s="66">
        <v>46166.0</v>
      </c>
      <c r="B662" s="1">
        <v>134.087</v>
      </c>
      <c r="C662" s="56">
        <f t="shared" si="1"/>
        <v>0.04686768058</v>
      </c>
    </row>
    <row r="663" hidden="1">
      <c r="A663" s="66">
        <v>46197.0</v>
      </c>
      <c r="B663" s="1">
        <v>134.594</v>
      </c>
      <c r="C663" s="56">
        <f t="shared" si="1"/>
        <v>0.04976055657</v>
      </c>
    </row>
    <row r="664" hidden="1">
      <c r="A664" s="66">
        <v>46227.0</v>
      </c>
      <c r="B664" s="1">
        <v>136.003</v>
      </c>
      <c r="C664" s="56">
        <f t="shared" si="1"/>
        <v>0.05566163686</v>
      </c>
    </row>
    <row r="665" hidden="1">
      <c r="A665" s="66">
        <v>46258.0</v>
      </c>
      <c r="B665" s="1">
        <v>136.013</v>
      </c>
      <c r="C665" s="56">
        <f t="shared" si="1"/>
        <v>0.04992859624</v>
      </c>
    </row>
    <row r="666" hidden="1">
      <c r="A666" s="66">
        <v>46289.0</v>
      </c>
      <c r="B666" s="1">
        <v>136.08</v>
      </c>
      <c r="C666" s="56">
        <f t="shared" si="1"/>
        <v>0.04580387335</v>
      </c>
    </row>
    <row r="667">
      <c r="A667" s="66">
        <v>46319.0</v>
      </c>
      <c r="B667" s="1">
        <v>136.828</v>
      </c>
      <c r="C667" s="56">
        <f t="shared" si="1"/>
        <v>0.0476154017</v>
      </c>
    </row>
    <row r="668" hidden="1">
      <c r="A668" s="66">
        <v>46350.0</v>
      </c>
      <c r="B668" s="1">
        <v>137.424</v>
      </c>
      <c r="C668" s="56">
        <f t="shared" si="1"/>
        <v>0.04548670547</v>
      </c>
    </row>
    <row r="669" hidden="1">
      <c r="A669" s="66">
        <v>46380.0</v>
      </c>
      <c r="B669" s="1">
        <v>137.949</v>
      </c>
      <c r="C669" s="56">
        <f t="shared" si="1"/>
        <v>0.04212339374</v>
      </c>
    </row>
    <row r="670" hidden="1">
      <c r="A670" s="66">
        <v>46047.0</v>
      </c>
      <c r="B670" s="1">
        <v>138.343</v>
      </c>
      <c r="C670" s="56">
        <f t="shared" si="1"/>
        <v>0.03585039871</v>
      </c>
    </row>
    <row r="671" hidden="1">
      <c r="A671" s="66">
        <v>46078.0</v>
      </c>
      <c r="B671" s="1">
        <v>138.726</v>
      </c>
      <c r="C671" s="56">
        <f t="shared" si="1"/>
        <v>0.03773909531</v>
      </c>
    </row>
    <row r="672" hidden="1">
      <c r="A672" s="66">
        <v>46106.0</v>
      </c>
      <c r="B672" s="1">
        <v>139.161</v>
      </c>
      <c r="C672" s="56">
        <f t="shared" si="1"/>
        <v>0.03801141237</v>
      </c>
    </row>
    <row r="673" hidden="1">
      <c r="A673" s="66">
        <v>46137.0</v>
      </c>
      <c r="B673" s="1">
        <v>139.62</v>
      </c>
      <c r="C673" s="56">
        <f t="shared" si="1"/>
        <v>0.03933420677</v>
      </c>
    </row>
    <row r="674" hidden="1">
      <c r="A674" s="66">
        <v>46167.0</v>
      </c>
      <c r="B674" s="1">
        <v>140.012</v>
      </c>
      <c r="C674" s="56">
        <f t="shared" si="1"/>
        <v>0.04418772886</v>
      </c>
    </row>
    <row r="675" hidden="1">
      <c r="A675" s="66">
        <v>46198.0</v>
      </c>
      <c r="B675" s="1">
        <v>140.405</v>
      </c>
      <c r="C675" s="56">
        <f t="shared" si="1"/>
        <v>0.04317428712</v>
      </c>
    </row>
    <row r="676" hidden="1">
      <c r="A676" s="66">
        <v>46228.0</v>
      </c>
      <c r="B676" s="1">
        <v>140.78</v>
      </c>
      <c r="C676" s="56">
        <f t="shared" si="1"/>
        <v>0.0351242252</v>
      </c>
    </row>
    <row r="677" hidden="1">
      <c r="A677" s="66">
        <v>46259.0</v>
      </c>
      <c r="B677" s="1">
        <v>140.867</v>
      </c>
      <c r="C677" s="56">
        <f t="shared" si="1"/>
        <v>0.03568776514</v>
      </c>
    </row>
    <row r="678" hidden="1">
      <c r="A678" s="66">
        <v>46290.0</v>
      </c>
      <c r="B678" s="1">
        <v>141.197</v>
      </c>
      <c r="C678" s="56">
        <f t="shared" si="1"/>
        <v>0.03760288066</v>
      </c>
    </row>
    <row r="679">
      <c r="A679" s="66">
        <v>46320.0</v>
      </c>
      <c r="B679" s="1">
        <v>141.708</v>
      </c>
      <c r="C679" s="56">
        <f t="shared" si="1"/>
        <v>0.03566521472</v>
      </c>
    </row>
    <row r="680" hidden="1">
      <c r="A680" s="66">
        <v>46351.0</v>
      </c>
      <c r="B680" s="1">
        <v>142.645</v>
      </c>
      <c r="C680" s="56">
        <f t="shared" si="1"/>
        <v>0.03799190825</v>
      </c>
    </row>
    <row r="681" hidden="1">
      <c r="A681" s="66">
        <v>46381.0</v>
      </c>
      <c r="B681" s="1">
        <v>143.042</v>
      </c>
      <c r="C681" s="56">
        <f t="shared" si="1"/>
        <v>0.03691944124</v>
      </c>
    </row>
    <row r="682" hidden="1">
      <c r="A682" s="66">
        <v>46048.0</v>
      </c>
      <c r="B682" s="1">
        <v>143.588</v>
      </c>
      <c r="C682" s="56">
        <f t="shared" si="1"/>
        <v>0.03791301331</v>
      </c>
    </row>
    <row r="683" hidden="1">
      <c r="A683" s="66">
        <v>46079.0</v>
      </c>
      <c r="B683" s="1">
        <v>144.307</v>
      </c>
      <c r="C683" s="56">
        <f t="shared" si="1"/>
        <v>0.04023038219</v>
      </c>
    </row>
    <row r="684" hidden="1">
      <c r="A684" s="66">
        <v>46107.0</v>
      </c>
      <c r="B684" s="1">
        <v>145.544</v>
      </c>
      <c r="C684" s="56">
        <f t="shared" si="1"/>
        <v>0.04586773593</v>
      </c>
    </row>
    <row r="685" hidden="1">
      <c r="A685" s="66">
        <v>46138.0</v>
      </c>
      <c r="B685" s="1">
        <v>145.831</v>
      </c>
      <c r="C685" s="56">
        <f t="shared" si="1"/>
        <v>0.0444850308</v>
      </c>
    </row>
    <row r="686" hidden="1">
      <c r="A686" s="66">
        <v>46168.0</v>
      </c>
      <c r="B686" s="1">
        <v>145.527</v>
      </c>
      <c r="C686" s="56">
        <f t="shared" si="1"/>
        <v>0.0393894809</v>
      </c>
    </row>
    <row r="687" hidden="1">
      <c r="A687" s="66">
        <v>46199.0</v>
      </c>
      <c r="B687" s="1">
        <v>145.131</v>
      </c>
      <c r="C687" s="56">
        <f t="shared" si="1"/>
        <v>0.03365976995</v>
      </c>
    </row>
    <row r="688" hidden="1">
      <c r="A688" s="66">
        <v>46229.0</v>
      </c>
      <c r="B688" s="1">
        <v>145.169</v>
      </c>
      <c r="C688" s="56">
        <f t="shared" si="1"/>
        <v>0.03117630345</v>
      </c>
    </row>
    <row r="689" hidden="1">
      <c r="A689" s="66">
        <v>46260.0</v>
      </c>
      <c r="B689" s="1">
        <v>145.462</v>
      </c>
      <c r="C689" s="56">
        <f t="shared" si="1"/>
        <v>0.03261942116</v>
      </c>
    </row>
    <row r="690" hidden="1">
      <c r="A690" s="66">
        <v>46291.0</v>
      </c>
      <c r="B690" s="1">
        <v>146.075</v>
      </c>
      <c r="C690" s="56">
        <f t="shared" si="1"/>
        <v>0.03454747622</v>
      </c>
    </row>
  </sheetData>
  <autoFilter ref="$A$9:$C$690">
    <filterColumn colId="0">
      <filters>
        <filter val="Mar-01"/>
        <filter val="Mar-02"/>
        <filter val="Mar-03"/>
        <filter val="Mar-04"/>
        <filter val="Mar-05"/>
        <filter val="Mar-06"/>
        <filter val="Mar-07"/>
        <filter val="Mar-08"/>
        <filter val="Mar-09"/>
        <filter val="Sep-20"/>
        <filter val="Sep-22"/>
        <filter val="Sep-21"/>
        <filter val="Sep-24"/>
        <filter val="Sep-23"/>
        <filter val="Sep-26"/>
        <filter val="Sep-25"/>
        <filter val="Sep-11"/>
        <filter val="Sep-10"/>
        <filter val="Sep-17"/>
        <filter val="Sep-16"/>
        <filter val="Sep-19"/>
        <filter val="Sep-18"/>
        <filter val="Sep-13"/>
        <filter val="Sep-12"/>
        <filter val="Sep-15"/>
        <filter val="Sep-14"/>
        <filter val="Feb-05"/>
        <filter val="Feb-04"/>
        <filter val="Oct-09"/>
        <filter val="Feb-03"/>
        <filter val="Oct-08"/>
        <filter val="Feb-02"/>
        <filter val="Oct-07"/>
        <filter val="Feb-01"/>
        <filter val="Oct-06"/>
        <filter val="Oct-05"/>
        <filter val="Oct-04"/>
        <filter val="Oct-03"/>
        <filter val="Oct-02"/>
        <filter val="Oct-01"/>
        <filter val="Feb-09"/>
        <filter val="Feb-08"/>
        <filter val="Feb-07"/>
        <filter val="Feb-06"/>
        <filter val="oct-70"/>
        <filter val="oct-71"/>
        <filter val="oct-74"/>
        <filter val="oct-75"/>
        <filter val="oct-72"/>
        <filter val="oct-73"/>
        <filter val="oct-78"/>
        <filter val="oct-79"/>
        <filter val="oct-76"/>
        <filter val="oct-77"/>
        <filter val="Mar-23"/>
        <filter val="Mar-24"/>
        <filter val="Feb-26"/>
        <filter val="Feb-25"/>
        <filter val="Mar-25"/>
        <filter val="Feb-24"/>
        <filter val="Mar-26"/>
        <filter val="Feb-23"/>
        <filter val="Feb-22"/>
        <filter val="Feb-21"/>
        <filter val="Feb-20"/>
        <filter val="Dec-25"/>
        <filter val="Dec-23"/>
        <filter val="Dec-24"/>
        <filter val="Dec-21"/>
        <filter val="Dec-22"/>
        <filter val="Dec-20"/>
        <filter val="oct-81"/>
        <filter val="oct-82"/>
        <filter val="oct-80"/>
        <filter val="oct-85"/>
        <filter val="oct-86"/>
        <filter val="oct-83"/>
        <filter val="oct-84"/>
        <filter val="oct-89"/>
        <filter val="Mar-20"/>
        <filter val="oct-87"/>
        <filter val="Mar-21"/>
        <filter val="oct-88"/>
        <filter val="Mar-22"/>
        <filter val="Mar-12"/>
        <filter val="Feb-16"/>
        <filter val="Mar-13"/>
        <filter val="Feb-15"/>
        <filter val="Feb-14"/>
        <filter val="Mar-14"/>
        <filter val="Feb-13"/>
        <filter val="Mar-15"/>
        <filter val="Feb-12"/>
        <filter val="Mar-16"/>
        <filter val="Feb-11"/>
        <filter val="Mar-17"/>
        <filter val="Feb-10"/>
        <filter val="Mar-18"/>
        <filter val="Mar-19"/>
        <filter val="oct-92"/>
        <filter val="oct-93"/>
        <filter val="oct-90"/>
        <filter val="oct-91"/>
        <filter val="oct-96"/>
        <filter val="oct-97"/>
        <filter val="oct-94"/>
        <filter val="oct-95"/>
        <filter val="Feb-19"/>
        <filter val="oct-98"/>
        <filter val="Mar-10"/>
        <filter val="Feb-18"/>
        <filter val="oct-99"/>
        <filter val="Mar-11"/>
        <filter val="Feb-17"/>
        <filter val="Jul-01"/>
        <filter val="Jan-20"/>
        <filter val="Jan-21"/>
        <filter val="Jul-03"/>
        <filter val="Jan-22"/>
        <filter val="Jul-02"/>
        <filter val="Jan-23"/>
        <filter val="Dec-03"/>
        <filter val="Aug-09"/>
        <filter val="Jan-24"/>
        <filter val="Dec-04"/>
        <filter val="Aug-08"/>
        <filter val="Jan-25"/>
        <filter val="Dec-01"/>
        <filter val="Aug-07"/>
        <filter val="Jan-26"/>
        <filter val="Dec-02"/>
        <filter val="Aug-06"/>
        <filter val="Aug-12"/>
        <filter val="Aug-11"/>
        <filter val="Dec-09"/>
        <filter val="Aug-10"/>
        <filter val="Dec-07"/>
        <filter val="Aug-16"/>
        <filter val="Dec-08"/>
        <filter val="Aug-15"/>
        <filter val="Dec-05"/>
        <filter val="Aug-14"/>
        <filter val="Dec-06"/>
        <filter val="Aug-13"/>
        <filter val="Jul-05"/>
        <filter val="Jul-04"/>
        <filter val="Jul-07"/>
        <filter val="Jul-06"/>
        <filter val="Jul-09"/>
        <filter val="Jul-08"/>
        <filter val="Dec-14"/>
        <filter val="Dec-15"/>
        <filter val="Aug-19"/>
        <filter val="Dec-12"/>
        <filter val="Aug-18"/>
        <filter val="Dec-13"/>
        <filter val="Aug-17"/>
        <filter val="Dec-10"/>
        <filter val="Dec-11"/>
        <filter val="Aug-23"/>
        <filter val="Aug-22"/>
        <filter val="Aug-21"/>
        <filter val="Aug-20"/>
        <filter val="Dec-18"/>
        <filter val="Dec-19"/>
        <filter val="Aug-26"/>
        <filter val="Dec-16"/>
        <filter val="Aug-25"/>
        <filter val="Dec-17"/>
        <filter val="Aug-24"/>
        <filter val="Jan-01"/>
        <filter val="Oct-25"/>
        <filter val="Jan-02"/>
        <filter val="Jan-03"/>
        <filter val="Jan-04"/>
        <filter val="Jan-05"/>
        <filter val="Jan-06"/>
        <filter val="Jan-07"/>
        <filter val="Jan-08"/>
        <filter val="Jan-09"/>
        <filter val="Oct-24"/>
        <filter val="Oct-23"/>
        <filter val="Oct-22"/>
        <filter val="Oct-21"/>
        <filter val="Oct-20"/>
        <filter val="Oct-19"/>
        <filter val="Oct-18"/>
        <filter val="Oct-17"/>
        <filter val="Jan-10"/>
        <filter val="Oct-16"/>
        <filter val="Jan-11"/>
        <filter val="Oct-15"/>
        <filter val="Jan-12"/>
        <filter val="Oct-14"/>
        <filter val="Jan-13"/>
        <filter val="Jan-14"/>
        <filter val="Jan-15"/>
        <filter val="Jan-16"/>
        <filter val="Jan-17"/>
        <filter val="Jan-18"/>
        <filter val="Jan-19"/>
        <filter val="Oct-13"/>
        <filter val="Oct-12"/>
        <filter val="Oct-11"/>
        <filter val="Oct-10"/>
        <filter val="Sep-06"/>
        <filter val="Sep-05"/>
        <filter val="Sep-08"/>
        <filter val="Sep-07"/>
        <filter val="Sep-02"/>
        <filter val="Sep-01"/>
        <filter val="Sep-04"/>
        <filter val="Sep-03"/>
        <filter val="Sep-09"/>
        <filter val="oct-00"/>
        <filter val="Aug-01"/>
        <filter val="Aug-05"/>
        <filter val="Aug-04"/>
        <filter val="Aug-03"/>
        <filter val="Aug-02"/>
        <filter val="Apr-21"/>
        <filter val="Jun-22"/>
        <filter val="Apr-20"/>
        <filter val="Jun-23"/>
        <filter val="Jun-20"/>
        <filter val="Apr-23"/>
        <filter val="Jun-21"/>
        <filter val="Apr-22"/>
        <filter val="Apr-25"/>
        <filter val="Jun-26"/>
        <filter val="Apr-24"/>
        <filter val="Jun-24"/>
        <filter val="Jun-25"/>
        <filter val="Apr-26"/>
        <filter val="Jun-11"/>
        <filter val="Jun-12"/>
        <filter val="Jun-10"/>
        <filter val="Jun-15"/>
        <filter val="Jun-16"/>
        <filter val="Jun-13"/>
        <filter val="Jun-14"/>
        <filter val="Nov-19"/>
        <filter val="May-21"/>
        <filter val="Nov-22"/>
        <filter val="May-20"/>
        <filter val="Nov-23"/>
        <filter val="Nov-24"/>
        <filter val="Nov-25"/>
        <filter val="Jun-19"/>
        <filter val="May-25"/>
        <filter val="May-24"/>
        <filter val="Jun-17"/>
        <filter val="Nov-20"/>
        <filter val="May-23"/>
        <filter val="Jun-18"/>
        <filter val="Nov-21"/>
        <filter val="May-22"/>
        <filter val="May-26"/>
        <filter val="Jun-01"/>
        <filter val="Apr-01"/>
        <filter val="May-19"/>
        <filter val="Apr-03"/>
        <filter val="Jun-04"/>
        <filter val="Apr-02"/>
        <filter val="Jun-05"/>
        <filter val="Jun-02"/>
        <filter val="Apr-05"/>
        <filter val="Jun-03"/>
        <filter val="Apr-04"/>
        <filter val="Nov-08"/>
        <filter val="Nov-09"/>
        <filter val="Nov-15"/>
        <filter val="Nov-16"/>
        <filter val="Nov-17"/>
        <filter val="Nov-18"/>
        <filter val="May-10"/>
        <filter val="Nov-11"/>
        <filter val="Nov-12"/>
        <filter val="Nov-13"/>
        <filter val="Nov-14"/>
        <filter val="Apr-07"/>
        <filter val="Jun-08"/>
        <filter val="May-14"/>
        <filter val="Apr-06"/>
        <filter val="Jun-09"/>
        <filter val="May-13"/>
        <filter val="Jun-06"/>
        <filter val="Apr-09"/>
        <filter val="May-12"/>
        <filter val="Jun-07"/>
        <filter val="Apr-08"/>
        <filter val="Nov-10"/>
        <filter val="May-11"/>
        <filter val="May-18"/>
        <filter val="May-17"/>
        <filter val="May-16"/>
        <filter val="May-15"/>
        <filter val="Apr-10"/>
        <filter val="May-09"/>
        <filter val="Apr-12"/>
        <filter val="May-08"/>
        <filter val="Apr-11"/>
        <filter val="Apr-14"/>
        <filter val="Apr-13"/>
        <filter val="Apr-16"/>
        <filter val="Apr-15"/>
        <filter val="Nov-04"/>
        <filter val="Nov-05"/>
        <filter val="Nov-06"/>
        <filter val="Nov-07"/>
        <filter val="Nov-01"/>
        <filter val="Nov-02"/>
        <filter val="Nov-03"/>
        <filter val="May-03"/>
        <filter val="Apr-18"/>
        <filter val="May-02"/>
        <filter val="Apr-17"/>
        <filter val="May-01"/>
        <filter val="Apr-19"/>
        <filter val="May-07"/>
        <filter val="May-06"/>
        <filter val="May-05"/>
        <filter val="May-04"/>
        <filter val="Jul-21"/>
        <filter val="Jul-20"/>
        <filter val="Jul-23"/>
        <filter val="Jul-22"/>
        <filter val="Jul-25"/>
        <filter val="Jul-24"/>
        <filter val="Jul-26"/>
        <filter val="Jul-10"/>
        <filter val="Jul-12"/>
        <filter val="Jul-11"/>
        <filter val="Jul-14"/>
        <filter val="Jul-13"/>
        <filter val="Jul-16"/>
        <filter val="Jul-15"/>
        <filter val="Jul-18"/>
        <filter val="Jul-17"/>
        <filter val="Jul-19"/>
      </filters>
    </filterColumn>
  </autoFil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3" max="3" width="14.38"/>
    <col customWidth="1" min="4" max="4" width="15.88"/>
  </cols>
  <sheetData>
    <row r="1">
      <c r="A1" s="65"/>
      <c r="B1" s="67"/>
      <c r="C1" s="37"/>
    </row>
    <row r="2" hidden="1">
      <c r="A2" s="65">
        <v>46027.0</v>
      </c>
      <c r="B2" s="67">
        <v>58.3091604</v>
      </c>
      <c r="C2" s="37"/>
    </row>
    <row r="3" hidden="1">
      <c r="A3" s="65">
        <v>46058.0</v>
      </c>
      <c r="B3" s="67">
        <v>58.503431</v>
      </c>
      <c r="C3" s="37"/>
      <c r="D3" s="37"/>
      <c r="E3" s="37"/>
    </row>
    <row r="4" hidden="1">
      <c r="A4" s="65">
        <v>46086.0</v>
      </c>
      <c r="B4" s="67">
        <v>58.767121</v>
      </c>
      <c r="C4" s="37"/>
      <c r="D4" s="37"/>
      <c r="E4" s="37"/>
    </row>
    <row r="5" hidden="1">
      <c r="A5" s="65">
        <v>46117.0</v>
      </c>
      <c r="B5" s="67">
        <v>58.9764152</v>
      </c>
      <c r="D5" s="37"/>
      <c r="E5" s="37"/>
    </row>
    <row r="6" hidden="1">
      <c r="A6" s="65">
        <v>46147.0</v>
      </c>
      <c r="B6" s="67">
        <v>58.8282515</v>
      </c>
      <c r="D6" s="37"/>
      <c r="E6" s="37"/>
    </row>
    <row r="7" hidden="1">
      <c r="A7" s="65">
        <v>46178.0</v>
      </c>
      <c r="B7" s="67">
        <v>58.7717835</v>
      </c>
      <c r="D7" s="37"/>
      <c r="E7" s="37"/>
    </row>
    <row r="8" hidden="1">
      <c r="A8" s="65">
        <v>46208.0</v>
      </c>
      <c r="B8" s="67">
        <v>59.0017999</v>
      </c>
      <c r="D8" s="37"/>
    </row>
    <row r="9" hidden="1">
      <c r="A9" s="65">
        <v>46239.0</v>
      </c>
      <c r="B9" s="67">
        <v>59.0722554</v>
      </c>
      <c r="D9" s="37"/>
    </row>
    <row r="10" hidden="1">
      <c r="A10" s="65">
        <v>46270.0</v>
      </c>
      <c r="B10" s="67">
        <v>59.3090065</v>
      </c>
      <c r="D10" s="37"/>
    </row>
    <row r="11" hidden="1">
      <c r="A11" s="65">
        <v>46300.0</v>
      </c>
      <c r="B11" s="67">
        <v>59.4545799</v>
      </c>
      <c r="D11" s="37"/>
    </row>
    <row r="12" hidden="1">
      <c r="A12" s="65">
        <v>46331.0</v>
      </c>
      <c r="B12" s="67">
        <v>59.8824934</v>
      </c>
      <c r="D12" s="37"/>
    </row>
    <row r="13">
      <c r="A13" s="65">
        <v>46361.0</v>
      </c>
      <c r="B13" s="67">
        <v>60.2503124</v>
      </c>
      <c r="C13" s="68">
        <f>average(B2:B13)</f>
        <v>59.09388418</v>
      </c>
      <c r="D13" s="37"/>
    </row>
    <row r="14" hidden="1">
      <c r="A14" s="65">
        <v>46028.0</v>
      </c>
      <c r="B14" s="67">
        <v>60.6036259</v>
      </c>
      <c r="C14" s="37"/>
      <c r="D14" s="39"/>
    </row>
    <row r="15" hidden="1">
      <c r="A15" s="65">
        <v>46059.0</v>
      </c>
      <c r="B15" s="67">
        <v>60.6963577</v>
      </c>
      <c r="C15" s="37"/>
      <c r="D15" s="39"/>
    </row>
    <row r="16" hidden="1">
      <c r="A16" s="65">
        <v>46087.0</v>
      </c>
      <c r="B16" s="67">
        <v>60.7725118</v>
      </c>
      <c r="C16" s="37"/>
      <c r="D16" s="39"/>
    </row>
    <row r="17" hidden="1">
      <c r="A17" s="65">
        <v>46118.0</v>
      </c>
      <c r="B17" s="67">
        <v>60.8616173</v>
      </c>
      <c r="D17" s="39"/>
    </row>
    <row r="18" hidden="1">
      <c r="A18" s="65">
        <v>46148.0</v>
      </c>
      <c r="B18" s="67">
        <v>60.5906745</v>
      </c>
      <c r="D18" s="39"/>
    </row>
    <row r="19" hidden="1">
      <c r="A19" s="65">
        <v>46179.0</v>
      </c>
      <c r="B19" s="67">
        <v>60.6429981</v>
      </c>
      <c r="D19" s="39"/>
    </row>
    <row r="20" hidden="1">
      <c r="A20" s="65">
        <v>46209.0</v>
      </c>
      <c r="B20" s="67">
        <v>60.8092937</v>
      </c>
      <c r="D20" s="39"/>
    </row>
    <row r="21" hidden="1">
      <c r="A21" s="65">
        <v>46240.0</v>
      </c>
      <c r="B21" s="67">
        <v>61.1196086</v>
      </c>
      <c r="D21" s="39"/>
    </row>
    <row r="22" hidden="1">
      <c r="A22" s="65">
        <v>46271.0</v>
      </c>
      <c r="B22" s="67">
        <v>61.7366121</v>
      </c>
      <c r="D22" s="39"/>
    </row>
    <row r="23" hidden="1">
      <c r="A23" s="65">
        <v>46301.0</v>
      </c>
      <c r="B23" s="67">
        <v>62.0065188</v>
      </c>
      <c r="D23" s="39"/>
    </row>
    <row r="24" hidden="1">
      <c r="A24" s="65">
        <v>46332.0</v>
      </c>
      <c r="B24" s="67">
        <v>62.3318573</v>
      </c>
      <c r="D24" s="39"/>
    </row>
    <row r="25">
      <c r="A25" s="65">
        <v>46362.0</v>
      </c>
      <c r="B25" s="67">
        <v>62.6924236</v>
      </c>
      <c r="C25" s="68">
        <f>average(B14:B25)</f>
        <v>61.23867495</v>
      </c>
      <c r="D25" s="39"/>
    </row>
    <row r="26" hidden="1">
      <c r="A26" s="65">
        <v>46029.0</v>
      </c>
      <c r="B26" s="67">
        <v>63.0162079</v>
      </c>
      <c r="C26" s="37"/>
      <c r="D26" s="39"/>
    </row>
    <row r="27" hidden="1">
      <c r="A27" s="65">
        <v>46060.0</v>
      </c>
      <c r="B27" s="67">
        <v>63.1923466</v>
      </c>
      <c r="C27" s="37"/>
      <c r="D27" s="39"/>
    </row>
    <row r="28" hidden="1">
      <c r="A28" s="65">
        <v>46088.0</v>
      </c>
      <c r="B28" s="67">
        <v>63.3291131</v>
      </c>
      <c r="C28" s="37"/>
    </row>
    <row r="29" hidden="1">
      <c r="A29" s="65">
        <v>46119.0</v>
      </c>
      <c r="B29" s="67">
        <v>63.2912951</v>
      </c>
    </row>
    <row r="30" hidden="1">
      <c r="A30" s="65">
        <v>46149.0</v>
      </c>
      <c r="B30" s="67">
        <v>62.9825344</v>
      </c>
    </row>
    <row r="31" hidden="1">
      <c r="A31" s="65">
        <v>46180.0</v>
      </c>
      <c r="B31" s="67">
        <v>63.0581704</v>
      </c>
    </row>
    <row r="32" hidden="1">
      <c r="A32" s="65">
        <v>46210.0</v>
      </c>
      <c r="B32" s="67">
        <v>63.3260048</v>
      </c>
    </row>
    <row r="33" hidden="1">
      <c r="A33" s="65">
        <v>46241.0</v>
      </c>
      <c r="B33" s="67">
        <v>63.5839962</v>
      </c>
    </row>
    <row r="34" hidden="1">
      <c r="A34" s="65">
        <v>46272.0</v>
      </c>
      <c r="B34" s="67">
        <v>64.0777026</v>
      </c>
    </row>
    <row r="35" hidden="1">
      <c r="A35" s="65">
        <v>46302.0</v>
      </c>
      <c r="B35" s="67">
        <v>64.3274051</v>
      </c>
    </row>
    <row r="36" hidden="1">
      <c r="A36" s="65">
        <v>46333.0</v>
      </c>
      <c r="B36" s="67">
        <v>64.7812213</v>
      </c>
    </row>
    <row r="37">
      <c r="A37" s="65">
        <v>46363.0</v>
      </c>
      <c r="B37" s="67">
        <v>65.0490557</v>
      </c>
      <c r="C37" s="68">
        <f>average(B26:B37)</f>
        <v>63.6679211</v>
      </c>
    </row>
    <row r="38" hidden="1">
      <c r="A38" s="65">
        <v>46030.0</v>
      </c>
      <c r="B38" s="67">
        <v>65.3505637</v>
      </c>
      <c r="C38" s="37"/>
    </row>
    <row r="39" hidden="1">
      <c r="A39" s="65">
        <v>46061.0</v>
      </c>
      <c r="B39" s="67">
        <v>65.5448343</v>
      </c>
      <c r="C39" s="37"/>
    </row>
    <row r="40" hidden="1">
      <c r="A40" s="65">
        <v>46089.0</v>
      </c>
      <c r="B40" s="67">
        <v>66.0198907</v>
      </c>
      <c r="C40" s="37"/>
      <c r="D40" s="1" t="s">
        <v>2559</v>
      </c>
      <c r="E40" s="37">
        <v>3729469.0</v>
      </c>
      <c r="G40" s="1" t="s">
        <v>2559</v>
      </c>
      <c r="H40" s="37">
        <v>6043589.0</v>
      </c>
    </row>
    <row r="41" hidden="1">
      <c r="A41" s="65">
        <v>46120.0</v>
      </c>
      <c r="B41" s="67">
        <v>66.1701267</v>
      </c>
      <c r="D41" s="1" t="s">
        <v>2560</v>
      </c>
      <c r="E41" s="37">
        <v>7336418.0</v>
      </c>
      <c r="G41" s="1" t="s">
        <v>2560</v>
      </c>
      <c r="H41" s="37">
        <v>7804923.0</v>
      </c>
    </row>
    <row r="42" hidden="1">
      <c r="A42" s="65">
        <v>46150.0</v>
      </c>
      <c r="B42" s="67">
        <v>66.0986351</v>
      </c>
      <c r="D42" s="1" t="s">
        <v>2561</v>
      </c>
      <c r="E42" s="37">
        <v>33331.0</v>
      </c>
      <c r="G42" s="1" t="s">
        <v>2561</v>
      </c>
      <c r="H42" s="37">
        <v>1394.0</v>
      </c>
    </row>
    <row r="43" hidden="1">
      <c r="A43" s="65">
        <v>46181.0</v>
      </c>
      <c r="B43" s="67">
        <v>66.3721681</v>
      </c>
      <c r="D43" s="1" t="s">
        <v>2562</v>
      </c>
      <c r="E43" s="37">
        <v>68989.0</v>
      </c>
      <c r="G43" s="1" t="s">
        <v>2562</v>
      </c>
      <c r="H43" s="37">
        <v>24945.0</v>
      </c>
    </row>
    <row r="44" hidden="1">
      <c r="A44" s="65">
        <v>46211.0</v>
      </c>
      <c r="B44" s="67">
        <v>66.7420594</v>
      </c>
      <c r="D44" s="1" t="s">
        <v>2563</v>
      </c>
      <c r="E44" s="37">
        <v>1341028.0</v>
      </c>
      <c r="G44" s="1" t="s">
        <v>2563</v>
      </c>
      <c r="H44" s="37">
        <v>1915449.0</v>
      </c>
    </row>
    <row r="45" hidden="1">
      <c r="A45" s="65">
        <v>46242.0</v>
      </c>
      <c r="B45" s="67">
        <v>67.1274923</v>
      </c>
      <c r="D45" s="1" t="s">
        <v>2564</v>
      </c>
      <c r="E45" s="37"/>
      <c r="G45" s="1" t="s">
        <v>2564</v>
      </c>
      <c r="H45" s="37"/>
    </row>
    <row r="46" hidden="1">
      <c r="A46" s="65">
        <v>46273.0</v>
      </c>
      <c r="B46" s="67">
        <v>67.5849348</v>
      </c>
      <c r="D46" s="1" t="s">
        <v>2567</v>
      </c>
      <c r="E46" s="37">
        <v>5914376.0</v>
      </c>
      <c r="G46" s="1" t="s">
        <v>2567</v>
      </c>
      <c r="H46" s="37">
        <v>3.8975654E7</v>
      </c>
    </row>
    <row r="47" hidden="1">
      <c r="A47" s="65">
        <v>46303.0</v>
      </c>
      <c r="B47" s="67">
        <v>68.0454857</v>
      </c>
      <c r="D47" s="1" t="s">
        <v>2568</v>
      </c>
      <c r="E47" s="37">
        <v>304602.0</v>
      </c>
      <c r="G47" s="1" t="s">
        <v>2568</v>
      </c>
      <c r="H47" s="37">
        <v>73336.0</v>
      </c>
    </row>
    <row r="48" hidden="1">
      <c r="A48" s="65">
        <v>46334.0</v>
      </c>
      <c r="B48" s="67">
        <v>68.8189418</v>
      </c>
      <c r="D48" s="1" t="s">
        <v>2569</v>
      </c>
      <c r="E48" s="37">
        <v>1.784563E7</v>
      </c>
      <c r="G48" s="1" t="s">
        <v>2569</v>
      </c>
      <c r="H48" s="37">
        <v>2.34089011E8</v>
      </c>
    </row>
    <row r="49">
      <c r="A49" s="65">
        <v>46364.0</v>
      </c>
      <c r="B49" s="67">
        <v>69.2955524</v>
      </c>
      <c r="C49" s="68">
        <f>average(B38:B49)</f>
        <v>66.93089042</v>
      </c>
      <c r="E49" s="37"/>
      <c r="H49" s="37"/>
    </row>
    <row r="50" hidden="1">
      <c r="A50" s="65">
        <v>46031.0</v>
      </c>
      <c r="B50" s="67">
        <v>69.4561494</v>
      </c>
      <c r="C50" s="37"/>
      <c r="D50" s="1" t="s">
        <v>2571</v>
      </c>
      <c r="E50" s="37"/>
      <c r="G50" s="1" t="s">
        <v>2571</v>
      </c>
      <c r="H50" s="37"/>
    </row>
    <row r="51" hidden="1">
      <c r="A51" s="65">
        <v>46062.0</v>
      </c>
      <c r="B51" s="67">
        <v>69.6094937</v>
      </c>
      <c r="C51" s="37"/>
      <c r="D51" s="1" t="s">
        <v>2572</v>
      </c>
      <c r="E51" s="37">
        <v>2509756.0</v>
      </c>
      <c r="G51" s="1" t="s">
        <v>2573</v>
      </c>
      <c r="H51" s="37">
        <v>5950000.0</v>
      </c>
    </row>
    <row r="52" hidden="1">
      <c r="A52" s="65">
        <v>46090.0</v>
      </c>
      <c r="B52" s="67">
        <v>70.0099502</v>
      </c>
      <c r="C52" s="37"/>
      <c r="D52" s="1" t="s">
        <v>2574</v>
      </c>
      <c r="E52" s="37">
        <v>66158.0</v>
      </c>
      <c r="G52" s="1" t="s">
        <v>2572</v>
      </c>
      <c r="H52" s="37">
        <v>5212369.0</v>
      </c>
    </row>
    <row r="53" hidden="1">
      <c r="A53" s="65">
        <v>46121.0</v>
      </c>
      <c r="B53" s="67">
        <v>70.2549902</v>
      </c>
      <c r="D53" s="1" t="s">
        <v>2575</v>
      </c>
      <c r="E53" s="37">
        <v>154000.0</v>
      </c>
      <c r="G53" s="1" t="s">
        <v>2574</v>
      </c>
      <c r="H53" s="37">
        <v>7000.0</v>
      </c>
    </row>
    <row r="54" hidden="1">
      <c r="A54" s="65">
        <v>46151.0</v>
      </c>
      <c r="B54" s="67">
        <v>70.0503585</v>
      </c>
      <c r="D54" s="1" t="s">
        <v>2576</v>
      </c>
      <c r="E54" s="37">
        <v>2767460.0</v>
      </c>
      <c r="G54" s="1" t="s">
        <v>2575</v>
      </c>
      <c r="H54" s="37">
        <v>57000.0</v>
      </c>
    </row>
    <row r="55" hidden="1">
      <c r="A55" s="65">
        <v>46182.0</v>
      </c>
      <c r="B55" s="67">
        <v>70.1793542</v>
      </c>
      <c r="D55" s="1" t="s">
        <v>2577</v>
      </c>
      <c r="E55" s="37">
        <v>805363.0</v>
      </c>
      <c r="G55" s="1" t="s">
        <v>2576</v>
      </c>
      <c r="H55" s="37">
        <v>1889460.0</v>
      </c>
    </row>
    <row r="56" hidden="1">
      <c r="A56" s="65">
        <v>46212.0</v>
      </c>
      <c r="B56" s="67">
        <v>70.3705164</v>
      </c>
      <c r="D56" s="1" t="s">
        <v>2578</v>
      </c>
      <c r="E56" s="37">
        <v>136023.0</v>
      </c>
      <c r="G56" s="1" t="s">
        <v>2577</v>
      </c>
      <c r="H56" s="37">
        <v>730922.0</v>
      </c>
    </row>
    <row r="57" hidden="1">
      <c r="A57" s="65">
        <v>46243.0</v>
      </c>
      <c r="B57" s="67">
        <v>70.5388843</v>
      </c>
      <c r="D57" s="1" t="s">
        <v>2580</v>
      </c>
      <c r="E57" s="37">
        <v>100000.0</v>
      </c>
      <c r="G57" s="1" t="s">
        <v>2578</v>
      </c>
      <c r="H57" s="37">
        <v>139288.0</v>
      </c>
    </row>
    <row r="58" hidden="1">
      <c r="A58" s="65">
        <v>46274.0</v>
      </c>
      <c r="B58" s="67">
        <v>70.8927159</v>
      </c>
      <c r="D58" s="1" t="s">
        <v>2581</v>
      </c>
      <c r="E58" s="37">
        <v>456212.0</v>
      </c>
      <c r="G58" s="1" t="s">
        <v>2580</v>
      </c>
      <c r="H58" s="37">
        <v>88000.0</v>
      </c>
    </row>
    <row r="59" hidden="1">
      <c r="A59" s="65">
        <v>46304.0</v>
      </c>
      <c r="B59" s="67">
        <v>71.1071906</v>
      </c>
      <c r="D59" s="1" t="s">
        <v>2582</v>
      </c>
      <c r="E59" s="37">
        <v>5.853139E7</v>
      </c>
      <c r="G59" s="1" t="s">
        <v>2582</v>
      </c>
      <c r="H59" s="37">
        <v>1.7563624E7</v>
      </c>
    </row>
    <row r="60" hidden="1">
      <c r="A60" s="65">
        <v>46335.0</v>
      </c>
      <c r="B60" s="67">
        <v>71.4760458</v>
      </c>
      <c r="D60" s="1" t="s">
        <v>2583</v>
      </c>
      <c r="E60" s="37">
        <v>2621419.0</v>
      </c>
      <c r="G60" s="1" t="s">
        <v>2583</v>
      </c>
      <c r="H60" s="37">
        <v>4.8522698E7</v>
      </c>
    </row>
    <row r="61">
      <c r="A61" s="65">
        <v>46365.0</v>
      </c>
      <c r="B61" s="67">
        <v>71.7718552</v>
      </c>
      <c r="C61" s="68">
        <f>average(B50:B61)</f>
        <v>70.4764587</v>
      </c>
      <c r="E61" s="37"/>
      <c r="H61" s="37"/>
    </row>
    <row r="62" hidden="1">
      <c r="A62" s="66">
        <v>46032.0</v>
      </c>
      <c r="B62" s="67">
        <v>72.552046</v>
      </c>
      <c r="C62" s="37"/>
      <c r="D62" s="1" t="s">
        <v>2585</v>
      </c>
      <c r="E62" s="37">
        <v>512452.0</v>
      </c>
      <c r="G62" s="1" t="s">
        <v>2585</v>
      </c>
      <c r="H62" s="37">
        <v>90305.0</v>
      </c>
    </row>
    <row r="63" hidden="1">
      <c r="A63" s="66">
        <v>46063.0</v>
      </c>
      <c r="B63" s="67">
        <v>72.9716705</v>
      </c>
      <c r="C63" s="37"/>
      <c r="D63" s="1" t="s">
        <v>2586</v>
      </c>
      <c r="E63" s="37">
        <v>460163.0</v>
      </c>
      <c r="G63" s="1" t="s">
        <v>2586</v>
      </c>
      <c r="H63" s="37">
        <v>1581902.0</v>
      </c>
    </row>
    <row r="64" hidden="1">
      <c r="A64" s="66">
        <v>46091.0</v>
      </c>
      <c r="B64" s="67">
        <v>73.4897255</v>
      </c>
      <c r="C64" s="37"/>
      <c r="D64" s="1" t="s">
        <v>2587</v>
      </c>
      <c r="E64" s="37">
        <v>1148456.0</v>
      </c>
      <c r="G64" s="1" t="s">
        <v>2587</v>
      </c>
      <c r="H64" s="37">
        <v>6966092.0</v>
      </c>
    </row>
    <row r="65" hidden="1">
      <c r="A65" s="66">
        <v>46122.0</v>
      </c>
      <c r="B65" s="67">
        <v>73.2555646</v>
      </c>
      <c r="D65" s="1" t="s">
        <v>2588</v>
      </c>
      <c r="E65" s="37">
        <v>878477.0</v>
      </c>
      <c r="G65" s="1" t="s">
        <v>2588</v>
      </c>
      <c r="H65" s="37">
        <v>69363.0</v>
      </c>
    </row>
    <row r="66" hidden="1">
      <c r="A66" s="66">
        <v>46152.0</v>
      </c>
      <c r="B66" s="67">
        <v>72.7939777</v>
      </c>
      <c r="D66" s="1" t="s">
        <v>2589</v>
      </c>
      <c r="E66" s="37"/>
      <c r="G66" s="1" t="s">
        <v>2589</v>
      </c>
      <c r="H66" s="37"/>
    </row>
    <row r="67" hidden="1">
      <c r="A67" s="66">
        <v>46183.0</v>
      </c>
      <c r="B67" s="67">
        <v>72.7711832</v>
      </c>
      <c r="E67" s="39">
        <f>SUM(E40:E66)</f>
        <v>107721172</v>
      </c>
      <c r="H67" s="39">
        <f>SUM(H40:H66)</f>
        <v>377796324</v>
      </c>
    </row>
    <row r="68" hidden="1">
      <c r="A68" s="66">
        <v>46213.0</v>
      </c>
      <c r="B68" s="67">
        <v>72.92919</v>
      </c>
    </row>
    <row r="69" hidden="1">
      <c r="A69" s="66">
        <v>46244.0</v>
      </c>
      <c r="B69" s="67">
        <v>73.1317495</v>
      </c>
    </row>
    <row r="70" hidden="1">
      <c r="A70" s="66">
        <v>46275.0</v>
      </c>
      <c r="B70" s="67">
        <v>73.5151102</v>
      </c>
    </row>
    <row r="71" hidden="1">
      <c r="A71" s="66">
        <v>46305.0</v>
      </c>
      <c r="B71" s="67">
        <v>73.9689264</v>
      </c>
    </row>
    <row r="72" hidden="1">
      <c r="A72" s="66">
        <v>46336.0</v>
      </c>
      <c r="B72" s="67">
        <v>74.5615812</v>
      </c>
    </row>
    <row r="73">
      <c r="A73" s="66">
        <v>46366.0</v>
      </c>
      <c r="B73" s="67">
        <v>74.9309545</v>
      </c>
      <c r="C73" s="68">
        <f>average(B62:B73)</f>
        <v>73.40597328</v>
      </c>
    </row>
    <row r="74" hidden="1">
      <c r="A74" s="66">
        <v>46033.0</v>
      </c>
      <c r="B74" s="67">
        <v>75.2959913</v>
      </c>
      <c r="C74" s="37"/>
    </row>
    <row r="75" hidden="1">
      <c r="A75" s="66">
        <v>46064.0</v>
      </c>
      <c r="B75" s="67">
        <v>75.5784602</v>
      </c>
      <c r="C75" s="37"/>
    </row>
    <row r="76" hidden="1">
      <c r="A76" s="66">
        <v>46092.0</v>
      </c>
      <c r="B76" s="67">
        <v>75.7234509</v>
      </c>
      <c r="C76" s="37"/>
    </row>
    <row r="77" hidden="1">
      <c r="A77" s="66">
        <v>46123.0</v>
      </c>
      <c r="B77" s="67">
        <v>75.717441</v>
      </c>
    </row>
    <row r="78" hidden="1">
      <c r="A78" s="66">
        <v>46153.0</v>
      </c>
      <c r="B78" s="67">
        <v>75.1592644</v>
      </c>
    </row>
    <row r="79" hidden="1">
      <c r="A79" s="66">
        <v>46184.0</v>
      </c>
      <c r="B79" s="67">
        <v>75.1555081</v>
      </c>
    </row>
    <row r="80" hidden="1">
      <c r="A80" s="66">
        <v>46214.0</v>
      </c>
      <c r="B80" s="67">
        <v>75.5161067</v>
      </c>
    </row>
    <row r="81" hidden="1">
      <c r="A81" s="66">
        <v>46245.0</v>
      </c>
      <c r="B81" s="67">
        <v>75.635555</v>
      </c>
    </row>
    <row r="82" hidden="1">
      <c r="A82" s="66">
        <v>46276.0</v>
      </c>
      <c r="B82" s="67">
        <v>75.821113</v>
      </c>
    </row>
    <row r="83" hidden="1">
      <c r="A83" s="66">
        <v>46306.0</v>
      </c>
      <c r="B83" s="67">
        <v>76.3327123</v>
      </c>
    </row>
    <row r="84" hidden="1">
      <c r="A84" s="66">
        <v>46337.0</v>
      </c>
      <c r="B84" s="67">
        <v>77.1583328</v>
      </c>
    </row>
    <row r="85">
      <c r="A85" s="66">
        <v>46367.0</v>
      </c>
      <c r="B85" s="67">
        <v>77.7923854</v>
      </c>
      <c r="C85" s="68">
        <f>average(B74:B85)</f>
        <v>75.90719343</v>
      </c>
    </row>
    <row r="86" hidden="1">
      <c r="A86" s="66">
        <v>46034.0</v>
      </c>
      <c r="B86" s="67">
        <v>78.3430495</v>
      </c>
      <c r="C86" s="37"/>
    </row>
    <row r="87" hidden="1">
      <c r="A87" s="66">
        <v>46065.0</v>
      </c>
      <c r="B87" s="67">
        <v>78.5023138</v>
      </c>
      <c r="C87" s="37"/>
    </row>
    <row r="88" hidden="1">
      <c r="A88" s="66">
        <v>46093.0</v>
      </c>
      <c r="B88" s="67">
        <v>78.5473887</v>
      </c>
      <c r="C88" s="37"/>
    </row>
    <row r="89" hidden="1">
      <c r="A89" s="66">
        <v>46124.0</v>
      </c>
      <c r="B89" s="67">
        <v>78.3009796</v>
      </c>
    </row>
    <row r="90" hidden="1">
      <c r="A90" s="66">
        <v>46154.0</v>
      </c>
      <c r="B90" s="67">
        <v>78.0538193</v>
      </c>
    </row>
    <row r="91" hidden="1">
      <c r="A91" s="66">
        <v>46185.0</v>
      </c>
      <c r="B91" s="67">
        <v>78.4136667</v>
      </c>
    </row>
    <row r="92" hidden="1">
      <c r="A92" s="66">
        <v>46215.0</v>
      </c>
      <c r="B92" s="67">
        <v>78.8538975</v>
      </c>
    </row>
    <row r="93" hidden="1">
      <c r="A93" s="66">
        <v>46246.0</v>
      </c>
      <c r="B93" s="67">
        <v>79.0905403</v>
      </c>
    </row>
    <row r="94" hidden="1">
      <c r="A94" s="66">
        <v>46277.0</v>
      </c>
      <c r="B94" s="67">
        <v>79.4391189</v>
      </c>
    </row>
    <row r="95" hidden="1">
      <c r="A95" s="66">
        <v>46307.0</v>
      </c>
      <c r="B95" s="67">
        <v>79.8410361</v>
      </c>
    </row>
    <row r="96" hidden="1">
      <c r="A96" s="66">
        <v>46338.0</v>
      </c>
      <c r="B96" s="67">
        <v>80.3834365</v>
      </c>
    </row>
    <row r="97">
      <c r="A97" s="66">
        <v>46368.0</v>
      </c>
      <c r="B97" s="67">
        <v>80.5682433</v>
      </c>
      <c r="C97" s="68">
        <f>average(B86:B97)</f>
        <v>79.02812418</v>
      </c>
    </row>
    <row r="98" hidden="1">
      <c r="A98" s="66">
        <v>46035.0</v>
      </c>
      <c r="B98" s="67">
        <v>80.892782</v>
      </c>
      <c r="C98" s="37"/>
    </row>
    <row r="99" hidden="1">
      <c r="A99" s="66">
        <v>46066.0</v>
      </c>
      <c r="B99" s="67">
        <v>81.290943</v>
      </c>
      <c r="C99" s="37"/>
    </row>
    <row r="100" hidden="1">
      <c r="A100" s="66">
        <v>46094.0</v>
      </c>
      <c r="B100" s="67">
        <v>81.8874331</v>
      </c>
      <c r="C100" s="37"/>
    </row>
    <row r="101" hidden="1">
      <c r="A101" s="66">
        <v>46125.0</v>
      </c>
      <c r="B101" s="67">
        <v>81.9415229</v>
      </c>
    </row>
    <row r="102" hidden="1">
      <c r="A102" s="66">
        <v>46155.0</v>
      </c>
      <c r="B102" s="67">
        <v>81.6688202</v>
      </c>
    </row>
    <row r="103" hidden="1">
      <c r="A103" s="66">
        <v>46186.0</v>
      </c>
      <c r="B103" s="67">
        <v>81.6192379</v>
      </c>
    </row>
    <row r="104" hidden="1">
      <c r="A104" s="66">
        <v>46216.0</v>
      </c>
      <c r="B104" s="67">
        <v>81.592193</v>
      </c>
    </row>
    <row r="105" hidden="1">
      <c r="A105" s="66">
        <v>46247.0</v>
      </c>
      <c r="B105" s="67">
        <v>81.8243284</v>
      </c>
    </row>
    <row r="106" hidden="1">
      <c r="A106" s="66">
        <v>46278.0</v>
      </c>
      <c r="B106" s="67">
        <v>82.1323397</v>
      </c>
    </row>
    <row r="107" hidden="1">
      <c r="A107" s="66">
        <v>46308.0</v>
      </c>
      <c r="B107" s="67">
        <v>82.5229882</v>
      </c>
    </row>
    <row r="108" hidden="1">
      <c r="A108" s="66">
        <v>46339.0</v>
      </c>
      <c r="B108" s="67">
        <v>83.2922652</v>
      </c>
    </row>
    <row r="109">
      <c r="A109" s="66">
        <v>46369.0</v>
      </c>
      <c r="B109" s="67">
        <v>83.7700583</v>
      </c>
      <c r="C109" s="68">
        <f>average(B98:B109)</f>
        <v>82.03624266</v>
      </c>
    </row>
    <row r="110" hidden="1">
      <c r="A110" s="66">
        <v>46036.0</v>
      </c>
      <c r="B110" s="67">
        <v>84.5190516</v>
      </c>
      <c r="C110" s="37"/>
    </row>
    <row r="111" hidden="1">
      <c r="A111" s="66">
        <v>46067.0</v>
      </c>
      <c r="B111" s="67">
        <v>84.733157</v>
      </c>
      <c r="C111" s="37"/>
    </row>
    <row r="112" hidden="1">
      <c r="A112" s="66">
        <v>46095.0</v>
      </c>
      <c r="B112" s="67">
        <v>84.9652924</v>
      </c>
      <c r="C112" s="37"/>
    </row>
    <row r="113" hidden="1">
      <c r="A113" s="66">
        <v>46126.0</v>
      </c>
      <c r="B113" s="67">
        <v>84.8067793</v>
      </c>
    </row>
    <row r="114" hidden="1">
      <c r="A114" s="66">
        <v>46156.0</v>
      </c>
      <c r="B114" s="67">
        <v>84.5355791</v>
      </c>
    </row>
    <row r="115" hidden="1">
      <c r="A115" s="66">
        <v>46187.0</v>
      </c>
      <c r="B115" s="67">
        <v>84.6820722</v>
      </c>
    </row>
    <row r="116" hidden="1">
      <c r="A116" s="66">
        <v>46217.0</v>
      </c>
      <c r="B116" s="67">
        <v>84.9149588</v>
      </c>
    </row>
    <row r="117" hidden="1">
      <c r="A117" s="66">
        <v>46248.0</v>
      </c>
      <c r="B117" s="67">
        <v>85.2199651</v>
      </c>
    </row>
    <row r="118" hidden="1">
      <c r="A118" s="66">
        <v>46279.0</v>
      </c>
      <c r="B118" s="67">
        <v>85.5963399</v>
      </c>
    </row>
    <row r="119" hidden="1">
      <c r="A119" s="66">
        <v>46309.0</v>
      </c>
      <c r="B119" s="67">
        <v>86.0696256</v>
      </c>
    </row>
    <row r="120" hidden="1">
      <c r="A120" s="66">
        <v>46340.0</v>
      </c>
      <c r="B120" s="67">
        <v>86.7637779</v>
      </c>
    </row>
    <row r="121">
      <c r="A121" s="66">
        <v>46370.0</v>
      </c>
      <c r="B121" s="67">
        <v>87.1889837</v>
      </c>
      <c r="C121" s="68">
        <f>average(B110:B121)</f>
        <v>85.33296522</v>
      </c>
    </row>
    <row r="122" hidden="1">
      <c r="A122" s="66">
        <v>46037.0</v>
      </c>
      <c r="B122" s="67">
        <v>87.1101028</v>
      </c>
      <c r="C122" s="37"/>
    </row>
    <row r="123" hidden="1">
      <c r="A123" s="66">
        <v>46068.0</v>
      </c>
      <c r="B123" s="67">
        <v>87.2753771</v>
      </c>
      <c r="C123" s="37"/>
    </row>
    <row r="124" hidden="1">
      <c r="A124" s="66">
        <v>46096.0</v>
      </c>
      <c r="B124" s="67">
        <v>87.630717</v>
      </c>
      <c r="C124" s="37"/>
    </row>
    <row r="125" hidden="1">
      <c r="A125" s="66">
        <v>46127.0</v>
      </c>
      <c r="B125" s="67">
        <v>87.4038404</v>
      </c>
    </row>
    <row r="126" hidden="1">
      <c r="A126" s="66">
        <v>46157.0</v>
      </c>
      <c r="B126" s="67">
        <v>86.9673658</v>
      </c>
    </row>
    <row r="127" hidden="1">
      <c r="A127" s="66">
        <v>46188.0</v>
      </c>
      <c r="B127" s="67">
        <v>87.1131078</v>
      </c>
    </row>
    <row r="128" hidden="1">
      <c r="A128" s="66">
        <v>46218.0</v>
      </c>
      <c r="B128" s="67">
        <v>87.2408198</v>
      </c>
    </row>
    <row r="129" hidden="1">
      <c r="A129" s="66">
        <v>46249.0</v>
      </c>
      <c r="B129" s="67">
        <v>87.4248753</v>
      </c>
    </row>
    <row r="130" hidden="1">
      <c r="A130" s="66">
        <v>46280.0</v>
      </c>
      <c r="B130" s="67">
        <v>87.752419</v>
      </c>
    </row>
    <row r="131" hidden="1">
      <c r="A131" s="66">
        <v>46310.0</v>
      </c>
      <c r="B131" s="67">
        <v>88.2039185</v>
      </c>
    </row>
    <row r="132" hidden="1">
      <c r="A132" s="66">
        <v>46341.0</v>
      </c>
      <c r="B132" s="67">
        <v>88.6854679</v>
      </c>
    </row>
    <row r="133">
      <c r="A133" s="66">
        <v>46371.0</v>
      </c>
      <c r="B133" s="67">
        <v>89.0468177</v>
      </c>
      <c r="C133" s="68">
        <f>average(B122:B133)</f>
        <v>87.65456909</v>
      </c>
    </row>
    <row r="134" hidden="1">
      <c r="A134" s="66">
        <v>46038.0</v>
      </c>
      <c r="B134" s="67">
        <v>89.3863814</v>
      </c>
      <c r="C134" s="37"/>
    </row>
    <row r="135" hidden="1">
      <c r="A135" s="66">
        <v>46069.0</v>
      </c>
      <c r="B135" s="67">
        <v>89.7777811</v>
      </c>
      <c r="C135" s="37"/>
    </row>
    <row r="136" hidden="1">
      <c r="A136" s="66">
        <v>46097.0</v>
      </c>
      <c r="B136" s="67">
        <v>89.9100006</v>
      </c>
      <c r="C136" s="37"/>
    </row>
    <row r="137" hidden="1">
      <c r="A137" s="66">
        <v>46128.0</v>
      </c>
      <c r="B137" s="67">
        <v>89.625278</v>
      </c>
    </row>
    <row r="138" hidden="1">
      <c r="A138" s="66">
        <v>46158.0</v>
      </c>
      <c r="B138" s="67">
        <v>89.2256145</v>
      </c>
    </row>
    <row r="139" hidden="1">
      <c r="A139" s="66">
        <v>46189.0</v>
      </c>
      <c r="B139" s="67">
        <v>89.3240279</v>
      </c>
    </row>
    <row r="140" hidden="1">
      <c r="A140" s="66">
        <v>46219.0</v>
      </c>
      <c r="B140" s="67">
        <v>89.5569145</v>
      </c>
    </row>
    <row r="141" hidden="1">
      <c r="A141" s="66">
        <v>46250.0</v>
      </c>
      <c r="B141" s="67">
        <v>89.8093335</v>
      </c>
    </row>
    <row r="142" hidden="1">
      <c r="A142" s="66">
        <v>46281.0</v>
      </c>
      <c r="B142" s="67">
        <v>90.3577439</v>
      </c>
    </row>
    <row r="143" hidden="1">
      <c r="A143" s="66">
        <v>46311.0</v>
      </c>
      <c r="B143" s="67">
        <v>90.9061542</v>
      </c>
    </row>
    <row r="144" hidden="1">
      <c r="A144" s="66">
        <v>46342.0</v>
      </c>
      <c r="B144" s="67">
        <v>91.6168339</v>
      </c>
    </row>
    <row r="145">
      <c r="A145" s="66">
        <v>46372.0</v>
      </c>
      <c r="B145" s="67">
        <v>92.0390348</v>
      </c>
      <c r="C145" s="68">
        <f>average(B134:B145)</f>
        <v>90.12792486</v>
      </c>
    </row>
    <row r="146" hidden="1">
      <c r="A146" s="66">
        <v>46039.0</v>
      </c>
      <c r="B146" s="67">
        <v>93.6038824</v>
      </c>
      <c r="C146" s="37"/>
    </row>
    <row r="147" hidden="1">
      <c r="A147" s="66">
        <v>46070.0</v>
      </c>
      <c r="B147" s="67">
        <v>94.1447803</v>
      </c>
      <c r="C147" s="37"/>
    </row>
    <row r="148" hidden="1">
      <c r="A148" s="66">
        <v>46098.0</v>
      </c>
      <c r="B148" s="67">
        <v>94.7224893</v>
      </c>
      <c r="C148" s="37"/>
    </row>
    <row r="149" hidden="1">
      <c r="A149" s="66">
        <v>46129.0</v>
      </c>
      <c r="B149" s="67">
        <v>94.8389326</v>
      </c>
    </row>
    <row r="150" hidden="1">
      <c r="A150" s="66">
        <v>46159.0</v>
      </c>
      <c r="B150" s="67">
        <v>94.7254943</v>
      </c>
    </row>
    <row r="151" hidden="1">
      <c r="A151" s="66">
        <v>46190.0</v>
      </c>
      <c r="B151" s="67">
        <v>94.9636396</v>
      </c>
    </row>
    <row r="152" hidden="1">
      <c r="A152" s="66">
        <v>46220.0</v>
      </c>
      <c r="B152" s="67">
        <v>95.3227357</v>
      </c>
    </row>
    <row r="153" hidden="1">
      <c r="A153" s="66">
        <v>46251.0</v>
      </c>
      <c r="B153" s="67">
        <v>95.7937677</v>
      </c>
    </row>
    <row r="154" hidden="1">
      <c r="A154" s="66">
        <v>46282.0</v>
      </c>
      <c r="B154" s="67">
        <v>96.0935152</v>
      </c>
    </row>
    <row r="155" hidden="1">
      <c r="A155" s="66">
        <v>46312.0</v>
      </c>
      <c r="B155" s="67">
        <v>96.6982691</v>
      </c>
    </row>
    <row r="156" hidden="1">
      <c r="A156" s="66">
        <v>46343.0</v>
      </c>
      <c r="B156" s="67">
        <v>97.695174</v>
      </c>
    </row>
    <row r="157">
      <c r="A157" s="66">
        <v>46373.0</v>
      </c>
      <c r="B157" s="67">
        <v>98.272883</v>
      </c>
      <c r="C157" s="68">
        <f>average(B146:B157)</f>
        <v>95.5729636</v>
      </c>
    </row>
    <row r="158" hidden="1">
      <c r="A158" s="66">
        <v>46040.0</v>
      </c>
      <c r="B158" s="67">
        <v>98.7949997</v>
      </c>
      <c r="C158" s="37"/>
    </row>
    <row r="159" hidden="1">
      <c r="A159" s="66">
        <v>46071.0</v>
      </c>
      <c r="B159" s="67">
        <v>99.1713745</v>
      </c>
      <c r="C159" s="37"/>
    </row>
    <row r="160" hidden="1">
      <c r="A160" s="66">
        <v>46099.0</v>
      </c>
      <c r="B160" s="67">
        <v>99.492157</v>
      </c>
      <c r="C160" s="37"/>
    </row>
    <row r="161" hidden="1">
      <c r="A161" s="66">
        <v>46130.0</v>
      </c>
      <c r="B161" s="67">
        <v>99.154847</v>
      </c>
    </row>
    <row r="162" hidden="1">
      <c r="A162" s="66">
        <v>46160.0</v>
      </c>
      <c r="B162" s="67">
        <v>98.9940802</v>
      </c>
    </row>
    <row r="163" hidden="1">
      <c r="A163" s="66">
        <v>46191.0</v>
      </c>
      <c r="B163" s="67">
        <v>99.3764649</v>
      </c>
    </row>
    <row r="164" hidden="1">
      <c r="A164" s="66">
        <v>46221.0</v>
      </c>
      <c r="B164" s="67">
        <v>99.9090991</v>
      </c>
    </row>
    <row r="165" hidden="1">
      <c r="A165" s="66">
        <v>46252.0</v>
      </c>
      <c r="B165" s="67">
        <v>100.492</v>
      </c>
    </row>
    <row r="166" hidden="1">
      <c r="A166" s="66">
        <v>46283.0</v>
      </c>
      <c r="B166" s="67">
        <v>100.917</v>
      </c>
    </row>
    <row r="167" hidden="1">
      <c r="A167" s="66">
        <v>46313.0</v>
      </c>
      <c r="B167" s="67">
        <v>101.44</v>
      </c>
    </row>
    <row r="168" hidden="1">
      <c r="A168" s="66">
        <v>46344.0</v>
      </c>
      <c r="B168" s="67">
        <v>102.303</v>
      </c>
    </row>
    <row r="169">
      <c r="A169" s="66">
        <v>46374.0</v>
      </c>
      <c r="B169" s="67">
        <v>103.02</v>
      </c>
      <c r="C169" s="68">
        <f>average(B158:B169)</f>
        <v>100.2554185</v>
      </c>
    </row>
    <row r="170" hidden="1">
      <c r="A170" s="66">
        <v>46041.0</v>
      </c>
      <c r="B170" s="67">
        <v>103.108</v>
      </c>
      <c r="C170" s="37"/>
    </row>
    <row r="171" hidden="1">
      <c r="A171" s="66">
        <v>46072.0</v>
      </c>
      <c r="B171" s="67">
        <v>103.079</v>
      </c>
      <c r="C171" s="37"/>
    </row>
    <row r="172" hidden="1">
      <c r="A172" s="66">
        <v>46100.0</v>
      </c>
      <c r="B172" s="67">
        <v>103.476</v>
      </c>
      <c r="C172" s="37"/>
    </row>
    <row r="173" hidden="1">
      <c r="A173" s="66">
        <v>46131.0</v>
      </c>
      <c r="B173" s="67">
        <v>103.531</v>
      </c>
    </row>
    <row r="174" hidden="1">
      <c r="A174" s="66">
        <v>46161.0</v>
      </c>
      <c r="B174" s="67">
        <v>103.233</v>
      </c>
    </row>
    <row r="175" hidden="1">
      <c r="A175" s="66">
        <v>46192.0</v>
      </c>
      <c r="B175" s="67">
        <v>103.299</v>
      </c>
    </row>
    <row r="176" hidden="1">
      <c r="A176" s="66">
        <v>46222.0</v>
      </c>
      <c r="B176" s="67">
        <v>103.687</v>
      </c>
    </row>
    <row r="177" hidden="1">
      <c r="A177" s="66">
        <v>46253.0</v>
      </c>
      <c r="B177" s="67">
        <v>103.67</v>
      </c>
    </row>
    <row r="178" hidden="1">
      <c r="A178" s="66">
        <v>46284.0</v>
      </c>
      <c r="B178" s="67">
        <v>103.942</v>
      </c>
    </row>
    <row r="179" hidden="1">
      <c r="A179" s="66">
        <v>46314.0</v>
      </c>
      <c r="B179" s="67">
        <v>104.503</v>
      </c>
    </row>
    <row r="180" hidden="1">
      <c r="A180" s="66">
        <v>46345.0</v>
      </c>
      <c r="B180" s="67">
        <v>105.346</v>
      </c>
    </row>
    <row r="181">
      <c r="A181" s="66">
        <v>46375.0</v>
      </c>
      <c r="B181" s="67">
        <v>105.934</v>
      </c>
      <c r="C181" s="68">
        <f>average(B170:B181)</f>
        <v>103.9006667</v>
      </c>
    </row>
    <row r="182" hidden="1">
      <c r="A182" s="66">
        <v>46042.0</v>
      </c>
      <c r="B182" s="67">
        <v>106.447</v>
      </c>
      <c r="C182" s="37"/>
    </row>
    <row r="183" hidden="1">
      <c r="A183" s="66">
        <v>46073.0</v>
      </c>
      <c r="B183" s="67">
        <v>106.889</v>
      </c>
      <c r="C183" s="37"/>
    </row>
    <row r="184" hidden="1">
      <c r="A184" s="66">
        <v>46101.0</v>
      </c>
      <c r="B184" s="67">
        <v>106.838</v>
      </c>
      <c r="C184" s="37"/>
    </row>
    <row r="185" hidden="1">
      <c r="A185" s="66">
        <v>46132.0</v>
      </c>
      <c r="B185" s="67">
        <v>105.755</v>
      </c>
    </row>
    <row r="186" hidden="1">
      <c r="A186" s="66">
        <v>46162.0</v>
      </c>
      <c r="B186" s="67">
        <v>106.162</v>
      </c>
    </row>
    <row r="187" hidden="1">
      <c r="A187" s="66">
        <v>46193.0</v>
      </c>
      <c r="B187" s="67">
        <v>106.743</v>
      </c>
    </row>
    <row r="188" hidden="1">
      <c r="A188" s="66">
        <v>46223.0</v>
      </c>
      <c r="B188" s="67">
        <v>107.444</v>
      </c>
    </row>
    <row r="189" hidden="1">
      <c r="A189" s="66">
        <v>46254.0</v>
      </c>
      <c r="B189" s="67">
        <v>107.867</v>
      </c>
    </row>
    <row r="190" hidden="1">
      <c r="A190" s="66">
        <v>46285.0</v>
      </c>
      <c r="B190" s="67">
        <v>108.114</v>
      </c>
    </row>
    <row r="191" hidden="1">
      <c r="A191" s="66">
        <v>46315.0</v>
      </c>
      <c r="B191" s="67">
        <v>108.774</v>
      </c>
    </row>
    <row r="192" hidden="1">
      <c r="A192" s="66">
        <v>46346.0</v>
      </c>
      <c r="B192" s="67">
        <v>108.856</v>
      </c>
    </row>
    <row r="193">
      <c r="A193" s="66">
        <v>46376.0</v>
      </c>
      <c r="B193" s="67">
        <v>109.271</v>
      </c>
      <c r="C193" s="68">
        <f>average(B182:B193)</f>
        <v>107.43</v>
      </c>
    </row>
    <row r="194" hidden="1">
      <c r="A194" s="66">
        <v>46043.0</v>
      </c>
      <c r="B194" s="67">
        <v>110.21</v>
      </c>
      <c r="C194" s="37"/>
    </row>
    <row r="195" hidden="1">
      <c r="A195" s="66">
        <v>46074.0</v>
      </c>
      <c r="B195" s="67">
        <v>110.907</v>
      </c>
      <c r="C195" s="37"/>
    </row>
    <row r="196" hidden="1">
      <c r="A196" s="66">
        <v>46102.0</v>
      </c>
      <c r="B196" s="67">
        <v>111.824</v>
      </c>
      <c r="C196" s="37"/>
    </row>
    <row r="197" hidden="1">
      <c r="A197" s="66">
        <v>46133.0</v>
      </c>
      <c r="B197" s="67">
        <v>112.19</v>
      </c>
    </row>
    <row r="198" hidden="1">
      <c r="A198" s="66">
        <v>46163.0</v>
      </c>
      <c r="B198" s="67">
        <v>112.419</v>
      </c>
    </row>
    <row r="199" hidden="1">
      <c r="A199" s="66">
        <v>46194.0</v>
      </c>
      <c r="B199" s="67">
        <v>113.018</v>
      </c>
    </row>
    <row r="200" hidden="1">
      <c r="A200" s="66">
        <v>46224.0</v>
      </c>
      <c r="B200" s="67">
        <v>113.682</v>
      </c>
    </row>
    <row r="201" hidden="1">
      <c r="A201" s="66">
        <v>46255.0</v>
      </c>
      <c r="B201" s="67">
        <v>113.899</v>
      </c>
    </row>
    <row r="202" hidden="1">
      <c r="A202" s="66">
        <v>46286.0</v>
      </c>
      <c r="B202" s="67">
        <v>114.601</v>
      </c>
    </row>
    <row r="203" hidden="1">
      <c r="A203" s="66">
        <v>46316.0</v>
      </c>
      <c r="B203" s="67">
        <v>115.561</v>
      </c>
    </row>
    <row r="204" hidden="1">
      <c r="A204" s="66">
        <v>46347.0</v>
      </c>
      <c r="B204" s="67">
        <v>116.884</v>
      </c>
    </row>
    <row r="205">
      <c r="A205" s="66">
        <v>46377.0</v>
      </c>
      <c r="B205" s="67">
        <v>117.308</v>
      </c>
      <c r="C205" s="68">
        <f>average(B194:B205)</f>
        <v>113.5419167</v>
      </c>
    </row>
    <row r="206" hidden="1">
      <c r="A206" s="66">
        <v>46044.0</v>
      </c>
      <c r="B206" s="67">
        <v>118.002</v>
      </c>
      <c r="C206" s="37"/>
    </row>
    <row r="207" hidden="1">
      <c r="A207" s="66">
        <v>46075.0</v>
      </c>
      <c r="B207" s="67">
        <v>118.981</v>
      </c>
      <c r="C207" s="37"/>
    </row>
    <row r="208" hidden="1">
      <c r="A208" s="66">
        <v>46103.0</v>
      </c>
      <c r="B208" s="67">
        <v>120.159</v>
      </c>
      <c r="C208" s="37"/>
    </row>
    <row r="209" hidden="1">
      <c r="A209" s="66">
        <v>46134.0</v>
      </c>
      <c r="B209" s="67">
        <v>120.809</v>
      </c>
    </row>
    <row r="210" hidden="1">
      <c r="A210" s="66">
        <v>46164.0</v>
      </c>
      <c r="B210" s="67">
        <v>121.022</v>
      </c>
    </row>
    <row r="211" hidden="1">
      <c r="A211" s="66">
        <v>46195.0</v>
      </c>
      <c r="B211" s="67">
        <v>122.044</v>
      </c>
    </row>
    <row r="212" hidden="1">
      <c r="A212" s="66">
        <v>46225.0</v>
      </c>
      <c r="B212" s="67">
        <v>122.948</v>
      </c>
    </row>
    <row r="213" hidden="1">
      <c r="A213" s="66">
        <v>46256.0</v>
      </c>
      <c r="B213" s="67">
        <v>123.803</v>
      </c>
    </row>
    <row r="214" hidden="1">
      <c r="A214" s="66">
        <v>46287.0</v>
      </c>
      <c r="B214" s="67">
        <v>124.571</v>
      </c>
    </row>
    <row r="215" hidden="1">
      <c r="A215" s="66">
        <v>46317.0</v>
      </c>
      <c r="B215" s="67">
        <v>125.276</v>
      </c>
    </row>
    <row r="216" hidden="1">
      <c r="A216" s="66">
        <v>46348.0</v>
      </c>
      <c r="B216" s="67">
        <v>125.997</v>
      </c>
    </row>
    <row r="217">
      <c r="A217" s="66">
        <v>46378.0</v>
      </c>
      <c r="B217" s="67">
        <v>126.478</v>
      </c>
      <c r="C217" s="68">
        <f>average(B206:B217)</f>
        <v>122.5075</v>
      </c>
    </row>
    <row r="218" hidden="1">
      <c r="A218" s="66">
        <v>46045.0</v>
      </c>
      <c r="B218" s="67">
        <v>127.336</v>
      </c>
      <c r="C218" s="37"/>
    </row>
    <row r="219" hidden="1">
      <c r="A219" s="66">
        <v>46076.0</v>
      </c>
      <c r="B219" s="67">
        <v>128.046</v>
      </c>
      <c r="C219" s="37"/>
    </row>
    <row r="220" hidden="1">
      <c r="A220" s="66">
        <v>46104.0</v>
      </c>
      <c r="B220" s="67">
        <v>128.389</v>
      </c>
      <c r="C220" s="37"/>
    </row>
    <row r="221" hidden="1">
      <c r="A221" s="66">
        <v>46135.0</v>
      </c>
      <c r="B221" s="67">
        <v>128.363</v>
      </c>
    </row>
    <row r="222" hidden="1">
      <c r="A222" s="66">
        <v>46165.0</v>
      </c>
      <c r="B222" s="67">
        <v>128.084</v>
      </c>
    </row>
    <row r="223" hidden="1">
      <c r="A223" s="66">
        <v>46196.0</v>
      </c>
      <c r="B223" s="67">
        <v>128.214</v>
      </c>
    </row>
    <row r="224" hidden="1">
      <c r="A224" s="66">
        <v>46226.0</v>
      </c>
      <c r="B224" s="67">
        <v>128.832</v>
      </c>
    </row>
    <row r="225" hidden="1">
      <c r="A225" s="66">
        <v>46257.0</v>
      </c>
      <c r="B225" s="67">
        <v>129.545</v>
      </c>
    </row>
    <row r="226" hidden="1">
      <c r="A226" s="66">
        <v>46288.0</v>
      </c>
      <c r="B226" s="67">
        <v>130.12</v>
      </c>
    </row>
    <row r="227" hidden="1">
      <c r="A227" s="66">
        <v>46318.0</v>
      </c>
      <c r="B227" s="67">
        <v>130.609</v>
      </c>
    </row>
    <row r="228" hidden="1">
      <c r="A228" s="66">
        <v>46349.0</v>
      </c>
      <c r="B228" s="67">
        <v>131.445</v>
      </c>
    </row>
    <row r="229">
      <c r="A229" s="66">
        <v>46379.0</v>
      </c>
      <c r="B229" s="67">
        <v>132.373</v>
      </c>
      <c r="C229" s="68">
        <f>average(B218:B229)</f>
        <v>129.2796667</v>
      </c>
    </row>
    <row r="230" hidden="1">
      <c r="A230" s="66">
        <v>46046.0</v>
      </c>
      <c r="B230" s="67">
        <v>133.555</v>
      </c>
      <c r="C230" s="37"/>
    </row>
    <row r="231" hidden="1">
      <c r="A231" s="66">
        <v>46077.0</v>
      </c>
      <c r="B231" s="67">
        <v>133.681</v>
      </c>
      <c r="C231" s="37"/>
    </row>
    <row r="232" hidden="1">
      <c r="A232" s="66">
        <v>46105.0</v>
      </c>
      <c r="B232" s="67">
        <v>134.065</v>
      </c>
      <c r="C232" s="37"/>
    </row>
    <row r="233" hidden="1">
      <c r="A233" s="66">
        <v>46136.0</v>
      </c>
      <c r="B233" s="67">
        <v>134.336</v>
      </c>
    </row>
    <row r="234" hidden="1">
      <c r="A234" s="66">
        <v>46166.0</v>
      </c>
      <c r="B234" s="67">
        <v>134.087</v>
      </c>
    </row>
    <row r="235" hidden="1">
      <c r="A235" s="66">
        <v>46197.0</v>
      </c>
      <c r="B235" s="67">
        <v>134.594</v>
      </c>
    </row>
    <row r="236" hidden="1">
      <c r="A236" s="66">
        <v>46227.0</v>
      </c>
      <c r="B236" s="67">
        <v>136.003</v>
      </c>
    </row>
    <row r="237" hidden="1">
      <c r="A237" s="66">
        <v>46258.0</v>
      </c>
      <c r="B237" s="67">
        <v>136.013</v>
      </c>
    </row>
    <row r="238" hidden="1">
      <c r="A238" s="66">
        <v>46289.0</v>
      </c>
      <c r="B238" s="67">
        <v>136.08</v>
      </c>
    </row>
    <row r="239" hidden="1">
      <c r="A239" s="66">
        <v>46319.0</v>
      </c>
      <c r="B239" s="67">
        <v>136.828</v>
      </c>
    </row>
    <row r="240" hidden="1">
      <c r="A240" s="66">
        <v>46350.0</v>
      </c>
      <c r="B240" s="67">
        <v>137.424</v>
      </c>
    </row>
    <row r="241">
      <c r="A241" s="66">
        <v>46380.0</v>
      </c>
      <c r="B241" s="67">
        <v>137.949</v>
      </c>
      <c r="C241" s="68">
        <f>average(B230:B241)</f>
        <v>135.3845833</v>
      </c>
    </row>
    <row r="242" hidden="1">
      <c r="A242" s="66">
        <v>46047.0</v>
      </c>
      <c r="B242" s="67">
        <v>138.343</v>
      </c>
      <c r="C242" s="37"/>
    </row>
    <row r="243" hidden="1">
      <c r="A243" s="66">
        <v>46078.0</v>
      </c>
      <c r="B243" s="67">
        <v>138.726</v>
      </c>
      <c r="C243" s="37"/>
    </row>
    <row r="244" hidden="1">
      <c r="A244" s="66">
        <v>46106.0</v>
      </c>
      <c r="B244" s="67">
        <v>139.161</v>
      </c>
      <c r="C244" s="37"/>
    </row>
    <row r="245" hidden="1">
      <c r="A245" s="66">
        <v>46137.0</v>
      </c>
      <c r="B245" s="67">
        <v>139.62</v>
      </c>
    </row>
    <row r="246" hidden="1">
      <c r="A246" s="66">
        <v>46167.0</v>
      </c>
      <c r="B246" s="67">
        <v>140.012</v>
      </c>
    </row>
    <row r="247" hidden="1">
      <c r="A247" s="66">
        <v>46198.0</v>
      </c>
      <c r="B247" s="67">
        <v>140.405</v>
      </c>
    </row>
    <row r="248" hidden="1">
      <c r="A248" s="66">
        <v>46228.0</v>
      </c>
      <c r="B248" s="67">
        <v>140.78</v>
      </c>
    </row>
    <row r="249" hidden="1">
      <c r="A249" s="66">
        <v>46259.0</v>
      </c>
      <c r="B249" s="67">
        <v>140.867</v>
      </c>
    </row>
    <row r="250" hidden="1">
      <c r="A250" s="66">
        <v>46290.0</v>
      </c>
      <c r="B250" s="67">
        <v>141.197</v>
      </c>
    </row>
    <row r="251" hidden="1">
      <c r="A251" s="66">
        <v>46320.0</v>
      </c>
      <c r="B251" s="67">
        <v>141.708</v>
      </c>
    </row>
    <row r="252" hidden="1">
      <c r="A252" s="66">
        <v>46351.0</v>
      </c>
      <c r="B252" s="67">
        <v>142.645</v>
      </c>
    </row>
    <row r="253">
      <c r="A253" s="66">
        <v>46381.0</v>
      </c>
      <c r="B253" s="67">
        <v>143.042</v>
      </c>
      <c r="C253" s="68">
        <f>average(B242:B253)</f>
        <v>140.5421667</v>
      </c>
    </row>
    <row r="254" hidden="1">
      <c r="A254" s="66">
        <v>46048.0</v>
      </c>
      <c r="B254" s="67">
        <v>143.588</v>
      </c>
    </row>
    <row r="255" hidden="1">
      <c r="A255" s="66">
        <v>46079.0</v>
      </c>
      <c r="B255" s="67">
        <v>144.307</v>
      </c>
    </row>
    <row r="256" hidden="1">
      <c r="A256" s="66">
        <v>46107.0</v>
      </c>
      <c r="B256" s="67">
        <v>145.544</v>
      </c>
    </row>
    <row r="257" hidden="1">
      <c r="A257" s="66">
        <v>46138.0</v>
      </c>
      <c r="B257" s="67">
        <v>145.831</v>
      </c>
    </row>
    <row r="258" hidden="1">
      <c r="A258" s="66">
        <v>46168.0</v>
      </c>
      <c r="B258" s="67">
        <v>145.527</v>
      </c>
    </row>
    <row r="259" hidden="1">
      <c r="A259" s="66">
        <v>46199.0</v>
      </c>
      <c r="B259" s="67">
        <v>145.131</v>
      </c>
    </row>
    <row r="260" hidden="1">
      <c r="A260" s="66">
        <v>46229.0</v>
      </c>
      <c r="B260" s="67">
        <v>145.169</v>
      </c>
    </row>
    <row r="261" hidden="1">
      <c r="A261" s="66">
        <v>46260.0</v>
      </c>
      <c r="B261" s="67">
        <v>145.462</v>
      </c>
    </row>
    <row r="262">
      <c r="A262" s="66">
        <v>46291.0</v>
      </c>
      <c r="B262" s="67">
        <v>146.075</v>
      </c>
      <c r="C262" s="68">
        <f>average(B251:B262)</f>
        <v>144.5024167</v>
      </c>
    </row>
  </sheetData>
  <autoFilter ref="$A$1:$C$262">
    <filterColumn colId="2">
      <filters>
        <filter val="107.43000"/>
        <filter val="70.47646"/>
        <filter val="87.65457"/>
        <filter val="113.54192"/>
        <filter val="144.50242"/>
        <filter val="66.93089"/>
        <filter val="100.25542"/>
        <filter val="103.90067"/>
        <filter val="95.57296"/>
        <filter val="61.23867"/>
        <filter val="85.33297"/>
        <filter val="90.12792"/>
        <filter val="129.27967"/>
        <filter val="135.38458"/>
        <filter val="63.66792"/>
        <filter val="73.40597"/>
        <filter val="79.02812"/>
        <filter val="82.03624"/>
        <filter val="122.50750"/>
        <filter val="75.90719"/>
        <filter val="140.54217"/>
        <filter val="59.09388"/>
      </filters>
    </filterColumn>
  </autoFilter>
  <drawing r:id="rId1"/>
</worksheet>
</file>